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1987ba085a45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ean_Data" sheetId="1" r:id="R30c84b53f6c44360"/>
    <x:sheet xmlns:r="http://schemas.openxmlformats.org/officeDocument/2006/relationships" name="KPI_Summary" sheetId="2" r:id="R65901b2b77fc41ac"/>
    <x:sheet xmlns:r="http://schemas.openxmlformats.org/officeDocument/2006/relationships" name="Category_Analysis" sheetId="3" r:id="R8d3ecb6cd959412e"/>
    <x:sheet xmlns:r="http://schemas.openxmlformats.org/officeDocument/2006/relationships" name="TGM_Analysis" sheetId="4" r:id="Rb5f62d62df1c4f74"/>
    <x:sheet xmlns:r="http://schemas.openxmlformats.org/officeDocument/2006/relationships" name="Zero_Sales_Risk" sheetId="5" r:id="R8a31630e00f9416d"/>
    <x:sheet xmlns:r="http://schemas.openxmlformats.org/officeDocument/2006/relationships" name="Top_20_Performers" sheetId="6" r:id="Ra2eb1619d8d34f34"/>
    <x:sheet xmlns:r="http://schemas.openxmlformats.org/officeDocument/2006/relationships" name="Supplier_Analysis" sheetId="7" r:id="Rc0b8ed836efd40ad"/>
    <x:sheet xmlns:r="http://schemas.openxmlformats.org/officeDocument/2006/relationships" name="Key_Findings" sheetId="8" r:id="Rf124bd9b837f4b9d"/>
    <x:sheet xmlns:r="http://schemas.openxmlformats.org/officeDocument/2006/relationships" name="Charts_Dashboard" sheetId="9" r:id="R938b466db8464a70"/>
    <x:sheet xmlns:r="http://schemas.openxmlformats.org/officeDocument/2006/relationships" name="Process_Documentation" sheetId="10" r:id="R7e276818de5342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#,##0.0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7324D"/>
      <x:name val="Carlito"/>
    </x:font>
    <x:font>
      <x:b/>
      <x:sz val="18"/>
      <x:color rgb="FF17324D"/>
      <x:name val="Carlito"/>
    </x:font>
    <x:font>
      <x:i/>
      <x:sz val="11"/>
      <x:color rgb="FF66708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24D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200" fontId="4" fillId="5" borderId="0" xfId="0" applyNumberFormat="1" applyFont="1" applyFill="1" applyBorder="1" applyAlignment="1">
      <x:alignment horizontal="center" vertical="center"/>
    </x:xf>
    <x:xf numFmtId="200" fontId="4" fillId="5" borderId="1" xfId="0" applyNumberFormat="1" applyFont="1" applyFill="1" applyBorder="1" applyAlignment="1">
      <x:alignment horizontal="center" vertical="center"/>
    </x:xf>
    <x:xf numFmtId="201" fontId="4" fillId="5" borderId="0" xfId="0" applyNumberFormat="1" applyFont="1" applyFill="1" applyBorder="1" applyAlignment="1">
      <x:alignment horizontal="center" vertical="center"/>
    </x:xf>
    <x:xf numFmtId="201" fontId="4" fillId="5" borderId="1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13b32bf265495f" /><Relationship Type="http://schemas.openxmlformats.org/officeDocument/2006/relationships/theme" Target="/xl/theme/theme1.xml" Id="R57e832ebfef244a8" /><Relationship Type="http://schemas.openxmlformats.org/officeDocument/2006/relationships/sharedStrings" Target="/xl/sharedStrings.xml" Id="Rd20c26fba33c4ab8" /><Relationship Type="http://schemas.openxmlformats.org/officeDocument/2006/relationships/worksheet" Target="/xl/worksheets/sheet1.xml" Id="R30c84b53f6c44360" /><Relationship Type="http://schemas.openxmlformats.org/officeDocument/2006/relationships/worksheet" Target="/xl/worksheets/sheet2.xml" Id="R65901b2b77fc41ac" /><Relationship Type="http://schemas.openxmlformats.org/officeDocument/2006/relationships/worksheet" Target="/xl/worksheets/sheet3.xml" Id="R8d3ecb6cd959412e" /><Relationship Type="http://schemas.openxmlformats.org/officeDocument/2006/relationships/worksheet" Target="/xl/worksheets/sheet4.xml" Id="Rb5f62d62df1c4f74" /><Relationship Type="http://schemas.openxmlformats.org/officeDocument/2006/relationships/worksheet" Target="/xl/worksheets/sheet5.xml" Id="R8a31630e00f9416d" /><Relationship Type="http://schemas.openxmlformats.org/officeDocument/2006/relationships/worksheet" Target="/xl/worksheets/sheet6.xml" Id="Ra2eb1619d8d34f34" /><Relationship Type="http://schemas.openxmlformats.org/officeDocument/2006/relationships/worksheet" Target="/xl/worksheets/sheet7.xml" Id="Rc0b8ed836efd40ad" /><Relationship Type="http://schemas.openxmlformats.org/officeDocument/2006/relationships/worksheet" Target="/xl/worksheets/sheet8.xml" Id="Rf124bd9b837f4b9d" /><Relationship Type="http://schemas.openxmlformats.org/officeDocument/2006/relationships/worksheet" Target="/xl/worksheets/sheet9.xml" Id="R938b466db8464a70" /><Relationship Type="http://schemas.openxmlformats.org/officeDocument/2006/relationships/worksheet" Target="/xl/worksheets/sheet10.xml" Id="R7e276818de5342b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5aa3049d2564373" /><Relationship Type="http://schemas.openxmlformats.org/officeDocument/2006/relationships/chart" Target="/xl/drawings/charts/chart2.xml" Id="R8c0ca28f43ff444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Category Sales Value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Total SKUs</c:v>
          </c:tx>
          <c:cat>
            <c:strRef>
              <c:f>'Category_Analysis'!$A$4:$A$8</c:f>
              <c:strCache>
                <c:ptCount val="0"/>
              </c:strCache>
            </c:strRef>
          </c:cat>
          <c:val>
            <c:numRef>
              <c:f>'Category_Analysis'!$B$4:$B$8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Active SKUs</c:v>
          </c:tx>
          <c:cat>
            <c:strRef>
              <c:f>'Category_Analysis'!$A$4:$A$8</c:f>
              <c:strCache>
                <c:ptCount val="0"/>
              </c:strCache>
            </c:strRef>
          </c:cat>
          <c:val>
            <c:numRef>
              <c:f>'Category_Analysis'!$C$4:$C$8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Blocked SKUs</c:v>
          </c:tx>
          <c:cat>
            <c:strRef>
              <c:f>'Category_Analysis'!$A$4:$A$8</c:f>
              <c:strCache>
                <c:ptCount val="0"/>
              </c:strCache>
            </c:strRef>
          </c:cat>
          <c:val>
            <c:numRef>
              <c:f>'Category_Analysis'!$D$4:$D$8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Sales Qty</c:v>
          </c:tx>
          <c:cat>
            <c:strRef>
              <c:f>'Category_Analysis'!$A$4:$A$8</c:f>
              <c:strCache>
                <c:ptCount val="0"/>
              </c:strCache>
            </c:strRef>
          </c:cat>
          <c:val>
            <c:numRef>
              <c:f>'Category_Analysis'!$E$4:$E$8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Sales Value</c:v>
          </c:tx>
          <c:cat>
            <c:strRef>
              <c:f>'Category_Analysis'!$A$4:$A$8</c:f>
              <c:strCache>
                <c:ptCount val="0"/>
              </c:strCache>
            </c:strRef>
          </c:cat>
          <c:val>
            <c:numRef>
              <c:f>'Category_Analysis'!$F$4:$F$8</c:f>
              <c:numCache>
                <c:formatCode>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Average Active TGM% by Category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Average Active TGM%</c:v>
          </c:tx>
          <c:cat>
            <c:strRef>
              <c:f>'TGM_Analysis'!$A$4:$A$8</c:f>
              <c:strCache>
                <c:ptCount val="0"/>
              </c:strCache>
            </c:strRef>
          </c:cat>
          <c:val>
            <c:numRef>
              <c:f>'TGM_Analysis'!$B$4:$B$8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7</xdr:row>
      <xdr:rowOff>0</xdr:rowOff>
    </xdr:from>
    <xdr:to>
      <xdr:col>6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5aa3049d2564373"/>
        </a:graphicData>
      </a:graphic>
    </xdr:graphicFrame>
    <xdr:clientData/>
  </xdr:twoCellAnchor>
  <xdr:twoCellAnchor>
    <xdr:from>
      <xdr:col>6</xdr:col>
      <xdr:colOff>0</xdr:colOff>
      <xdr:row>7</xdr:row>
      <xdr:rowOff>0</xdr:rowOff>
    </xdr:from>
    <xdr:to>
      <xdr:col>12</xdr:col>
      <xdr:colOff>0</xdr:colOff>
      <xdr:row>22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c0ca28f43ff444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leanDataTable" displayName="CleanDataTable" ref="A1:Y1501" headerRowCount="1" totalsRowCount="0" totalsRowShown="0">
  <x:tableColumns count="25">
    <x:tableColumn id="1" name="SKU"/>
    <x:tableColumn id="2" name="Item_Name"/>
    <x:tableColumn id="3" name="Status"/>
    <x:tableColumn id="4" name="Creation_Month"/>
    <x:tableColumn id="5" name="RSP"/>
    <x:tableColumn id="6" name="TGM_Pct"/>
    <x:tableColumn id="7" name="Category"/>
    <x:tableColumn id="8" name="Sub_Category"/>
    <x:tableColumn id="9" name="Manufacturer_Code"/>
    <x:tableColumn id="10" name="Manufacturer_Name"/>
    <x:tableColumn id="11" name="Supplier_Code"/>
    <x:tableColumn id="12" name="Supplier_Name"/>
    <x:tableColumn id="13" name="Regulatory_Code"/>
    <x:tableColumn id="14" name="Scientific_Name"/>
    <x:tableColumn id="15" name="Legal_Status"/>
    <x:tableColumn id="16" name="Purchase_Qty"/>
    <x:tableColumn id="17" name="Sales_Qty"/>
    <x:tableColumn id="18" name="SOH"/>
    <x:tableColumn id="19" name="Sales_Value"/>
    <x:tableColumn id="20" name="Profit_Value"/>
    <x:tableColumn id="21" name="Inventory_Value"/>
    <x:tableColumn id="22" name="Zero_Sales_Flag"/>
    <x:tableColumn id="23" name="Inventory_Risk_Value"/>
    <x:tableColumn id="24" name="Price_Range"/>
    <x:tableColumn id="25" name="Is_Activ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tegoryAnalysisTable" displayName="CategoryAnalysisTable" ref="A3:I8" headerRowCount="1" totalsRowCount="0" totalsRowShown="0">
  <x:tableColumns count="9">
    <x:tableColumn id="1" name="Category"/>
    <x:tableColumn id="2" name="Total SKUs"/>
    <x:tableColumn id="3" name="Active SKUs"/>
    <x:tableColumn id="4" name="Blocked SKUs"/>
    <x:tableColumn id="5" name="Sales Qty"/>
    <x:tableColumn id="6" name="Sales Value"/>
    <x:tableColumn id="7" name="Profit Value"/>
    <x:tableColumn id="8" name="Avg Active TGM%"/>
    <x:tableColumn id="9" name="Inventory Risk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GMAnalysisTable" displayName="TGMAnalysisTable" ref="A3:C8" headerRowCount="1" totalsRowCount="0" totalsRowShown="0">
  <x:tableColumns count="3">
    <x:tableColumn id="1" name="Category"/>
    <x:tableColumn id="2" name="Average Active TGM%"/>
    <x:tableColumn id="3" name="Rul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upplierAnalysisTable" displayName="SupplierAnalysisTable" ref="A3:G33" headerRowCount="1" totalsRowCount="0" totalsRowShown="0">
  <x:tableColumns count="7">
    <x:tableColumn id="1" name="Supplier"/>
    <x:tableColumn id="2" name="Active SKUs"/>
    <x:tableColumn id="3" name="Sales Qty"/>
    <x:tableColumn id="4" name="Sales Value"/>
    <x:tableColumn id="5" name="Profit Value"/>
    <x:tableColumn id="6" name="Inventory Risk"/>
    <x:tableColumn id="7" name="Active Shar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KeyFindingsTable" displayName="KeyFindingsTable" ref="A3:F9" headerRowCount="1" totalsRowCount="0" totalsRowShown="0">
  <x:tableColumns count="6">
    <x:tableColumn id="1" name="Area"/>
    <x:tableColumn id="2" name="Key Finding"/>
    <x:tableColumn id="3" name="Evidence / Metric"/>
    <x:tableColumn id="4" name="Business Impact"/>
    <x:tableColumn id="5" name="Recommendation"/>
    <x:tableColumn id="6" name="Prior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f85b93b32ce46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e3fb73daec14e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e3213a9ae1f408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97af7bfb2339433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9f096c94ad3c439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.xml" Id="Rc520ab73a18845cf" /></Relationships>
</file>

<file path=xl/worksheets/sheet1.xml><?xml version="1.0" encoding="utf-8"?>
<x:worksheet xmlns:x="http://schemas.openxmlformats.org/spreadsheetml/2006/main">
  <x:sheetFormatPr defaultRowHeight="15"/>
  <x:cols>
    <x:col min="2" max="2" width="22" hidden="0" customWidth="1"/>
    <x:col min="7" max="7" width="22" hidden="0" customWidth="1"/>
    <x:col min="8" max="8" width="22" hidden="0" customWidth="1"/>
    <x:col min="10" max="10" width="22" hidden="0" customWidth="1"/>
    <x:col min="12" max="12" width="22" hidden="0" customWidth="1"/>
    <x:col min="14" max="14" width="22" hidden="0" customWidth="1"/>
    <x:col min="1" max="1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9" max="9" width="14" hidden="0" customWidth="1"/>
    <x:col min="11" max="11" width="14" hidden="0" customWidth="1"/>
    <x:col min="13" max="13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</x:cols>
  <x:sheetData>
    <x:row r="1">
      <x:c r="A1" s="5" t="str">
        <x:v>SKU</x:v>
      </x:c>
      <x:c r="B1" s="5" t="str">
        <x:v>Item_Name</x:v>
      </x:c>
      <x:c r="C1" s="5" t="str">
        <x:v>Status</x:v>
      </x:c>
      <x:c r="D1" s="5" t="str">
        <x:v>Creation_Month</x:v>
      </x:c>
      <x:c r="E1" s="5" t="str">
        <x:v>RSP</x:v>
      </x:c>
      <x:c r="F1" s="5" t="str">
        <x:v>TGM_Pct</x:v>
      </x:c>
      <x:c r="G1" s="5" t="str">
        <x:v>Category</x:v>
      </x:c>
      <x:c r="H1" s="5" t="str">
        <x:v>Sub_Category</x:v>
      </x:c>
      <x:c r="I1" s="5" t="str">
        <x:v>Manufacturer_Code</x:v>
      </x:c>
      <x:c r="J1" s="5" t="str">
        <x:v>Manufacturer_Name</x:v>
      </x:c>
      <x:c r="K1" s="5" t="str">
        <x:v>Supplier_Code</x:v>
      </x:c>
      <x:c r="L1" s="5" t="str">
        <x:v>Supplier_Name</x:v>
      </x:c>
      <x:c r="M1" s="5" t="str">
        <x:v>Regulatory_Code</x:v>
      </x:c>
      <x:c r="N1" s="5" t="str">
        <x:v>Scientific_Name</x:v>
      </x:c>
      <x:c r="O1" s="5" t="str">
        <x:v>Legal_Status</x:v>
      </x:c>
      <x:c r="P1" s="5" t="str">
        <x:v>Purchase_Qty</x:v>
      </x:c>
      <x:c r="Q1" s="5" t="str">
        <x:v>Sales_Qty</x:v>
      </x:c>
      <x:c r="R1" s="5" t="str">
        <x:v>SOH</x:v>
      </x:c>
      <x:c r="S1" s="5" t="str">
        <x:v>Sales_Value</x:v>
      </x:c>
      <x:c r="T1" s="5" t="str">
        <x:v>Profit_Value</x:v>
      </x:c>
      <x:c r="U1" s="5" t="str">
        <x:v>Inventory_Value</x:v>
      </x:c>
      <x:c r="V1" s="5" t="str">
        <x:v>Zero_Sales_Flag</x:v>
      </x:c>
      <x:c r="W1" s="5" t="str">
        <x:v>Inventory_Risk_Value</x:v>
      </x:c>
      <x:c r="X1" s="5" t="str">
        <x:v>Price_Range</x:v>
      </x:c>
      <x:c r="Y1" s="5" t="str">
        <x:v>Is_Active</x:v>
      </x:c>
    </x:row>
    <x:row r="2">
      <x:c r="A2" t="str">
        <x:v>SKU00001</x:v>
      </x:c>
      <x:c r="B2" t="str">
        <x:v>Sample Product 00001</x:v>
      </x:c>
      <x:c r="C2" t="str">
        <x:v>Active</x:v>
      </x:c>
      <x:c r="D2" t="str">
        <x:v>2026-01</x:v>
      </x:c>
      <x:c r="E2" s="12" t="n">
        <x:v>8.26</x:v>
      </x:c>
      <x:c r="F2" s="10" t="n">
        <x:v>0.3</x:v>
      </x:c>
      <x:c r="G2" t="str">
        <x:v>Medical Devices</x:v>
      </x:c>
      <x:c r="H2" t="str">
        <x:v>Home Diagnostics</x:v>
      </x:c>
      <x:c r="I2" t="str">
        <x:v>MFG003</x:v>
      </x:c>
      <x:c r="J2" t="str">
        <x:v>Manufacturer 003</x:v>
      </x:c>
      <x:c r="K2" t="str">
        <x:v>SUP003</x:v>
      </x:c>
      <x:c r="L2" t="str">
        <x:v>Supplier 003</x:v>
      </x:c>
      <x:c r="M2" t="str">
        <x:v>REG-197107</x:v>
      </x:c>
      <x:c r="N2" t="str">
        <x:v>Generic Ingredient 037</x:v>
      </x:c>
      <x:c r="O2" t="str">
        <x:v>General Sale</x:v>
      </x:c>
      <x:c r="P2" t="n">
        <x:v>8</x:v>
      </x:c>
      <x:c r="Q2" t="n">
        <x:v>0</x:v>
      </x:c>
      <x:c r="R2" t="n">
        <x:v>5</x:v>
      </x:c>
      <x:c r="S2" s="12" t="n">
        <x:f>E2*Q2</x:f>
        <x:v>0</x:v>
      </x:c>
      <x:c r="T2" s="12" t="n">
        <x:f>ROUND(S2*F2+0.000000001,2)</x:f>
        <x:v>0</x:v>
      </x:c>
      <x:c r="U2" s="12" t="n">
        <x:f>E2*R2</x:f>
        <x:v>41.3</x:v>
      </x:c>
      <x:c r="V2" t="str">
        <x:f>IF(AND(C2="Active",Q2=0),"Active Zero Sales","Not Zero Sales")</x:f>
        <x:v>Active Zero Sales</x:v>
      </x:c>
      <x:c r="W2" s="12" t="n">
        <x:f>IF(V2="Active Zero Sales",U2,0)</x:f>
        <x:v>41.3</x:v>
      </x:c>
      <x:c r="X2" t="str">
        <x:f>IF(E2&lt;25,"Low &lt; 25",IF(E2&lt;100,"Medium 25-99",IF(E2&lt;300,"High 100-299","Premium 300+")))</x:f>
        <x:v>Low &lt; 25</x:v>
      </x:c>
      <x:c r="Y2" t="n">
        <x:f>IF(C2="Active",1,0)</x:f>
        <x:v>1</x:v>
      </x:c>
    </x:row>
    <x:row r="3">
      <x:c r="A3" t="str">
        <x:v>SKU00002</x:v>
      </x:c>
      <x:c r="B3" t="str">
        <x:v>Sample Product 00002</x:v>
      </x:c>
      <x:c r="C3" t="str">
        <x:v>Blocked</x:v>
      </x:c>
      <x:c r="D3" t="str">
        <x:v>2026-03</x:v>
      </x:c>
      <x:c r="E3" s="12" t="n">
        <x:v>487.6</x:v>
      </x:c>
      <x:c r="F3" s="10" t="n">
        <x:v>0.408</x:v>
      </x:c>
      <x:c r="G3" t="str">
        <x:v>Personal Care</x:v>
      </x:c>
      <x:c r="H3" t="str">
        <x:v>Hair Care</x:v>
      </x:c>
      <x:c r="I3" t="str">
        <x:v>MFG004</x:v>
      </x:c>
      <x:c r="J3" t="str">
        <x:v>Manufacturer 004</x:v>
      </x:c>
      <x:c r="K3" t="str">
        <x:v>SUP027</x:v>
      </x:c>
      <x:c r="L3" t="str">
        <x:v>Supplier 027</x:v>
      </x:c>
      <x:c r="M3" t="str">
        <x:v>REG-906217</x:v>
      </x:c>
      <x:c r="N3" t="str">
        <x:v>Generic Ingredient 139</x:v>
      </x:c>
      <x:c r="O3" t="str">
        <x:v>General Sale</x:v>
      </x:c>
      <x:c r="P3" t="n">
        <x:v>29</x:v>
      </x:c>
      <x:c r="Q3" t="n">
        <x:v>0</x:v>
      </x:c>
      <x:c r="R3" t="n">
        <x:v>0</x:v>
      </x:c>
      <x:c r="S3" s="12" t="n">
        <x:f>E3*Q3</x:f>
        <x:v>0</x:v>
      </x:c>
      <x:c r="T3" s="12" t="n">
        <x:f>ROUND(S3*F3+0.000000001,2)</x:f>
        <x:v>0</x:v>
      </x:c>
      <x:c r="U3" s="12" t="n">
        <x:f>E3*R3</x:f>
        <x:v>0</x:v>
      </x:c>
      <x:c r="V3" t="str">
        <x:f>IF(AND(C3="Active",Q3=0),"Active Zero Sales","Not Zero Sales")</x:f>
        <x:v>Not Zero Sales</x:v>
      </x:c>
      <x:c r="W3" s="12" t="n">
        <x:f>IF(V3="Active Zero Sales",U3,0)</x:f>
        <x:v>0</x:v>
      </x:c>
      <x:c r="X3" t="str">
        <x:f>IF(E3&lt;25,"Low &lt; 25",IF(E3&lt;100,"Medium 25-99",IF(E3&lt;300,"High 100-299","Premium 300+")))</x:f>
        <x:v>Premium 300+</x:v>
      </x:c>
      <x:c r="Y3" t="n">
        <x:f>IF(C3="Active",1,0)</x:f>
        <x:v>0</x:v>
      </x:c>
    </x:row>
    <x:row r="4">
      <x:c r="A4" t="str">
        <x:v>SKU00003</x:v>
      </x:c>
      <x:c r="B4" t="str">
        <x:v>Sample Product 00003</x:v>
      </x:c>
      <x:c r="C4" t="str">
        <x:v>Active</x:v>
      </x:c>
      <x:c r="D4" t="str">
        <x:v>2026-03</x:v>
      </x:c>
      <x:c r="E4" s="12" t="n">
        <x:v>156.93</x:v>
      </x:c>
      <x:c r="F4" s="10" t="n">
        <x:v>0.142</x:v>
      </x:c>
      <x:c r="G4" t="str">
        <x:v>Nutrition</x:v>
      </x:c>
      <x:c r="H4" t="str">
        <x:v>Healthy Snacks</x:v>
      </x:c>
      <x:c r="I4" t="str">
        <x:v>MFG004</x:v>
      </x:c>
      <x:c r="J4" t="str">
        <x:v>Manufacturer 004</x:v>
      </x:c>
      <x:c r="K4" t="str">
        <x:v>SUP021</x:v>
      </x:c>
      <x:c r="L4" t="str">
        <x:v>Supplier 021</x:v>
      </x:c>
      <x:c r="M4" t="str">
        <x:v>REG-965054</x:v>
      </x:c>
      <x:c r="N4" t="str">
        <x:v>Generic Ingredient 045</x:v>
      </x:c>
      <x:c r="O4" t="str">
        <x:v>Pharmacy Only</x:v>
      </x:c>
      <x:c r="P4" t="n">
        <x:v>34</x:v>
      </x:c>
      <x:c r="Q4" t="n">
        <x:v>15</x:v>
      </x:c>
      <x:c r="R4" t="n">
        <x:v>0</x:v>
      </x:c>
      <x:c r="S4" s="12" t="n">
        <x:f>E4*Q4</x:f>
        <x:v>2353.9500000000003</x:v>
      </x:c>
      <x:c r="T4" s="12" t="n">
        <x:f>ROUND(S4*F4+0.000000001,2)</x:f>
        <x:v>334.26</x:v>
      </x:c>
      <x:c r="U4" s="12" t="n">
        <x:f>E4*R4</x:f>
        <x:v>0</x:v>
      </x:c>
      <x:c r="V4" t="str">
        <x:f>IF(AND(C4="Active",Q4=0),"Active Zero Sales","Not Zero Sales")</x:f>
        <x:v>Not Zero Sales</x:v>
      </x:c>
      <x:c r="W4" s="12" t="n">
        <x:f>IF(V4="Active Zero Sales",U4,0)</x:f>
        <x:v>0</x:v>
      </x:c>
      <x:c r="X4" t="str">
        <x:f>IF(E4&lt;25,"Low &lt; 25",IF(E4&lt;100,"Medium 25-99",IF(E4&lt;300,"High 100-299","Premium 300+")))</x:f>
        <x:v>High 100-299</x:v>
      </x:c>
      <x:c r="Y4" t="n">
        <x:f>IF(C4="Active",1,0)</x:f>
        <x:v>1</x:v>
      </x:c>
    </x:row>
    <x:row r="5">
      <x:c r="A5" t="str">
        <x:v>SKU00004</x:v>
      </x:c>
      <x:c r="B5" t="str">
        <x:v>Sample Product 00004</x:v>
      </x:c>
      <x:c r="C5" t="str">
        <x:v>Active</x:v>
      </x:c>
      <x:c r="D5" t="str">
        <x:v>2026-04</x:v>
      </x:c>
      <x:c r="E5" s="12" t="n">
        <x:v>61.12</x:v>
      </x:c>
      <x:c r="F5" s="10" t="n">
        <x:v>0.242</x:v>
      </x:c>
      <x:c r="G5" t="str">
        <x:v>General Merchandise</x:v>
      </x:c>
      <x:c r="H5" t="str">
        <x:v>Accessories</x:v>
      </x:c>
      <x:c r="I5" t="str">
        <x:v>MFG008</x:v>
      </x:c>
      <x:c r="J5" t="str">
        <x:v>Manufacturer 008</x:v>
      </x:c>
      <x:c r="K5" t="str">
        <x:v>SUP006</x:v>
      </x:c>
      <x:c r="L5" t="str">
        <x:v>Supplier 006</x:v>
      </x:c>
      <x:c r="M5" t="str">
        <x:v>REG-343710</x:v>
      </x:c>
      <x:c r="N5" t="str">
        <x:v>Generic Ingredient 124</x:v>
      </x:c>
      <x:c r="O5" t="str">
        <x:v>General Sale</x:v>
      </x:c>
      <x:c r="P5" t="n">
        <x:v>96</x:v>
      </x:c>
      <x:c r="Q5" t="n">
        <x:v>33</x:v>
      </x:c>
      <x:c r="R5" t="n">
        <x:v>16</x:v>
      </x:c>
      <x:c r="S5" s="12" t="n">
        <x:f>E5*Q5</x:f>
        <x:v>2016.9599999999998</x:v>
      </x:c>
      <x:c r="T5" s="12" t="n">
        <x:f>ROUND(S5*F5+0.000000001,2)</x:f>
        <x:v>488.1</x:v>
      </x:c>
      <x:c r="U5" s="12" t="n">
        <x:f>E5*R5</x:f>
        <x:v>977.92</x:v>
      </x:c>
      <x:c r="V5" t="str">
        <x:f>IF(AND(C5="Active",Q5=0),"Active Zero Sales","Not Zero Sales")</x:f>
        <x:v>Not Zero Sales</x:v>
      </x:c>
      <x:c r="W5" s="12" t="n">
        <x:f>IF(V5="Active Zero Sales",U5,0)</x:f>
        <x:v>0</x:v>
      </x:c>
      <x:c r="X5" t="str">
        <x:f>IF(E5&lt;25,"Low &lt; 25",IF(E5&lt;100,"Medium 25-99",IF(E5&lt;300,"High 100-299","Premium 300+")))</x:f>
        <x:v>Medium 25-99</x:v>
      </x:c>
      <x:c r="Y5" t="n">
        <x:f>IF(C5="Active",1,0)</x:f>
        <x:v>1</x:v>
      </x:c>
    </x:row>
    <x:row r="6">
      <x:c r="A6" t="str">
        <x:v>SKU00005</x:v>
      </x:c>
      <x:c r="B6" t="str">
        <x:v>Sample Product 00005</x:v>
      </x:c>
      <x:c r="C6" t="str">
        <x:v>Active</x:v>
      </x:c>
      <x:c r="D6" t="str">
        <x:v>2026-01</x:v>
      </x:c>
      <x:c r="E6" s="12" t="n">
        <x:v>134.22</x:v>
      </x:c>
      <x:c r="F6" s="10" t="n">
        <x:v>0.287</x:v>
      </x:c>
      <x:c r="G6" t="str">
        <x:v>Personal Care</x:v>
      </x:c>
      <x:c r="H6" t="str">
        <x:v>Hygiene</x:v>
      </x:c>
      <x:c r="I6" t="str">
        <x:v>MFG020</x:v>
      </x:c>
      <x:c r="J6" t="str">
        <x:v>Manufacturer 020</x:v>
      </x:c>
      <x:c r="K6" t="str">
        <x:v>SUP010</x:v>
      </x:c>
      <x:c r="L6" t="str">
        <x:v>Supplier 010</x:v>
      </x:c>
      <x:c r="M6" t="str">
        <x:v>REG-828020</x:v>
      </x:c>
      <x:c r="N6" t="str">
        <x:v>Generic Ingredient 106</x:v>
      </x:c>
      <x:c r="O6" t="str">
        <x:v>General Sale</x:v>
      </x:c>
      <x:c r="P6" t="n">
        <x:v>17</x:v>
      </x:c>
      <x:c r="Q6" t="n">
        <x:v>8</x:v>
      </x:c>
      <x:c r="R6" t="n">
        <x:v>0</x:v>
      </x:c>
      <x:c r="S6" s="12" t="n">
        <x:f>E6*Q6</x:f>
        <x:v>1073.76</x:v>
      </x:c>
      <x:c r="T6" s="12" t="n">
        <x:f>ROUND(S6*F6+0.000000001,2)</x:f>
        <x:v>308.17</x:v>
      </x:c>
      <x:c r="U6" s="12" t="n">
        <x:f>E6*R6</x:f>
        <x:v>0</x:v>
      </x:c>
      <x:c r="V6" t="str">
        <x:f>IF(AND(C6="Active",Q6=0),"Active Zero Sales","Not Zero Sales")</x:f>
        <x:v>Not Zero Sales</x:v>
      </x:c>
      <x:c r="W6" s="12" t="n">
        <x:f>IF(V6="Active Zero Sales",U6,0)</x:f>
        <x:v>0</x:v>
      </x:c>
      <x:c r="X6" t="str">
        <x:f>IF(E6&lt;25,"Low &lt; 25",IF(E6&lt;100,"Medium 25-99",IF(E6&lt;300,"High 100-299","Premium 300+")))</x:f>
        <x:v>High 100-299</x:v>
      </x:c>
      <x:c r="Y6" t="n">
        <x:f>IF(C6="Active",1,0)</x:f>
        <x:v>1</x:v>
      </x:c>
    </x:row>
    <x:row r="7">
      <x:c r="A7" t="str">
        <x:v>SKU00006</x:v>
      </x:c>
      <x:c r="B7" t="str">
        <x:v>Sample Product 00006</x:v>
      </x:c>
      <x:c r="C7" t="str">
        <x:v>Blocked</x:v>
      </x:c>
      <x:c r="D7" t="str">
        <x:v>2026-05</x:v>
      </x:c>
      <x:c r="E7" s="12" t="n">
        <x:v>7.59</x:v>
      </x:c>
      <x:c r="F7" s="10" t="n">
        <x:v>0.22</x:v>
      </x:c>
      <x:c r="G7" t="str">
        <x:v>Nutrition</x:v>
      </x:c>
      <x:c r="H7" t="str">
        <x:v>Adult Nutrition</x:v>
      </x:c>
      <x:c r="I7" t="str">
        <x:v>MFG009</x:v>
      </x:c>
      <x:c r="J7" t="str">
        <x:v>Manufacturer 009</x:v>
      </x:c>
      <x:c r="K7" t="str">
        <x:v>SUP028</x:v>
      </x:c>
      <x:c r="L7" t="str">
        <x:v>Supplier 028</x:v>
      </x:c>
      <x:c r="M7" t="str">
        <x:v>REG-572383</x:v>
      </x:c>
      <x:c r="N7" t="str">
        <x:v>Generic Ingredient 144</x:v>
      </x:c>
      <x:c r="O7" t="str">
        <x:v>General Sale</x:v>
      </x:c>
      <x:c r="P7" t="n">
        <x:v>4</x:v>
      </x:c>
      <x:c r="Q7" t="n">
        <x:v>0</x:v>
      </x:c>
      <x:c r="R7" t="n">
        <x:v>0</x:v>
      </x:c>
      <x:c r="S7" s="12" t="n">
        <x:f>E7*Q7</x:f>
        <x:v>0</x:v>
      </x:c>
      <x:c r="T7" s="12" t="n">
        <x:f>ROUND(S7*F7+0.000000001,2)</x:f>
        <x:v>0</x:v>
      </x:c>
      <x:c r="U7" s="12" t="n">
        <x:f>E7*R7</x:f>
        <x:v>0</x:v>
      </x:c>
      <x:c r="V7" t="str">
        <x:f>IF(AND(C7="Active",Q7=0),"Active Zero Sales","Not Zero Sales")</x:f>
        <x:v>Not Zero Sales</x:v>
      </x:c>
      <x:c r="W7" s="12" t="n">
        <x:f>IF(V7="Active Zero Sales",U7,0)</x:f>
        <x:v>0</x:v>
      </x:c>
      <x:c r="X7" t="str">
        <x:f>IF(E7&lt;25,"Low &lt; 25",IF(E7&lt;100,"Medium 25-99",IF(E7&lt;300,"High 100-299","Premium 300+")))</x:f>
        <x:v>Low &lt; 25</x:v>
      </x:c>
      <x:c r="Y7" t="n">
        <x:f>IF(C7="Active",1,0)</x:f>
        <x:v>0</x:v>
      </x:c>
    </x:row>
    <x:row r="8">
      <x:c r="A8" t="str">
        <x:v>SKU00007</x:v>
      </x:c>
      <x:c r="B8" t="str">
        <x:v>Sample Product 00007</x:v>
      </x:c>
      <x:c r="C8" t="str">
        <x:v>Active</x:v>
      </x:c>
      <x:c r="D8" t="str">
        <x:v>2026-01</x:v>
      </x:c>
      <x:c r="E8" s="12" t="n">
        <x:v>173.49</x:v>
      </x:c>
      <x:c r="F8" s="10" t="n">
        <x:v>0.25</x:v>
      </x:c>
      <x:c r="G8" t="str">
        <x:v>General Merchandise</x:v>
      </x:c>
      <x:c r="H8" t="str">
        <x:v>Travel Health</x:v>
      </x:c>
      <x:c r="I8" t="str">
        <x:v>MFG015</x:v>
      </x:c>
      <x:c r="J8" t="str">
        <x:v>Manufacturer 015</x:v>
      </x:c>
      <x:c r="K8" t="str">
        <x:v>SUP019</x:v>
      </x:c>
      <x:c r="L8" t="str">
        <x:v>Supplier 019</x:v>
      </x:c>
      <x:c r="M8" t="str">
        <x:v>REG-844216</x:v>
      </x:c>
      <x:c r="N8" t="str">
        <x:v>Generic Ingredient 048</x:v>
      </x:c>
      <x:c r="O8" t="str">
        <x:v>Pharmacy Only</x:v>
      </x:c>
      <x:c r="P8" t="n">
        <x:v>68</x:v>
      </x:c>
      <x:c r="Q8" t="n">
        <x:v>17</x:v>
      </x:c>
      <x:c r="R8" t="n">
        <x:v>5</x:v>
      </x:c>
      <x:c r="S8" s="12" t="n">
        <x:f>E8*Q8</x:f>
        <x:v>2949.33</x:v>
      </x:c>
      <x:c r="T8" s="12" t="n">
        <x:f>ROUND(S8*F8+0.000000001,2)</x:f>
        <x:v>737.33</x:v>
      </x:c>
      <x:c r="U8" s="12" t="n">
        <x:f>E8*R8</x:f>
        <x:v>867.45</x:v>
      </x:c>
      <x:c r="V8" t="str">
        <x:f>IF(AND(C8="Active",Q8=0),"Active Zero Sales","Not Zero Sales")</x:f>
        <x:v>Not Zero Sales</x:v>
      </x:c>
      <x:c r="W8" s="12" t="n">
        <x:f>IF(V8="Active Zero Sales",U8,0)</x:f>
        <x:v>0</x:v>
      </x:c>
      <x:c r="X8" t="str">
        <x:f>IF(E8&lt;25,"Low &lt; 25",IF(E8&lt;100,"Medium 25-99",IF(E8&lt;300,"High 100-299","Premium 300+")))</x:f>
        <x:v>High 100-299</x:v>
      </x:c>
      <x:c r="Y8" t="n">
        <x:f>IF(C8="Active",1,0)</x:f>
        <x:v>1</x:v>
      </x:c>
    </x:row>
    <x:row r="9">
      <x:c r="A9" t="str">
        <x:v>SKU00008</x:v>
      </x:c>
      <x:c r="B9" t="str">
        <x:v>Sample Product 00008</x:v>
      </x:c>
      <x:c r="C9" t="str">
        <x:v>Active</x:v>
      </x:c>
      <x:c r="D9" t="str">
        <x:v>2026-02</x:v>
      </x:c>
      <x:c r="E9" s="12" t="n">
        <x:v>45.69</x:v>
      </x:c>
      <x:c r="F9" s="10" t="n">
        <x:v>0.332</x:v>
      </x:c>
      <x:c r="G9" t="str">
        <x:v>OTC &amp; Wellness</x:v>
      </x:c>
      <x:c r="H9" t="str">
        <x:v>Pain Relief</x:v>
      </x:c>
      <x:c r="I9" t="str">
        <x:v>MFG018</x:v>
      </x:c>
      <x:c r="J9" t="str">
        <x:v>Manufacturer 018</x:v>
      </x:c>
      <x:c r="K9" t="str">
        <x:v>SUP022</x:v>
      </x:c>
      <x:c r="L9" t="str">
        <x:v>Supplier 022</x:v>
      </x:c>
      <x:c r="M9" t="str">
        <x:v>REG-335489</x:v>
      </x:c>
      <x:c r="N9" t="str">
        <x:v>Generic Ingredient 062</x:v>
      </x:c>
      <x:c r="O9" t="str">
        <x:v>General Sale</x:v>
      </x:c>
      <x:c r="P9" t="n">
        <x:v>49</x:v>
      </x:c>
      <x:c r="Q9" t="n">
        <x:v>9</x:v>
      </x:c>
      <x:c r="R9" t="n">
        <x:v>18</x:v>
      </x:c>
      <x:c r="S9" s="12" t="n">
        <x:f>E9*Q9</x:f>
        <x:v>411.21</x:v>
      </x:c>
      <x:c r="T9" s="12" t="n">
        <x:f>ROUND(S9*F9+0.000000001,2)</x:f>
        <x:v>136.52</x:v>
      </x:c>
      <x:c r="U9" s="12" t="n">
        <x:f>E9*R9</x:f>
        <x:v>822.42</x:v>
      </x:c>
      <x:c r="V9" t="str">
        <x:f>IF(AND(C9="Active",Q9=0),"Active Zero Sales","Not Zero Sales")</x:f>
        <x:v>Not Zero Sales</x:v>
      </x:c>
      <x:c r="W9" s="12" t="n">
        <x:f>IF(V9="Active Zero Sales",U9,0)</x:f>
        <x:v>0</x:v>
      </x:c>
      <x:c r="X9" t="str">
        <x:f>IF(E9&lt;25,"Low &lt; 25",IF(E9&lt;100,"Medium 25-99",IF(E9&lt;300,"High 100-299","Premium 300+")))</x:f>
        <x:v>Medium 25-99</x:v>
      </x:c>
      <x:c r="Y9" t="n">
        <x:f>IF(C9="Active",1,0)</x:f>
        <x:v>1</x:v>
      </x:c>
    </x:row>
    <x:row r="10">
      <x:c r="A10" t="str">
        <x:v>SKU00009</x:v>
      </x:c>
      <x:c r="B10" t="str">
        <x:v>Sample Product 00009</x:v>
      </x:c>
      <x:c r="C10" t="str">
        <x:v>Active</x:v>
      </x:c>
      <x:c r="D10" t="str">
        <x:v>2026-02</x:v>
      </x:c>
      <x:c r="E10" s="12" t="n">
        <x:v>49.31</x:v>
      </x:c>
      <x:c r="F10" s="10" t="n">
        <x:v>0.34</x:v>
      </x:c>
      <x:c r="G10" t="str">
        <x:v>OTC &amp; Wellness</x:v>
      </x:c>
      <x:c r="H10" t="str">
        <x:v>Digestive Care</x:v>
      </x:c>
      <x:c r="I10" t="str">
        <x:v>MFG016</x:v>
      </x:c>
      <x:c r="J10" t="str">
        <x:v>Manufacturer 016</x:v>
      </x:c>
      <x:c r="K10" t="str">
        <x:v>SUP005</x:v>
      </x:c>
      <x:c r="L10" t="str">
        <x:v>Supplier 005</x:v>
      </x:c>
      <x:c r="M10" t="str">
        <x:v>REG-372198</x:v>
      </x:c>
      <x:c r="N10" t="str">
        <x:v>Generic Ingredient 030</x:v>
      </x:c>
      <x:c r="O10" t="str">
        <x:v>Restricted Sale</x:v>
      </x:c>
      <x:c r="P10" t="n">
        <x:v>19</x:v>
      </x:c>
      <x:c r="Q10" t="n">
        <x:v>6</x:v>
      </x:c>
      <x:c r="R10" t="n">
        <x:v>21</x:v>
      </x:c>
      <x:c r="S10" s="12" t="n">
        <x:f>E10*Q10</x:f>
        <x:v>295.86</x:v>
      </x:c>
      <x:c r="T10" s="12" t="n">
        <x:f>ROUND(S10*F10+0.000000001,2)</x:f>
        <x:v>100.59</x:v>
      </x:c>
      <x:c r="U10" s="12" t="n">
        <x:f>E10*R10</x:f>
        <x:v>1035.51</x:v>
      </x:c>
      <x:c r="V10" t="str">
        <x:f>IF(AND(C10="Active",Q10=0),"Active Zero Sales","Not Zero Sales")</x:f>
        <x:v>Not Zero Sales</x:v>
      </x:c>
      <x:c r="W10" s="12" t="n">
        <x:f>IF(V10="Active Zero Sales",U10,0)</x:f>
        <x:v>0</x:v>
      </x:c>
      <x:c r="X10" t="str">
        <x:f>IF(E10&lt;25,"Low &lt; 25",IF(E10&lt;100,"Medium 25-99",IF(E10&lt;300,"High 100-299","Premium 300+")))</x:f>
        <x:v>Medium 25-99</x:v>
      </x:c>
      <x:c r="Y10" t="n">
        <x:f>IF(C10="Active",1,0)</x:f>
        <x:v>1</x:v>
      </x:c>
    </x:row>
    <x:row r="11">
      <x:c r="A11" t="str">
        <x:v>SKU00010</x:v>
      </x:c>
      <x:c r="B11" t="str">
        <x:v>Sample Product 00010</x:v>
      </x:c>
      <x:c r="C11" t="str">
        <x:v>Active</x:v>
      </x:c>
      <x:c r="D11" t="str">
        <x:v>2026-03</x:v>
      </x:c>
      <x:c r="E11" s="12" t="n">
        <x:v>48.65</x:v>
      </x:c>
      <x:c r="F11" s="10" t="n">
        <x:v>0.403</x:v>
      </x:c>
      <x:c r="G11" t="str">
        <x:v>General Merchandise</x:v>
      </x:c>
      <x:c r="H11" t="str">
        <x:v>Travel Health</x:v>
      </x:c>
      <x:c r="I11" t="str">
        <x:v>MFG004</x:v>
      </x:c>
      <x:c r="J11" t="str">
        <x:v>Manufacturer 004</x:v>
      </x:c>
      <x:c r="K11" t="str">
        <x:v>SUP019</x:v>
      </x:c>
      <x:c r="L11" t="str">
        <x:v>Supplier 019</x:v>
      </x:c>
      <x:c r="M11" t="str">
        <x:v>REG-355816</x:v>
      </x:c>
      <x:c r="N11" t="str">
        <x:v>Generic Ingredient 038</x:v>
      </x:c>
      <x:c r="O11" t="str">
        <x:v>Pharmacy Only</x:v>
      </x:c>
      <x:c r="P11" t="n">
        <x:v>51</x:v>
      </x:c>
      <x:c r="Q11" t="n">
        <x:v>24</x:v>
      </x:c>
      <x:c r="R11" t="n">
        <x:v>20</x:v>
      </x:c>
      <x:c r="S11" s="12" t="n">
        <x:f>E11*Q11</x:f>
        <x:v>1167.6</x:v>
      </x:c>
      <x:c r="T11" s="12" t="n">
        <x:f>ROUND(S11*F11+0.000000001,2)</x:f>
        <x:v>470.54</x:v>
      </x:c>
      <x:c r="U11" s="12" t="n">
        <x:f>E11*R11</x:f>
        <x:v>973</x:v>
      </x:c>
      <x:c r="V11" t="str">
        <x:f>IF(AND(C11="Active",Q11=0),"Active Zero Sales","Not Zero Sales")</x:f>
        <x:v>Not Zero Sales</x:v>
      </x:c>
      <x:c r="W11" s="12" t="n">
        <x:f>IF(V11="Active Zero Sales",U11,0)</x:f>
        <x:v>0</x:v>
      </x:c>
      <x:c r="X11" t="str">
        <x:f>IF(E11&lt;25,"Low &lt; 25",IF(E11&lt;100,"Medium 25-99",IF(E11&lt;300,"High 100-299","Premium 300+")))</x:f>
        <x:v>Medium 25-99</x:v>
      </x:c>
      <x:c r="Y11" t="n">
        <x:f>IF(C11="Active",1,0)</x:f>
        <x:v>1</x:v>
      </x:c>
    </x:row>
    <x:row r="12">
      <x:c r="A12" t="str">
        <x:v>SKU00011</x:v>
      </x:c>
      <x:c r="B12" t="str">
        <x:v>Sample Product 00011</x:v>
      </x:c>
      <x:c r="C12" t="str">
        <x:v>Active</x:v>
      </x:c>
      <x:c r="D12" t="str">
        <x:v>2026-03</x:v>
      </x:c>
      <x:c r="E12" s="12" t="n">
        <x:v>75.25</x:v>
      </x:c>
      <x:c r="F12" s="10" t="n">
        <x:v>0.327</x:v>
      </x:c>
      <x:c r="G12" t="str">
        <x:v>OTC &amp; Wellness</x:v>
      </x:c>
      <x:c r="H12" t="str">
        <x:v>Vitamins</x:v>
      </x:c>
      <x:c r="I12" t="str">
        <x:v>MFG004</x:v>
      </x:c>
      <x:c r="J12" t="str">
        <x:v>Manufacturer 004</x:v>
      </x:c>
      <x:c r="K12" t="str">
        <x:v>SUP006</x:v>
      </x:c>
      <x:c r="L12" t="str">
        <x:v>Supplier 006</x:v>
      </x:c>
      <x:c r="M12" t="str">
        <x:v>REG-549116</x:v>
      </x:c>
      <x:c r="N12" t="str">
        <x:v>Generic Ingredient 059</x:v>
      </x:c>
      <x:c r="O12" t="str">
        <x:v>General Sale</x:v>
      </x:c>
      <x:c r="P12" t="n">
        <x:v>65</x:v>
      </x:c>
      <x:c r="Q12" t="n">
        <x:v>7</x:v>
      </x:c>
      <x:c r="R12" t="n">
        <x:v>10</x:v>
      </x:c>
      <x:c r="S12" s="12" t="n">
        <x:f>E12*Q12</x:f>
        <x:v>526.75</x:v>
      </x:c>
      <x:c r="T12" s="12" t="n">
        <x:f>ROUND(S12*F12+0.000000001,2)</x:f>
        <x:v>172.25</x:v>
      </x:c>
      <x:c r="U12" s="12" t="n">
        <x:f>E12*R12</x:f>
        <x:v>752.5</x:v>
      </x:c>
      <x:c r="V12" t="str">
        <x:f>IF(AND(C12="Active",Q12=0),"Active Zero Sales","Not Zero Sales")</x:f>
        <x:v>Not Zero Sales</x:v>
      </x:c>
      <x:c r="W12" s="12" t="n">
        <x:f>IF(V12="Active Zero Sales",U12,0)</x:f>
        <x:v>0</x:v>
      </x:c>
      <x:c r="X12" t="str">
        <x:f>IF(E12&lt;25,"Low &lt; 25",IF(E12&lt;100,"Medium 25-99",IF(E12&lt;300,"High 100-299","Premium 300+")))</x:f>
        <x:v>Medium 25-99</x:v>
      </x:c>
      <x:c r="Y12" t="n">
        <x:f>IF(C12="Active",1,0)</x:f>
        <x:v>1</x:v>
      </x:c>
    </x:row>
    <x:row r="13">
      <x:c r="A13" t="str">
        <x:v>SKU00012</x:v>
      </x:c>
      <x:c r="B13" t="str">
        <x:v>Sample Product 00012</x:v>
      </x:c>
      <x:c r="C13" t="str">
        <x:v>Active</x:v>
      </x:c>
      <x:c r="D13" t="str">
        <x:v>2026-01</x:v>
      </x:c>
      <x:c r="E13" s="12" t="n">
        <x:v>184.69</x:v>
      </x:c>
      <x:c r="F13" s="10" t="n">
        <x:v>0.291</x:v>
      </x:c>
      <x:c r="G13" t="str">
        <x:v>Medical Devices</x:v>
      </x:c>
      <x:c r="H13" t="str">
        <x:v>Mobility Aids</x:v>
      </x:c>
      <x:c r="I13" t="str">
        <x:v>MFG013</x:v>
      </x:c>
      <x:c r="J13" t="str">
        <x:v>Manufacturer 013</x:v>
      </x:c>
      <x:c r="K13" t="str">
        <x:v>SUP011</x:v>
      </x:c>
      <x:c r="L13" t="str">
        <x:v>Supplier 011</x:v>
      </x:c>
      <x:c r="M13" t="str">
        <x:v>REG-911609</x:v>
      </x:c>
      <x:c r="N13" t="str">
        <x:v>Generic Ingredient 022</x:v>
      </x:c>
      <x:c r="O13" t="str">
        <x:v>General Sale</x:v>
      </x:c>
      <x:c r="P13" t="n">
        <x:v>73</x:v>
      </x:c>
      <x:c r="Q13" t="n">
        <x:v>6</x:v>
      </x:c>
      <x:c r="R13" t="n">
        <x:v>19</x:v>
      </x:c>
      <x:c r="S13" s="12" t="n">
        <x:f>E13*Q13</x:f>
        <x:v>1108.1399999999999</x:v>
      </x:c>
      <x:c r="T13" s="12" t="n">
        <x:f>ROUND(S13*F13+0.000000001,2)</x:f>
        <x:v>322.47</x:v>
      </x:c>
      <x:c r="U13" s="12" t="n">
        <x:f>E13*R13</x:f>
        <x:v>3509.11</x:v>
      </x:c>
      <x:c r="V13" t="str">
        <x:f>IF(AND(C13="Active",Q13=0),"Active Zero Sales","Not Zero Sales")</x:f>
        <x:v>Not Zero Sales</x:v>
      </x:c>
      <x:c r="W13" s="12" t="n">
        <x:f>IF(V13="Active Zero Sales",U13,0)</x:f>
        <x:v>0</x:v>
      </x:c>
      <x:c r="X13" t="str">
        <x:f>IF(E13&lt;25,"Low &lt; 25",IF(E13&lt;100,"Medium 25-99",IF(E13&lt;300,"High 100-299","Premium 300+")))</x:f>
        <x:v>High 100-299</x:v>
      </x:c>
      <x:c r="Y13" t="n">
        <x:f>IF(C13="Active",1,0)</x:f>
        <x:v>1</x:v>
      </x:c>
    </x:row>
    <x:row r="14">
      <x:c r="A14" t="str">
        <x:v>SKU00013</x:v>
      </x:c>
      <x:c r="B14" t="str">
        <x:v>Sample Product 00013</x:v>
      </x:c>
      <x:c r="C14" t="str">
        <x:v>Active</x:v>
      </x:c>
      <x:c r="D14" t="str">
        <x:v>2026-02</x:v>
      </x:c>
      <x:c r="E14" s="12" t="n">
        <x:v>131.11</x:v>
      </x:c>
      <x:c r="F14" s="10" t="n">
        <x:v>0.206</x:v>
      </x:c>
      <x:c r="G14" t="str">
        <x:v>Medical Devices</x:v>
      </x:c>
      <x:c r="H14" t="str">
        <x:v>First Aid</x:v>
      </x:c>
      <x:c r="I14" t="str">
        <x:v>MFG006</x:v>
      </x:c>
      <x:c r="J14" t="str">
        <x:v>Manufacturer 006</x:v>
      </x:c>
      <x:c r="K14" t="str">
        <x:v>SUP026</x:v>
      </x:c>
      <x:c r="L14" t="str">
        <x:v>Supplier 026</x:v>
      </x:c>
      <x:c r="M14" t="str">
        <x:v>REG-995467</x:v>
      </x:c>
      <x:c r="N14" t="str">
        <x:v>Generic Ingredient 020</x:v>
      </x:c>
      <x:c r="O14" t="str">
        <x:v>General Sale</x:v>
      </x:c>
      <x:c r="P14" t="n">
        <x:v>59</x:v>
      </x:c>
      <x:c r="Q14" t="n">
        <x:v>27</x:v>
      </x:c>
      <x:c r="R14" t="n">
        <x:v>2</x:v>
      </x:c>
      <x:c r="S14" s="12" t="n">
        <x:f>E14*Q14</x:f>
        <x:v>3539.9700000000003</x:v>
      </x:c>
      <x:c r="T14" s="12" t="n">
        <x:f>ROUND(S14*F14+0.000000001,2)</x:f>
        <x:v>729.23</x:v>
      </x:c>
      <x:c r="U14" s="12" t="n">
        <x:f>E14*R14</x:f>
        <x:v>262.22</x:v>
      </x:c>
      <x:c r="V14" t="str">
        <x:f>IF(AND(C14="Active",Q14=0),"Active Zero Sales","Not Zero Sales")</x:f>
        <x:v>Not Zero Sales</x:v>
      </x:c>
      <x:c r="W14" s="12" t="n">
        <x:f>IF(V14="Active Zero Sales",U14,0)</x:f>
        <x:v>0</x:v>
      </x:c>
      <x:c r="X14" t="str">
        <x:f>IF(E14&lt;25,"Low &lt; 25",IF(E14&lt;100,"Medium 25-99",IF(E14&lt;300,"High 100-299","Premium 300+")))</x:f>
        <x:v>High 100-299</x:v>
      </x:c>
      <x:c r="Y14" t="n">
        <x:f>IF(C14="Active",1,0)</x:f>
        <x:v>1</x:v>
      </x:c>
    </x:row>
    <x:row r="15">
      <x:c r="A15" t="str">
        <x:v>SKU00014</x:v>
      </x:c>
      <x:c r="B15" t="str">
        <x:v>Sample Product 00014</x:v>
      </x:c>
      <x:c r="C15" t="str">
        <x:v>Blocked</x:v>
      </x:c>
      <x:c r="D15" t="str">
        <x:v>2026-01</x:v>
      </x:c>
      <x:c r="E15" s="12" t="n">
        <x:v>86.84</x:v>
      </x:c>
      <x:c r="F15" s="10" t="n">
        <x:v>0.286</x:v>
      </x:c>
      <x:c r="G15" t="str">
        <x:v>Medical Devices</x:v>
      </x:c>
      <x:c r="H15" t="str">
        <x:v>Home Diagnostics</x:v>
      </x:c>
      <x:c r="I15" t="str">
        <x:v>MFG004</x:v>
      </x:c>
      <x:c r="J15" t="str">
        <x:v>Manufacturer 004</x:v>
      </x:c>
      <x:c r="K15" t="str">
        <x:v>SUP003</x:v>
      </x:c>
      <x:c r="L15" t="str">
        <x:v>Supplier 003</x:v>
      </x:c>
      <x:c r="M15" t="str">
        <x:v>REG-217474</x:v>
      </x:c>
      <x:c r="N15" t="str">
        <x:v>Generic Ingredient 126</x:v>
      </x:c>
      <x:c r="O15" t="str">
        <x:v>Pharmacy Only</x:v>
      </x:c>
      <x:c r="P15" t="n">
        <x:v>41</x:v>
      </x:c>
      <x:c r="Q15" t="n">
        <x:v>1</x:v>
      </x:c>
      <x:c r="R15" t="n">
        <x:v>0</x:v>
      </x:c>
      <x:c r="S15" s="12" t="n">
        <x:f>E15*Q15</x:f>
        <x:v>86.84</x:v>
      </x:c>
      <x:c r="T15" s="12" t="n">
        <x:f>ROUND(S15*F15+0.000000001,2)</x:f>
        <x:v>24.84</x:v>
      </x:c>
      <x:c r="U15" s="12" t="n">
        <x:f>E15*R15</x:f>
        <x:v>0</x:v>
      </x:c>
      <x:c r="V15" t="str">
        <x:f>IF(AND(C15="Active",Q15=0),"Active Zero Sales","Not Zero Sales")</x:f>
        <x:v>Not Zero Sales</x:v>
      </x:c>
      <x:c r="W15" s="12" t="n">
        <x:f>IF(V15="Active Zero Sales",U15,0)</x:f>
        <x:v>0</x:v>
      </x:c>
      <x:c r="X15" t="str">
        <x:f>IF(E15&lt;25,"Low &lt; 25",IF(E15&lt;100,"Medium 25-99",IF(E15&lt;300,"High 100-299","Premium 300+")))</x:f>
        <x:v>Medium 25-99</x:v>
      </x:c>
      <x:c r="Y15" t="n">
        <x:f>IF(C15="Active",1,0)</x:f>
        <x:v>0</x:v>
      </x:c>
    </x:row>
    <x:row r="16">
      <x:c r="A16" t="str">
        <x:v>SKU00015</x:v>
      </x:c>
      <x:c r="B16" t="str">
        <x:v>Sample Product 00015</x:v>
      </x:c>
      <x:c r="C16" t="str">
        <x:v>Active</x:v>
      </x:c>
      <x:c r="D16" t="str">
        <x:v>2026-04</x:v>
      </x:c>
      <x:c r="E16" s="12" t="n">
        <x:v>280.71</x:v>
      </x:c>
      <x:c r="F16" s="10" t="n">
        <x:v>0.356</x:v>
      </x:c>
      <x:c r="G16" t="str">
        <x:v>Personal Care</x:v>
      </x:c>
      <x:c r="H16" t="str">
        <x:v>Oral Care</x:v>
      </x:c>
      <x:c r="I16" t="str">
        <x:v>MFG015</x:v>
      </x:c>
      <x:c r="J16" t="str">
        <x:v>Manufacturer 015</x:v>
      </x:c>
      <x:c r="K16" t="str">
        <x:v>SUP029</x:v>
      </x:c>
      <x:c r="L16" t="str">
        <x:v>Supplier 029</x:v>
      </x:c>
      <x:c r="M16" t="str">
        <x:v>REG-176583</x:v>
      </x:c>
      <x:c r="N16" t="str">
        <x:v>Generic Ingredient 085</x:v>
      </x:c>
      <x:c r="O16" t="str">
        <x:v>General Sale</x:v>
      </x:c>
      <x:c r="P16" t="n">
        <x:v>266</x:v>
      </x:c>
      <x:c r="Q16" t="n">
        <x:v>160</x:v>
      </x:c>
      <x:c r="R16" t="n">
        <x:v>70</x:v>
      </x:c>
      <x:c r="S16" s="12" t="n">
        <x:f>E16*Q16</x:f>
        <x:v>44913.6</x:v>
      </x:c>
      <x:c r="T16" s="12" t="n">
        <x:f>ROUND(S16*F16+0.000000001,2)</x:f>
        <x:v>15989.24</x:v>
      </x:c>
      <x:c r="U16" s="12" t="n">
        <x:f>E16*R16</x:f>
        <x:v>19649.699999999997</x:v>
      </x:c>
      <x:c r="V16" t="str">
        <x:f>IF(AND(C16="Active",Q16=0),"Active Zero Sales","Not Zero Sales")</x:f>
        <x:v>Not Zero Sales</x:v>
      </x:c>
      <x:c r="W16" s="12" t="n">
        <x:f>IF(V16="Active Zero Sales",U16,0)</x:f>
        <x:v>0</x:v>
      </x:c>
      <x:c r="X16" t="str">
        <x:f>IF(E16&lt;25,"Low &lt; 25",IF(E16&lt;100,"Medium 25-99",IF(E16&lt;300,"High 100-299","Premium 300+")))</x:f>
        <x:v>High 100-299</x:v>
      </x:c>
      <x:c r="Y16" t="n">
        <x:f>IF(C16="Active",1,0)</x:f>
        <x:v>1</x:v>
      </x:c>
    </x:row>
    <x:row r="17">
      <x:c r="A17" t="str">
        <x:v>SKU00016</x:v>
      </x:c>
      <x:c r="B17" t="str">
        <x:v>Sample Product 00016</x:v>
      </x:c>
      <x:c r="C17" t="str">
        <x:v>Active</x:v>
      </x:c>
      <x:c r="D17" t="str">
        <x:v>2026-05</x:v>
      </x:c>
      <x:c r="E17" s="12" t="n">
        <x:v>13.7</x:v>
      </x:c>
      <x:c r="F17" s="10" t="n">
        <x:v>0.274</x:v>
      </x:c>
      <x:c r="G17" t="str">
        <x:v>OTC &amp; Wellness</x:v>
      </x:c>
      <x:c r="H17" t="str">
        <x:v>Vitamins</x:v>
      </x:c>
      <x:c r="I17" t="str">
        <x:v>MFG015</x:v>
      </x:c>
      <x:c r="J17" t="str">
        <x:v>Manufacturer 015</x:v>
      </x:c>
      <x:c r="K17" t="str">
        <x:v>SUP019</x:v>
      </x:c>
      <x:c r="L17" t="str">
        <x:v>Supplier 019</x:v>
      </x:c>
      <x:c r="M17" t="str">
        <x:v>REG-157799</x:v>
      </x:c>
      <x:c r="N17" t="str">
        <x:v>Generic Ingredient 096</x:v>
      </x:c>
      <x:c r="O17" t="str">
        <x:v>General Sale</x:v>
      </x:c>
      <x:c r="P17" t="n">
        <x:v>192</x:v>
      </x:c>
      <x:c r="Q17" t="n">
        <x:v>114</x:v>
      </x:c>
      <x:c r="R17" t="n">
        <x:v>32</x:v>
      </x:c>
      <x:c r="S17" s="12" t="n">
        <x:f>E17*Q17</x:f>
        <x:v>1561.8</x:v>
      </x:c>
      <x:c r="T17" s="12" t="n">
        <x:f>ROUND(S17*F17+0.000000001,2)</x:f>
        <x:v>427.93</x:v>
      </x:c>
      <x:c r="U17" s="12" t="n">
        <x:f>E17*R17</x:f>
        <x:v>438.4</x:v>
      </x:c>
      <x:c r="V17" t="str">
        <x:f>IF(AND(C17="Active",Q17=0),"Active Zero Sales","Not Zero Sales")</x:f>
        <x:v>Not Zero Sales</x:v>
      </x:c>
      <x:c r="W17" s="12" t="n">
        <x:f>IF(V17="Active Zero Sales",U17,0)</x:f>
        <x:v>0</x:v>
      </x:c>
      <x:c r="X17" t="str">
        <x:f>IF(E17&lt;25,"Low &lt; 25",IF(E17&lt;100,"Medium 25-99",IF(E17&lt;300,"High 100-299","Premium 300+")))</x:f>
        <x:v>Low &lt; 25</x:v>
      </x:c>
      <x:c r="Y17" t="n">
        <x:f>IF(C17="Active",1,0)</x:f>
        <x:v>1</x:v>
      </x:c>
    </x:row>
    <x:row r="18">
      <x:c r="A18" t="str">
        <x:v>SKU00017</x:v>
      </x:c>
      <x:c r="B18" t="str">
        <x:v>Sample Product 00017</x:v>
      </x:c>
      <x:c r="C18" t="str">
        <x:v>Active</x:v>
      </x:c>
      <x:c r="D18" t="str">
        <x:v>2026-04</x:v>
      </x:c>
      <x:c r="E18" s="12" t="n">
        <x:v>183.96</x:v>
      </x:c>
      <x:c r="F18" s="10" t="n">
        <x:v>0.327</x:v>
      </x:c>
      <x:c r="G18" t="str">
        <x:v>General Merchandise</x:v>
      </x:c>
      <x:c r="H18" t="str">
        <x:v>Travel Health</x:v>
      </x:c>
      <x:c r="I18" t="str">
        <x:v>MFG019</x:v>
      </x:c>
      <x:c r="J18" t="str">
        <x:v>Manufacturer 019</x:v>
      </x:c>
      <x:c r="K18" t="str">
        <x:v>SUP019</x:v>
      </x:c>
      <x:c r="L18" t="str">
        <x:v>Supplier 019</x:v>
      </x:c>
      <x:c r="M18" t="str">
        <x:v>REG-573897</x:v>
      </x:c>
      <x:c r="N18" t="str">
        <x:v>Generic Ingredient 127</x:v>
      </x:c>
      <x:c r="O18" t="str">
        <x:v>General Sale</x:v>
      </x:c>
      <x:c r="P18" t="n">
        <x:v>64</x:v>
      </x:c>
      <x:c r="Q18" t="n">
        <x:v>0</x:v>
      </x:c>
      <x:c r="R18" t="n">
        <x:v>35</x:v>
      </x:c>
      <x:c r="S18" s="12" t="n">
        <x:f>E18*Q18</x:f>
        <x:v>0</x:v>
      </x:c>
      <x:c r="T18" s="12" t="n">
        <x:f>ROUND(S18*F18+0.000000001,2)</x:f>
        <x:v>0</x:v>
      </x:c>
      <x:c r="U18" s="12" t="n">
        <x:f>E18*R18</x:f>
        <x:v>6438.6</x:v>
      </x:c>
      <x:c r="V18" t="str">
        <x:f>IF(AND(C18="Active",Q18=0),"Active Zero Sales","Not Zero Sales")</x:f>
        <x:v>Active Zero Sales</x:v>
      </x:c>
      <x:c r="W18" s="12" t="n">
        <x:f>IF(V18="Active Zero Sales",U18,0)</x:f>
        <x:v>6438.6</x:v>
      </x:c>
      <x:c r="X18" t="str">
        <x:f>IF(E18&lt;25,"Low &lt; 25",IF(E18&lt;100,"Medium 25-99",IF(E18&lt;300,"High 100-299","Premium 300+")))</x:f>
        <x:v>High 100-299</x:v>
      </x:c>
      <x:c r="Y18" t="n">
        <x:f>IF(C18="Active",1,0)</x:f>
        <x:v>1</x:v>
      </x:c>
    </x:row>
    <x:row r="19">
      <x:c r="A19" t="str">
        <x:v>SKU00018</x:v>
      </x:c>
      <x:c r="B19" t="str">
        <x:v>Sample Product 00018</x:v>
      </x:c>
      <x:c r="C19" t="str">
        <x:v>Blocked</x:v>
      </x:c>
      <x:c r="D19" t="str">
        <x:v>2026-05</x:v>
      </x:c>
      <x:c r="E19" s="12" t="n">
        <x:v>33.97</x:v>
      </x:c>
      <x:c r="F19" s="10" t="n">
        <x:v>0.351</x:v>
      </x:c>
      <x:c r="G19" t="str">
        <x:v>Personal Care</x:v>
      </x:c>
      <x:c r="H19" t="str">
        <x:v>Skin Care</x:v>
      </x:c>
      <x:c r="I19" t="str">
        <x:v>MFG016</x:v>
      </x:c>
      <x:c r="J19" t="str">
        <x:v>Manufacturer 016</x:v>
      </x:c>
      <x:c r="K19" t="str">
        <x:v>SUP020</x:v>
      </x:c>
      <x:c r="L19" t="str">
        <x:v>Supplier 020</x:v>
      </x:c>
      <x:c r="M19" t="str">
        <x:v>REG-356813</x:v>
      </x:c>
      <x:c r="N19" t="str">
        <x:v>Generic Ingredient 086</x:v>
      </x:c>
      <x:c r="O19" t="str">
        <x:v>General Sale</x:v>
      </x:c>
      <x:c r="P19" t="n">
        <x:v>39</x:v>
      </x:c>
      <x:c r="Q19" t="n">
        <x:v>1</x:v>
      </x:c>
      <x:c r="R19" t="n">
        <x:v>0</x:v>
      </x:c>
      <x:c r="S19" s="12" t="n">
        <x:f>E19*Q19</x:f>
        <x:v>33.97</x:v>
      </x:c>
      <x:c r="T19" s="12" t="n">
        <x:f>ROUND(S19*F19+0.000000001,2)</x:f>
        <x:v>11.92</x:v>
      </x:c>
      <x:c r="U19" s="12" t="n">
        <x:f>E19*R19</x:f>
        <x:v>0</x:v>
      </x:c>
      <x:c r="V19" t="str">
        <x:f>IF(AND(C19="Active",Q19=0),"Active Zero Sales","Not Zero Sales")</x:f>
        <x:v>Not Zero Sales</x:v>
      </x:c>
      <x:c r="W19" s="12" t="n">
        <x:f>IF(V19="Active Zero Sales",U19,0)</x:f>
        <x:v>0</x:v>
      </x:c>
      <x:c r="X19" t="str">
        <x:f>IF(E19&lt;25,"Low &lt; 25",IF(E19&lt;100,"Medium 25-99",IF(E19&lt;300,"High 100-299","Premium 300+")))</x:f>
        <x:v>Medium 25-99</x:v>
      </x:c>
      <x:c r="Y19" t="n">
        <x:f>IF(C19="Active",1,0)</x:f>
        <x:v>0</x:v>
      </x:c>
    </x:row>
    <x:row r="20">
      <x:c r="A20" t="str">
        <x:v>SKU00019</x:v>
      </x:c>
      <x:c r="B20" t="str">
        <x:v>Sample Product 00019</x:v>
      </x:c>
      <x:c r="C20" t="str">
        <x:v>Active</x:v>
      </x:c>
      <x:c r="D20" t="str">
        <x:v>2026-03</x:v>
      </x:c>
      <x:c r="E20" s="12" t="n">
        <x:v>21.21</x:v>
      </x:c>
      <x:c r="F20" s="10" t="n">
        <x:v>0.405</x:v>
      </x:c>
      <x:c r="G20" t="str">
        <x:v>OTC &amp; Wellness</x:v>
      </x:c>
      <x:c r="H20" t="str">
        <x:v>Cold &amp; Allergy</x:v>
      </x:c>
      <x:c r="I20" t="str">
        <x:v>MFG019</x:v>
      </x:c>
      <x:c r="J20" t="str">
        <x:v>Manufacturer 019</x:v>
      </x:c>
      <x:c r="K20" t="str">
        <x:v>SUP011</x:v>
      </x:c>
      <x:c r="L20" t="str">
        <x:v>Supplier 011</x:v>
      </x:c>
      <x:c r="M20" t="str">
        <x:v>REG-556654</x:v>
      </x:c>
      <x:c r="N20" t="str">
        <x:v>Generic Ingredient 114</x:v>
      </x:c>
      <x:c r="O20" t="str">
        <x:v>General Sale</x:v>
      </x:c>
      <x:c r="P20" t="n">
        <x:v>72</x:v>
      </x:c>
      <x:c r="Q20" t="n">
        <x:v>41</x:v>
      </x:c>
      <x:c r="R20" t="n">
        <x:v>16</x:v>
      </x:c>
      <x:c r="S20" s="12" t="n">
        <x:f>E20*Q20</x:f>
        <x:v>869.61</x:v>
      </x:c>
      <x:c r="T20" s="12" t="n">
        <x:f>ROUND(S20*F20+0.000000001,2)</x:f>
        <x:v>352.19</x:v>
      </x:c>
      <x:c r="U20" s="12" t="n">
        <x:f>E20*R20</x:f>
        <x:v>339.36</x:v>
      </x:c>
      <x:c r="V20" t="str">
        <x:f>IF(AND(C20="Active",Q20=0),"Active Zero Sales","Not Zero Sales")</x:f>
        <x:v>Not Zero Sales</x:v>
      </x:c>
      <x:c r="W20" s="12" t="n">
        <x:f>IF(V20="Active Zero Sales",U20,0)</x:f>
        <x:v>0</x:v>
      </x:c>
      <x:c r="X20" t="str">
        <x:f>IF(E20&lt;25,"Low &lt; 25",IF(E20&lt;100,"Medium 25-99",IF(E20&lt;300,"High 100-299","Premium 300+")))</x:f>
        <x:v>Low &lt; 25</x:v>
      </x:c>
      <x:c r="Y20" t="n">
        <x:f>IF(C20="Active",1,0)</x:f>
        <x:v>1</x:v>
      </x:c>
    </x:row>
    <x:row r="21">
      <x:c r="A21" t="str">
        <x:v>SKU00020</x:v>
      </x:c>
      <x:c r="B21" t="str">
        <x:v>Sample Product 00020</x:v>
      </x:c>
      <x:c r="C21" t="str">
        <x:v>Active</x:v>
      </x:c>
      <x:c r="D21" t="str">
        <x:v>2026-04</x:v>
      </x:c>
      <x:c r="E21" s="12" t="n">
        <x:v>59.29</x:v>
      </x:c>
      <x:c r="F21" s="10" t="n">
        <x:v>0.203</x:v>
      </x:c>
      <x:c r="G21" t="str">
        <x:v>Medical Devices</x:v>
      </x:c>
      <x:c r="H21" t="str">
        <x:v>Home Diagnostics</x:v>
      </x:c>
      <x:c r="I21" t="str">
        <x:v>MFG016</x:v>
      </x:c>
      <x:c r="J21" t="str">
        <x:v>Manufacturer 016</x:v>
      </x:c>
      <x:c r="K21" t="str">
        <x:v>SUP003</x:v>
      </x:c>
      <x:c r="L21" t="str">
        <x:v>Supplier 003</x:v>
      </x:c>
      <x:c r="M21" t="str">
        <x:v>REG-798175</x:v>
      </x:c>
      <x:c r="N21" t="str">
        <x:v>Generic Ingredient 107</x:v>
      </x:c>
      <x:c r="O21" t="str">
        <x:v>General Sale</x:v>
      </x:c>
      <x:c r="P21" t="n">
        <x:v>140</x:v>
      </x:c>
      <x:c r="Q21" t="n">
        <x:v>103</x:v>
      </x:c>
      <x:c r="R21" t="n">
        <x:v>21</x:v>
      </x:c>
      <x:c r="S21" s="12" t="n">
        <x:f>E21*Q21</x:f>
        <x:v>6106.87</x:v>
      </x:c>
      <x:c r="T21" s="12" t="n">
        <x:f>ROUND(S21*F21+0.000000001,2)</x:f>
        <x:v>1239.69</x:v>
      </x:c>
      <x:c r="U21" s="12" t="n">
        <x:f>E21*R21</x:f>
        <x:v>1245.09</x:v>
      </x:c>
      <x:c r="V21" t="str">
        <x:f>IF(AND(C21="Active",Q21=0),"Active Zero Sales","Not Zero Sales")</x:f>
        <x:v>Not Zero Sales</x:v>
      </x:c>
      <x:c r="W21" s="12" t="n">
        <x:f>IF(V21="Active Zero Sales",U21,0)</x:f>
        <x:v>0</x:v>
      </x:c>
      <x:c r="X21" t="str">
        <x:f>IF(E21&lt;25,"Low &lt; 25",IF(E21&lt;100,"Medium 25-99",IF(E21&lt;300,"High 100-299","Premium 300+")))</x:f>
        <x:v>Medium 25-99</x:v>
      </x:c>
      <x:c r="Y21" t="n">
        <x:f>IF(C21="Active",1,0)</x:f>
        <x:v>1</x:v>
      </x:c>
    </x:row>
    <x:row r="22">
      <x:c r="A22" t="str">
        <x:v>SKU00021</x:v>
      </x:c>
      <x:c r="B22" t="str">
        <x:v>Sample Product 00021</x:v>
      </x:c>
      <x:c r="C22" t="str">
        <x:v>Active</x:v>
      </x:c>
      <x:c r="D22" t="str">
        <x:v>2026-01</x:v>
      </x:c>
      <x:c r="E22" s="12" t="n">
        <x:v>75.67</x:v>
      </x:c>
      <x:c r="F22" s="10" t="n">
        <x:v>0.437</x:v>
      </x:c>
      <x:c r="G22" t="str">
        <x:v>General Merchandise</x:v>
      </x:c>
      <x:c r="H22" t="str">
        <x:v>Travel Health</x:v>
      </x:c>
      <x:c r="I22" t="str">
        <x:v>MFG012</x:v>
      </x:c>
      <x:c r="J22" t="str">
        <x:v>Manufacturer 012</x:v>
      </x:c>
      <x:c r="K22" t="str">
        <x:v>SUP019</x:v>
      </x:c>
      <x:c r="L22" t="str">
        <x:v>Supplier 019</x:v>
      </x:c>
      <x:c r="M22" t="str">
        <x:v>REG-213047</x:v>
      </x:c>
      <x:c r="N22" t="str">
        <x:v>Generic Ingredient 088</x:v>
      </x:c>
      <x:c r="O22" t="str">
        <x:v>General Sale</x:v>
      </x:c>
      <x:c r="P22" t="n">
        <x:v>111</x:v>
      </x:c>
      <x:c r="Q22" t="n">
        <x:v>85</x:v>
      </x:c>
      <x:c r="R22" t="n">
        <x:v>35</x:v>
      </x:c>
      <x:c r="S22" s="12" t="n">
        <x:f>E22*Q22</x:f>
        <x:v>6431.95</x:v>
      </x:c>
      <x:c r="T22" s="12" t="n">
        <x:f>ROUND(S22*F22+0.000000001,2)</x:f>
        <x:v>2810.76</x:v>
      </x:c>
      <x:c r="U22" s="12" t="n">
        <x:f>E22*R22</x:f>
        <x:v>2648.4500000000003</x:v>
      </x:c>
      <x:c r="V22" t="str">
        <x:f>IF(AND(C22="Active",Q22=0),"Active Zero Sales","Not Zero Sales")</x:f>
        <x:v>Not Zero Sales</x:v>
      </x:c>
      <x:c r="W22" s="12" t="n">
        <x:f>IF(V22="Active Zero Sales",U22,0)</x:f>
        <x:v>0</x:v>
      </x:c>
      <x:c r="X22" t="str">
        <x:f>IF(E22&lt;25,"Low &lt; 25",IF(E22&lt;100,"Medium 25-99",IF(E22&lt;300,"High 100-299","Premium 300+")))</x:f>
        <x:v>Medium 25-99</x:v>
      </x:c>
      <x:c r="Y22" t="n">
        <x:f>IF(C22="Active",1,0)</x:f>
        <x:v>1</x:v>
      </x:c>
    </x:row>
    <x:row r="23">
      <x:c r="A23" t="str">
        <x:v>SKU00022</x:v>
      </x:c>
      <x:c r="B23" t="str">
        <x:v>Sample Product 00022</x:v>
      </x:c>
      <x:c r="C23" t="str">
        <x:v>Active</x:v>
      </x:c>
      <x:c r="D23" t="str">
        <x:v>2026-02</x:v>
      </x:c>
      <x:c r="E23" s="12" t="n">
        <x:v>436.94</x:v>
      </x:c>
      <x:c r="F23" s="10" t="n">
        <x:v>0.476</x:v>
      </x:c>
      <x:c r="G23" t="str">
        <x:v>OTC &amp; Wellness</x:v>
      </x:c>
      <x:c r="H23" t="str">
        <x:v>Digestive Care</x:v>
      </x:c>
      <x:c r="I23" t="str">
        <x:v>MFG019</x:v>
      </x:c>
      <x:c r="J23" t="str">
        <x:v>Manufacturer 019</x:v>
      </x:c>
      <x:c r="K23" t="str">
        <x:v>SUP016</x:v>
      </x:c>
      <x:c r="L23" t="str">
        <x:v>Supplier 016</x:v>
      </x:c>
      <x:c r="M23" t="str">
        <x:v>REG-545730</x:v>
      </x:c>
      <x:c r="N23" t="str">
        <x:v>Generic Ingredient 032</x:v>
      </x:c>
      <x:c r="O23" t="str">
        <x:v>Pharmacy Only</x:v>
      </x:c>
      <x:c r="P23" t="n">
        <x:v>28</x:v>
      </x:c>
      <x:c r="Q23" t="n">
        <x:v>5</x:v>
      </x:c>
      <x:c r="R23" t="n">
        <x:v>0</x:v>
      </x:c>
      <x:c r="S23" s="12" t="n">
        <x:f>E23*Q23</x:f>
        <x:v>2184.7</x:v>
      </x:c>
      <x:c r="T23" s="12" t="n">
        <x:f>ROUND(S23*F23+0.000000001,2)</x:f>
        <x:v>1039.92</x:v>
      </x:c>
      <x:c r="U23" s="12" t="n">
        <x:f>E23*R23</x:f>
        <x:v>0</x:v>
      </x:c>
      <x:c r="V23" t="str">
        <x:f>IF(AND(C23="Active",Q23=0),"Active Zero Sales","Not Zero Sales")</x:f>
        <x:v>Not Zero Sales</x:v>
      </x:c>
      <x:c r="W23" s="12" t="n">
        <x:f>IF(V23="Active Zero Sales",U23,0)</x:f>
        <x:v>0</x:v>
      </x:c>
      <x:c r="X23" t="str">
        <x:f>IF(E23&lt;25,"Low &lt; 25",IF(E23&lt;100,"Medium 25-99",IF(E23&lt;300,"High 100-299","Premium 300+")))</x:f>
        <x:v>Premium 300+</x:v>
      </x:c>
      <x:c r="Y23" t="n">
        <x:f>IF(C23="Active",1,0)</x:f>
        <x:v>1</x:v>
      </x:c>
    </x:row>
    <x:row r="24">
      <x:c r="A24" t="str">
        <x:v>SKU00023</x:v>
      </x:c>
      <x:c r="B24" t="str">
        <x:v>Sample Product 00023</x:v>
      </x:c>
      <x:c r="C24" t="str">
        <x:v>Blocked</x:v>
      </x:c>
      <x:c r="D24" t="str">
        <x:v>2026-06</x:v>
      </x:c>
      <x:c r="E24" s="12" t="n">
        <x:v>66.53</x:v>
      </x:c>
      <x:c r="F24" s="10" t="n">
        <x:v>0.427</x:v>
      </x:c>
      <x:c r="G24" t="str">
        <x:v>Medical Devices</x:v>
      </x:c>
      <x:c r="H24" t="str">
        <x:v>Home Diagnostics</x:v>
      </x:c>
      <x:c r="I24" t="str">
        <x:v>MFG009</x:v>
      </x:c>
      <x:c r="J24" t="str">
        <x:v>Manufacturer 009</x:v>
      </x:c>
      <x:c r="K24" t="str">
        <x:v>SUP003</x:v>
      </x:c>
      <x:c r="L24" t="str">
        <x:v>Supplier 003</x:v>
      </x:c>
      <x:c r="M24" t="str">
        <x:v>REG-667100</x:v>
      </x:c>
      <x:c r="N24" t="str">
        <x:v>Generic Ingredient 161</x:v>
      </x:c>
      <x:c r="O24" t="str">
        <x:v>General Sale</x:v>
      </x:c>
      <x:c r="P24" t="n">
        <x:v>37</x:v>
      </x:c>
      <x:c r="Q24" t="n">
        <x:v>0</x:v>
      </x:c>
      <x:c r="R24" t="n">
        <x:v>0</x:v>
      </x:c>
      <x:c r="S24" s="12" t="n">
        <x:f>E24*Q24</x:f>
        <x:v>0</x:v>
      </x:c>
      <x:c r="T24" s="12" t="n">
        <x:f>ROUND(S24*F24+0.000000001,2)</x:f>
        <x:v>0</x:v>
      </x:c>
      <x:c r="U24" s="12" t="n">
        <x:f>E24*R24</x:f>
        <x:v>0</x:v>
      </x:c>
      <x:c r="V24" t="str">
        <x:f>IF(AND(C24="Active",Q24=0),"Active Zero Sales","Not Zero Sales")</x:f>
        <x:v>Not Zero Sales</x:v>
      </x:c>
      <x:c r="W24" s="12" t="n">
        <x:f>IF(V24="Active Zero Sales",U24,0)</x:f>
        <x:v>0</x:v>
      </x:c>
      <x:c r="X24" t="str">
        <x:f>IF(E24&lt;25,"Low &lt; 25",IF(E24&lt;100,"Medium 25-99",IF(E24&lt;300,"High 100-299","Premium 300+")))</x:f>
        <x:v>Medium 25-99</x:v>
      </x:c>
      <x:c r="Y24" t="n">
        <x:f>IF(C24="Active",1,0)</x:f>
        <x:v>0</x:v>
      </x:c>
    </x:row>
    <x:row r="25">
      <x:c r="A25" t="str">
        <x:v>SKU00024</x:v>
      </x:c>
      <x:c r="B25" t="str">
        <x:v>Sample Product 00024</x:v>
      </x:c>
      <x:c r="C25" t="str">
        <x:v>Active</x:v>
      </x:c>
      <x:c r="D25" t="str">
        <x:v>2026-02</x:v>
      </x:c>
      <x:c r="E25" s="12" t="n">
        <x:v>18.43</x:v>
      </x:c>
      <x:c r="F25" s="10" t="n">
        <x:v>0.284</x:v>
      </x:c>
      <x:c r="G25" t="str">
        <x:v>OTC &amp; Wellness</x:v>
      </x:c>
      <x:c r="H25" t="str">
        <x:v>Cold &amp; Allergy</x:v>
      </x:c>
      <x:c r="I25" t="str">
        <x:v>MFG009</x:v>
      </x:c>
      <x:c r="J25" t="str">
        <x:v>Manufacturer 009</x:v>
      </x:c>
      <x:c r="K25" t="str">
        <x:v>SUP027</x:v>
      </x:c>
      <x:c r="L25" t="str">
        <x:v>Supplier 027</x:v>
      </x:c>
      <x:c r="M25" t="str">
        <x:v>REG-182554</x:v>
      </x:c>
      <x:c r="N25" t="str">
        <x:v>Generic Ingredient 140</x:v>
      </x:c>
      <x:c r="O25" t="str">
        <x:v>Pharmacy Only</x:v>
      </x:c>
      <x:c r="P25" t="n">
        <x:v>65</x:v>
      </x:c>
      <x:c r="Q25" t="n">
        <x:v>20</x:v>
      </x:c>
      <x:c r="R25" t="n">
        <x:v>11</x:v>
      </x:c>
      <x:c r="S25" s="12" t="n">
        <x:f>E25*Q25</x:f>
        <x:v>368.6</x:v>
      </x:c>
      <x:c r="T25" s="12" t="n">
        <x:f>ROUND(S25*F25+0.000000001,2)</x:f>
        <x:v>104.68</x:v>
      </x:c>
      <x:c r="U25" s="12" t="n">
        <x:f>E25*R25</x:f>
        <x:v>202.73</x:v>
      </x:c>
      <x:c r="V25" t="str">
        <x:f>IF(AND(C25="Active",Q25=0),"Active Zero Sales","Not Zero Sales")</x:f>
        <x:v>Not Zero Sales</x:v>
      </x:c>
      <x:c r="W25" s="12" t="n">
        <x:f>IF(V25="Active Zero Sales",U25,0)</x:f>
        <x:v>0</x:v>
      </x:c>
      <x:c r="X25" t="str">
        <x:f>IF(E25&lt;25,"Low &lt; 25",IF(E25&lt;100,"Medium 25-99",IF(E25&lt;300,"High 100-299","Premium 300+")))</x:f>
        <x:v>Low &lt; 25</x:v>
      </x:c>
      <x:c r="Y25" t="n">
        <x:f>IF(C25="Active",1,0)</x:f>
        <x:v>1</x:v>
      </x:c>
    </x:row>
    <x:row r="26">
      <x:c r="A26" t="str">
        <x:v>SKU00025</x:v>
      </x:c>
      <x:c r="B26" t="str">
        <x:v>Sample Product 00025</x:v>
      </x:c>
      <x:c r="C26" t="str">
        <x:v>Active</x:v>
      </x:c>
      <x:c r="D26" t="str">
        <x:v>2026-04</x:v>
      </x:c>
      <x:c r="E26" s="12" t="n">
        <x:v>299.29</x:v>
      </x:c>
      <x:c r="F26" s="10" t="n">
        <x:v>0.287</x:v>
      </x:c>
      <x:c r="G26" t="str">
        <x:v>Medical Devices</x:v>
      </x:c>
      <x:c r="H26" t="str">
        <x:v>Mobility Aids</x:v>
      </x:c>
      <x:c r="I26" t="str">
        <x:v>MFG016</x:v>
      </x:c>
      <x:c r="J26" t="str">
        <x:v>Manufacturer 016</x:v>
      </x:c>
      <x:c r="K26" t="str">
        <x:v>SUP011</x:v>
      </x:c>
      <x:c r="L26" t="str">
        <x:v>Supplier 011</x:v>
      </x:c>
      <x:c r="M26" t="str">
        <x:v>REG-442970</x:v>
      </x:c>
      <x:c r="N26" t="str">
        <x:v>Generic Ingredient 053</x:v>
      </x:c>
      <x:c r="O26" t="str">
        <x:v>General Sale</x:v>
      </x:c>
      <x:c r="P26" t="n">
        <x:v>46</x:v>
      </x:c>
      <x:c r="Q26" t="n">
        <x:v>0</x:v>
      </x:c>
      <x:c r="R26" t="n">
        <x:v>50</x:v>
      </x:c>
      <x:c r="S26" s="12" t="n">
        <x:f>E26*Q26</x:f>
        <x:v>0</x:v>
      </x:c>
      <x:c r="T26" s="12" t="n">
        <x:f>ROUND(S26*F26+0.000000001,2)</x:f>
        <x:v>0</x:v>
      </x:c>
      <x:c r="U26" s="12" t="n">
        <x:f>E26*R26</x:f>
        <x:v>14964.500000000002</x:v>
      </x:c>
      <x:c r="V26" t="str">
        <x:f>IF(AND(C26="Active",Q26=0),"Active Zero Sales","Not Zero Sales")</x:f>
        <x:v>Active Zero Sales</x:v>
      </x:c>
      <x:c r="W26" s="12" t="n">
        <x:f>IF(V26="Active Zero Sales",U26,0)</x:f>
        <x:v>14964.500000000002</x:v>
      </x:c>
      <x:c r="X26" t="str">
        <x:f>IF(E26&lt;25,"Low &lt; 25",IF(E26&lt;100,"Medium 25-99",IF(E26&lt;300,"High 100-299","Premium 300+")))</x:f>
        <x:v>High 100-299</x:v>
      </x:c>
      <x:c r="Y26" t="n">
        <x:f>IF(C26="Active",1,0)</x:f>
        <x:v>1</x:v>
      </x:c>
    </x:row>
    <x:row r="27">
      <x:c r="A27" t="str">
        <x:v>SKU00026</x:v>
      </x:c>
      <x:c r="B27" t="str">
        <x:v>Sample Product 00026</x:v>
      </x:c>
      <x:c r="C27" t="str">
        <x:v>Active</x:v>
      </x:c>
      <x:c r="D27" t="str">
        <x:v>2026-04</x:v>
      </x:c>
      <x:c r="E27" s="12" t="n">
        <x:v>16.91</x:v>
      </x:c>
      <x:c r="F27" s="10" t="n">
        <x:v>0.299</x:v>
      </x:c>
      <x:c r="G27" t="str">
        <x:v>OTC &amp; Wellness</x:v>
      </x:c>
      <x:c r="H27" t="str">
        <x:v>Cold &amp; Allergy</x:v>
      </x:c>
      <x:c r="I27" t="str">
        <x:v>MFG010</x:v>
      </x:c>
      <x:c r="J27" t="str">
        <x:v>Manufacturer 010</x:v>
      </x:c>
      <x:c r="K27" t="str">
        <x:v>SUP018</x:v>
      </x:c>
      <x:c r="L27" t="str">
        <x:v>Supplier 018</x:v>
      </x:c>
      <x:c r="M27" t="str">
        <x:v>REG-108841</x:v>
      </x:c>
      <x:c r="N27" t="str">
        <x:v>Generic Ingredient 030</x:v>
      </x:c>
      <x:c r="O27" t="str">
        <x:v>Restricted Sale</x:v>
      </x:c>
      <x:c r="P27" t="n">
        <x:v>5</x:v>
      </x:c>
      <x:c r="Q27" t="n">
        <x:v>12</x:v>
      </x:c>
      <x:c r="R27" t="n">
        <x:v>3</x:v>
      </x:c>
      <x:c r="S27" s="12" t="n">
        <x:f>E27*Q27</x:f>
        <x:v>202.92000000000002</x:v>
      </x:c>
      <x:c r="T27" s="12" t="n">
        <x:f>ROUND(S27*F27+0.000000001,2)</x:f>
        <x:v>60.67</x:v>
      </x:c>
      <x:c r="U27" s="12" t="n">
        <x:f>E27*R27</x:f>
        <x:v>50.730000000000004</x:v>
      </x:c>
      <x:c r="V27" t="str">
        <x:f>IF(AND(C27="Active",Q27=0),"Active Zero Sales","Not Zero Sales")</x:f>
        <x:v>Not Zero Sales</x:v>
      </x:c>
      <x:c r="W27" s="12" t="n">
        <x:f>IF(V27="Active Zero Sales",U27,0)</x:f>
        <x:v>0</x:v>
      </x:c>
      <x:c r="X27" t="str">
        <x:f>IF(E27&lt;25,"Low &lt; 25",IF(E27&lt;100,"Medium 25-99",IF(E27&lt;300,"High 100-299","Premium 300+")))</x:f>
        <x:v>Low &lt; 25</x:v>
      </x:c>
      <x:c r="Y27" t="n">
        <x:f>IF(C27="Active",1,0)</x:f>
        <x:v>1</x:v>
      </x:c>
    </x:row>
    <x:row r="28">
      <x:c r="A28" t="str">
        <x:v>SKU00027</x:v>
      </x:c>
      <x:c r="B28" t="str">
        <x:v>Sample Product 00027</x:v>
      </x:c>
      <x:c r="C28" t="str">
        <x:v>Active</x:v>
      </x:c>
      <x:c r="D28" t="str">
        <x:v>2026-02</x:v>
      </x:c>
      <x:c r="E28" s="12" t="n">
        <x:v>132.07</x:v>
      </x:c>
      <x:c r="F28" s="10" t="n">
        <x:v>0.397</x:v>
      </x:c>
      <x:c r="G28" t="str">
        <x:v>Personal Care</x:v>
      </x:c>
      <x:c r="H28" t="str">
        <x:v>Hair Care</x:v>
      </x:c>
      <x:c r="I28" t="str">
        <x:v>MFG002</x:v>
      </x:c>
      <x:c r="J28" t="str">
        <x:v>Manufacturer 002</x:v>
      </x:c>
      <x:c r="K28" t="str">
        <x:v>SUP001</x:v>
      </x:c>
      <x:c r="L28" t="str">
        <x:v>Supplier 001</x:v>
      </x:c>
      <x:c r="M28" t="str">
        <x:v>REG-267663</x:v>
      </x:c>
      <x:c r="N28" t="str">
        <x:v>Generic Ingredient 023</x:v>
      </x:c>
      <x:c r="O28" t="str">
        <x:v>General Sale</x:v>
      </x:c>
      <x:c r="P28" t="n">
        <x:v>33</x:v>
      </x:c>
      <x:c r="Q28" t="n">
        <x:v>34</x:v>
      </x:c>
      <x:c r="R28" t="n">
        <x:v>4</x:v>
      </x:c>
      <x:c r="S28" s="12" t="n">
        <x:f>E28*Q28</x:f>
        <x:v>4490.38</x:v>
      </x:c>
      <x:c r="T28" s="12" t="n">
        <x:f>ROUND(S28*F28+0.000000001,2)</x:f>
        <x:v>1782.68</x:v>
      </x:c>
      <x:c r="U28" s="12" t="n">
        <x:f>E28*R28</x:f>
        <x:v>528.28</x:v>
      </x:c>
      <x:c r="V28" t="str">
        <x:f>IF(AND(C28="Active",Q28=0),"Active Zero Sales","Not Zero Sales")</x:f>
        <x:v>Not Zero Sales</x:v>
      </x:c>
      <x:c r="W28" s="12" t="n">
        <x:f>IF(V28="Active Zero Sales",U28,0)</x:f>
        <x:v>0</x:v>
      </x:c>
      <x:c r="X28" t="str">
        <x:f>IF(E28&lt;25,"Low &lt; 25",IF(E28&lt;100,"Medium 25-99",IF(E28&lt;300,"High 100-299","Premium 300+")))</x:f>
        <x:v>High 100-299</x:v>
      </x:c>
      <x:c r="Y28" t="n">
        <x:f>IF(C28="Active",1,0)</x:f>
        <x:v>1</x:v>
      </x:c>
    </x:row>
    <x:row r="29">
      <x:c r="A29" t="str">
        <x:v>SKU00028</x:v>
      </x:c>
      <x:c r="B29" t="str">
        <x:v>Sample Product 00028</x:v>
      </x:c>
      <x:c r="C29" t="str">
        <x:v>Active</x:v>
      </x:c>
      <x:c r="D29" t="str">
        <x:v>2026-04</x:v>
      </x:c>
      <x:c r="E29" s="12" t="n">
        <x:v>236.76</x:v>
      </x:c>
      <x:c r="F29" s="10" t="n">
        <x:v>0.31</x:v>
      </x:c>
      <x:c r="G29" t="str">
        <x:v>Personal Care</x:v>
      </x:c>
      <x:c r="H29" t="str">
        <x:v>Skin Care</x:v>
      </x:c>
      <x:c r="I29" t="str">
        <x:v>MFG002</x:v>
      </x:c>
      <x:c r="J29" t="str">
        <x:v>Manufacturer 002</x:v>
      </x:c>
      <x:c r="K29" t="str">
        <x:v>SUP017</x:v>
      </x:c>
      <x:c r="L29" t="str">
        <x:v>Supplier 017</x:v>
      </x:c>
      <x:c r="M29" t="str">
        <x:v>REG-177915</x:v>
      </x:c>
      <x:c r="N29" t="str">
        <x:v>Generic Ingredient 115</x:v>
      </x:c>
      <x:c r="O29" t="str">
        <x:v>General Sale</x:v>
      </x:c>
      <x:c r="P29" t="n">
        <x:v>13</x:v>
      </x:c>
      <x:c r="Q29" t="n">
        <x:v>11</x:v>
      </x:c>
      <x:c r="R29" t="n">
        <x:v>0</x:v>
      </x:c>
      <x:c r="S29" s="12" t="n">
        <x:f>E29*Q29</x:f>
        <x:v>2604.3599999999997</x:v>
      </x:c>
      <x:c r="T29" s="12" t="n">
        <x:f>ROUND(S29*F29+0.000000001,2)</x:f>
        <x:v>807.35</x:v>
      </x:c>
      <x:c r="U29" s="12" t="n">
        <x:f>E29*R29</x:f>
        <x:v>0</x:v>
      </x:c>
      <x:c r="V29" t="str">
        <x:f>IF(AND(C29="Active",Q29=0),"Active Zero Sales","Not Zero Sales")</x:f>
        <x:v>Not Zero Sales</x:v>
      </x:c>
      <x:c r="W29" s="12" t="n">
        <x:f>IF(V29="Active Zero Sales",U29,0)</x:f>
        <x:v>0</x:v>
      </x:c>
      <x:c r="X29" t="str">
        <x:f>IF(E29&lt;25,"Low &lt; 25",IF(E29&lt;100,"Medium 25-99",IF(E29&lt;300,"High 100-299","Premium 300+")))</x:f>
        <x:v>High 100-299</x:v>
      </x:c>
      <x:c r="Y29" t="n">
        <x:f>IF(C29="Active",1,0)</x:f>
        <x:v>1</x:v>
      </x:c>
    </x:row>
    <x:row r="30">
      <x:c r="A30" t="str">
        <x:v>SKU00029</x:v>
      </x:c>
      <x:c r="B30" t="str">
        <x:v>Sample Product 00029</x:v>
      </x:c>
      <x:c r="C30" t="str">
        <x:v>Blocked</x:v>
      </x:c>
      <x:c r="D30" t="str">
        <x:v>2026-01</x:v>
      </x:c>
      <x:c r="E30" s="12" t="n">
        <x:v>70.7</x:v>
      </x:c>
      <x:c r="F30" s="10" t="n">
        <x:v>0.364</x:v>
      </x:c>
      <x:c r="G30" t="str">
        <x:v>OTC &amp; Wellness</x:v>
      </x:c>
      <x:c r="H30" t="str">
        <x:v>Vitamins</x:v>
      </x:c>
      <x:c r="I30" t="str">
        <x:v>MFG013</x:v>
      </x:c>
      <x:c r="J30" t="str">
        <x:v>Manufacturer 013</x:v>
      </x:c>
      <x:c r="K30" t="str">
        <x:v>SUP001</x:v>
      </x:c>
      <x:c r="L30" t="str">
        <x:v>Supplier 001</x:v>
      </x:c>
      <x:c r="M30" t="str">
        <x:v>REG-584485</x:v>
      </x:c>
      <x:c r="N30" t="str">
        <x:v>Generic Ingredient 025</x:v>
      </x:c>
      <x:c r="O30" t="str">
        <x:v>Pharmacy Only</x:v>
      </x:c>
      <x:c r="P30" t="n">
        <x:v>12</x:v>
      </x:c>
      <x:c r="Q30" t="n">
        <x:v>0</x:v>
      </x:c>
      <x:c r="R30" t="n">
        <x:v>0</x:v>
      </x:c>
      <x:c r="S30" s="12" t="n">
        <x:f>E30*Q30</x:f>
        <x:v>0</x:v>
      </x:c>
      <x:c r="T30" s="12" t="n">
        <x:f>ROUND(S30*F30+0.000000001,2)</x:f>
        <x:v>0</x:v>
      </x:c>
      <x:c r="U30" s="12" t="n">
        <x:f>E30*R30</x:f>
        <x:v>0</x:v>
      </x:c>
      <x:c r="V30" t="str">
        <x:f>IF(AND(C30="Active",Q30=0),"Active Zero Sales","Not Zero Sales")</x:f>
        <x:v>Not Zero Sales</x:v>
      </x:c>
      <x:c r="W30" s="12" t="n">
        <x:f>IF(V30="Active Zero Sales",U30,0)</x:f>
        <x:v>0</x:v>
      </x:c>
      <x:c r="X30" t="str">
        <x:f>IF(E30&lt;25,"Low &lt; 25",IF(E30&lt;100,"Medium 25-99",IF(E30&lt;300,"High 100-299","Premium 300+")))</x:f>
        <x:v>Medium 25-99</x:v>
      </x:c>
      <x:c r="Y30" t="n">
        <x:f>IF(C30="Active",1,0)</x:f>
        <x:v>0</x:v>
      </x:c>
    </x:row>
    <x:row r="31">
      <x:c r="A31" t="str">
        <x:v>SKU00030</x:v>
      </x:c>
      <x:c r="B31" t="str">
        <x:v>Sample Product 00030</x:v>
      </x:c>
      <x:c r="C31" t="str">
        <x:v>Active</x:v>
      </x:c>
      <x:c r="D31" t="str">
        <x:v>2026-06</x:v>
      </x:c>
      <x:c r="E31" s="12" t="n">
        <x:v>41.07</x:v>
      </x:c>
      <x:c r="F31" s="10" t="n">
        <x:v>0.366</x:v>
      </x:c>
      <x:c r="G31" t="str">
        <x:v>Personal Care</x:v>
      </x:c>
      <x:c r="H31" t="str">
        <x:v>Hygiene</x:v>
      </x:c>
      <x:c r="I31" t="str">
        <x:v>MFG002</x:v>
      </x:c>
      <x:c r="J31" t="str">
        <x:v>Manufacturer 002</x:v>
      </x:c>
      <x:c r="K31" t="str">
        <x:v>SUP002</x:v>
      </x:c>
      <x:c r="L31" t="str">
        <x:v>Supplier 002</x:v>
      </x:c>
      <x:c r="M31" t="str">
        <x:v>REG-564364</x:v>
      </x:c>
      <x:c r="N31" t="str">
        <x:v>Generic Ingredient 014</x:v>
      </x:c>
      <x:c r="O31" t="str">
        <x:v>General Sale</x:v>
      </x:c>
      <x:c r="P31" t="n">
        <x:v>56</x:v>
      </x:c>
      <x:c r="Q31" t="n">
        <x:v>9</x:v>
      </x:c>
      <x:c r="R31" t="n">
        <x:v>9</x:v>
      </x:c>
      <x:c r="S31" s="12" t="n">
        <x:f>E31*Q31</x:f>
        <x:v>369.63</x:v>
      </x:c>
      <x:c r="T31" s="12" t="n">
        <x:f>ROUND(S31*F31+0.000000001,2)</x:f>
        <x:v>135.28</x:v>
      </x:c>
      <x:c r="U31" s="12" t="n">
        <x:f>E31*R31</x:f>
        <x:v>369.63</x:v>
      </x:c>
      <x:c r="V31" t="str">
        <x:f>IF(AND(C31="Active",Q31=0),"Active Zero Sales","Not Zero Sales")</x:f>
        <x:v>Not Zero Sales</x:v>
      </x:c>
      <x:c r="W31" s="12" t="n">
        <x:f>IF(V31="Active Zero Sales",U31,0)</x:f>
        <x:v>0</x:v>
      </x:c>
      <x:c r="X31" t="str">
        <x:f>IF(E31&lt;25,"Low &lt; 25",IF(E31&lt;100,"Medium 25-99",IF(E31&lt;300,"High 100-299","Premium 300+")))</x:f>
        <x:v>Medium 25-99</x:v>
      </x:c>
      <x:c r="Y31" t="n">
        <x:f>IF(C31="Active",1,0)</x:f>
        <x:v>1</x:v>
      </x:c>
    </x:row>
    <x:row r="32">
      <x:c r="A32" t="str">
        <x:v>SKU00031</x:v>
      </x:c>
      <x:c r="B32" t="str">
        <x:v>Sample Product 00031</x:v>
      </x:c>
      <x:c r="C32" t="str">
        <x:v>Active</x:v>
      </x:c>
      <x:c r="D32" t="str">
        <x:v>2026-02</x:v>
      </x:c>
      <x:c r="E32" s="12" t="n">
        <x:v>32.32</x:v>
      </x:c>
      <x:c r="F32" s="10" t="n">
        <x:v>0.459</x:v>
      </x:c>
      <x:c r="G32" t="str">
        <x:v>General Merchandise</x:v>
      </x:c>
      <x:c r="H32" t="str">
        <x:v>Baby Essentials</x:v>
      </x:c>
      <x:c r="I32" t="str">
        <x:v>MFG005</x:v>
      </x:c>
      <x:c r="J32" t="str">
        <x:v>Manufacturer 005</x:v>
      </x:c>
      <x:c r="K32" t="str">
        <x:v>SUP016</x:v>
      </x:c>
      <x:c r="L32" t="str">
        <x:v>Supplier 016</x:v>
      </x:c>
      <x:c r="M32" t="str">
        <x:v>REG-864188</x:v>
      </x:c>
      <x:c r="N32" t="str">
        <x:v>Generic Ingredient 069</x:v>
      </x:c>
      <x:c r="O32" t="str">
        <x:v>General Sale</x:v>
      </x:c>
      <x:c r="P32" t="n">
        <x:v>55</x:v>
      </x:c>
      <x:c r="Q32" t="n">
        <x:v>28</x:v>
      </x:c>
      <x:c r="R32" t="n">
        <x:v>16</x:v>
      </x:c>
      <x:c r="S32" s="12" t="n">
        <x:f>E32*Q32</x:f>
        <x:v>904.96</x:v>
      </x:c>
      <x:c r="T32" s="12" t="n">
        <x:f>ROUND(S32*F32+0.000000001,2)</x:f>
        <x:v>415.38</x:v>
      </x:c>
      <x:c r="U32" s="12" t="n">
        <x:f>E32*R32</x:f>
        <x:v>517.12</x:v>
      </x:c>
      <x:c r="V32" t="str">
        <x:f>IF(AND(C32="Active",Q32=0),"Active Zero Sales","Not Zero Sales")</x:f>
        <x:v>Not Zero Sales</x:v>
      </x:c>
      <x:c r="W32" s="12" t="n">
        <x:f>IF(V32="Active Zero Sales",U32,0)</x:f>
        <x:v>0</x:v>
      </x:c>
      <x:c r="X32" t="str">
        <x:f>IF(E32&lt;25,"Low &lt; 25",IF(E32&lt;100,"Medium 25-99",IF(E32&lt;300,"High 100-299","Premium 300+")))</x:f>
        <x:v>Medium 25-99</x:v>
      </x:c>
      <x:c r="Y32" t="n">
        <x:f>IF(C32="Active",1,0)</x:f>
        <x:v>1</x:v>
      </x:c>
    </x:row>
    <x:row r="33">
      <x:c r="A33" t="str">
        <x:v>SKU00032</x:v>
      </x:c>
      <x:c r="B33" t="str">
        <x:v>Sample Product 00032</x:v>
      </x:c>
      <x:c r="C33" t="str">
        <x:v>Active</x:v>
      </x:c>
      <x:c r="D33" t="str">
        <x:v>2026-02</x:v>
      </x:c>
      <x:c r="E33" s="12" t="n">
        <x:v>88.09</x:v>
      </x:c>
      <x:c r="F33" s="10" t="n">
        <x:v>0.365</x:v>
      </x:c>
      <x:c r="G33" t="str">
        <x:v>Nutrition</x:v>
      </x:c>
      <x:c r="H33" t="str">
        <x:v>Adult Nutrition</x:v>
      </x:c>
      <x:c r="I33" t="str">
        <x:v>MFG002</x:v>
      </x:c>
      <x:c r="J33" t="str">
        <x:v>Manufacturer 002</x:v>
      </x:c>
      <x:c r="K33" t="str">
        <x:v>SUP027</x:v>
      </x:c>
      <x:c r="L33" t="str">
        <x:v>Supplier 027</x:v>
      </x:c>
      <x:c r="M33" t="str">
        <x:v>REG-750684</x:v>
      </x:c>
      <x:c r="N33" t="str">
        <x:v>Generic Ingredient 171</x:v>
      </x:c>
      <x:c r="O33" t="str">
        <x:v>General Sale</x:v>
      </x:c>
      <x:c r="P33" t="n">
        <x:v>229</x:v>
      </x:c>
      <x:c r="Q33" t="n">
        <x:v>135</x:v>
      </x:c>
      <x:c r="R33" t="n">
        <x:v>45</x:v>
      </x:c>
      <x:c r="S33" s="12" t="n">
        <x:f>E33*Q33</x:f>
        <x:v>11892.15</x:v>
      </x:c>
      <x:c r="T33" s="12" t="n">
        <x:f>ROUND(S33*F33+0.000000001,2)</x:f>
        <x:v>4340.63</x:v>
      </x:c>
      <x:c r="U33" s="12" t="n">
        <x:f>E33*R33</x:f>
        <x:v>3964.05</x:v>
      </x:c>
      <x:c r="V33" t="str">
        <x:f>IF(AND(C33="Active",Q33=0),"Active Zero Sales","Not Zero Sales")</x:f>
        <x:v>Not Zero Sales</x:v>
      </x:c>
      <x:c r="W33" s="12" t="n">
        <x:f>IF(V33="Active Zero Sales",U33,0)</x:f>
        <x:v>0</x:v>
      </x:c>
      <x:c r="X33" t="str">
        <x:f>IF(E33&lt;25,"Low &lt; 25",IF(E33&lt;100,"Medium 25-99",IF(E33&lt;300,"High 100-299","Premium 300+")))</x:f>
        <x:v>Medium 25-99</x:v>
      </x:c>
      <x:c r="Y33" t="n">
        <x:f>IF(C33="Active",1,0)</x:f>
        <x:v>1</x:v>
      </x:c>
    </x:row>
    <x:row r="34">
      <x:c r="A34" t="str">
        <x:v>SKU00033</x:v>
      </x:c>
      <x:c r="B34" t="str">
        <x:v>Sample Product 00033</x:v>
      </x:c>
      <x:c r="C34" t="str">
        <x:v>Active</x:v>
      </x:c>
      <x:c r="D34" t="str">
        <x:v>2026-05</x:v>
      </x:c>
      <x:c r="E34" s="12" t="n">
        <x:v>177.72</x:v>
      </x:c>
      <x:c r="F34" s="10" t="n">
        <x:v>0.172</x:v>
      </x:c>
      <x:c r="G34" t="str">
        <x:v>Medical Devices</x:v>
      </x:c>
      <x:c r="H34" t="str">
        <x:v>Home Diagnostics</x:v>
      </x:c>
      <x:c r="I34" t="str">
        <x:v>MFG016</x:v>
      </x:c>
      <x:c r="J34" t="str">
        <x:v>Manufacturer 016</x:v>
      </x:c>
      <x:c r="K34" t="str">
        <x:v>SUP003</x:v>
      </x:c>
      <x:c r="L34" t="str">
        <x:v>Supplier 003</x:v>
      </x:c>
      <x:c r="M34" t="str">
        <x:v>REG-852681</x:v>
      </x:c>
      <x:c r="N34" t="str">
        <x:v>Generic Ingredient 018</x:v>
      </x:c>
      <x:c r="O34" t="str">
        <x:v>Pharmacy Only</x:v>
      </x:c>
      <x:c r="P34" t="n">
        <x:v>88</x:v>
      </x:c>
      <x:c r="Q34" t="n">
        <x:v>66</x:v>
      </x:c>
      <x:c r="R34" t="n">
        <x:v>26</x:v>
      </x:c>
      <x:c r="S34" s="12" t="n">
        <x:f>E34*Q34</x:f>
        <x:v>11729.52</x:v>
      </x:c>
      <x:c r="T34" s="12" t="n">
        <x:f>ROUND(S34*F34+0.000000001,2)</x:f>
        <x:v>2017.48</x:v>
      </x:c>
      <x:c r="U34" s="12" t="n">
        <x:f>E34*R34</x:f>
        <x:v>4620.72</x:v>
      </x:c>
      <x:c r="V34" t="str">
        <x:f>IF(AND(C34="Active",Q34=0),"Active Zero Sales","Not Zero Sales")</x:f>
        <x:v>Not Zero Sales</x:v>
      </x:c>
      <x:c r="W34" s="12" t="n">
        <x:f>IF(V34="Active Zero Sales",U34,0)</x:f>
        <x:v>0</x:v>
      </x:c>
      <x:c r="X34" t="str">
        <x:f>IF(E34&lt;25,"Low &lt; 25",IF(E34&lt;100,"Medium 25-99",IF(E34&lt;300,"High 100-299","Premium 300+")))</x:f>
        <x:v>High 100-299</x:v>
      </x:c>
      <x:c r="Y34" t="n">
        <x:f>IF(C34="Active",1,0)</x:f>
        <x:v>1</x:v>
      </x:c>
    </x:row>
    <x:row r="35">
      <x:c r="A35" t="str">
        <x:v>SKU00034</x:v>
      </x:c>
      <x:c r="B35" t="str">
        <x:v>Sample Product 00034</x:v>
      </x:c>
      <x:c r="C35" t="str">
        <x:v>Active</x:v>
      </x:c>
      <x:c r="D35" t="str">
        <x:v>2026-03</x:v>
      </x:c>
      <x:c r="E35" s="12" t="n">
        <x:v>25.88</x:v>
      </x:c>
      <x:c r="F35" s="10" t="n">
        <x:v>0.281</x:v>
      </x:c>
      <x:c r="G35" t="str">
        <x:v>Nutrition</x:v>
      </x:c>
      <x:c r="H35" t="str">
        <x:v>Adult Nutrition</x:v>
      </x:c>
      <x:c r="I35" t="str">
        <x:v>MFG019</x:v>
      </x:c>
      <x:c r="J35" t="str">
        <x:v>Manufacturer 019</x:v>
      </x:c>
      <x:c r="K35" t="str">
        <x:v>SUP028</x:v>
      </x:c>
      <x:c r="L35" t="str">
        <x:v>Supplier 028</x:v>
      </x:c>
      <x:c r="M35" t="str">
        <x:v>REG-686919</x:v>
      </x:c>
      <x:c r="N35" t="str">
        <x:v>Generic Ingredient 062</x:v>
      </x:c>
      <x:c r="O35" t="str">
        <x:v>General Sale</x:v>
      </x:c>
      <x:c r="P35" t="n">
        <x:v>11</x:v>
      </x:c>
      <x:c r="Q35" t="n">
        <x:v>8</x:v>
      </x:c>
      <x:c r="R35" t="n">
        <x:v>6</x:v>
      </x:c>
      <x:c r="S35" s="12" t="n">
        <x:f>E35*Q35</x:f>
        <x:v>207.04</x:v>
      </x:c>
      <x:c r="T35" s="12" t="n">
        <x:f>ROUND(S35*F35+0.000000001,2)</x:f>
        <x:v>58.18</x:v>
      </x:c>
      <x:c r="U35" s="12" t="n">
        <x:f>E35*R35</x:f>
        <x:v>155.28</x:v>
      </x:c>
      <x:c r="V35" t="str">
        <x:f>IF(AND(C35="Active",Q35=0),"Active Zero Sales","Not Zero Sales")</x:f>
        <x:v>Not Zero Sales</x:v>
      </x:c>
      <x:c r="W35" s="12" t="n">
        <x:f>IF(V35="Active Zero Sales",U35,0)</x:f>
        <x:v>0</x:v>
      </x:c>
      <x:c r="X35" t="str">
        <x:f>IF(E35&lt;25,"Low &lt; 25",IF(E35&lt;100,"Medium 25-99",IF(E35&lt;300,"High 100-299","Premium 300+")))</x:f>
        <x:v>Medium 25-99</x:v>
      </x:c>
      <x:c r="Y35" t="n">
        <x:f>IF(C35="Active",1,0)</x:f>
        <x:v>1</x:v>
      </x:c>
    </x:row>
    <x:row r="36">
      <x:c r="A36" t="str">
        <x:v>SKU00035</x:v>
      </x:c>
      <x:c r="B36" t="str">
        <x:v>Sample Product 00035</x:v>
      </x:c>
      <x:c r="C36" t="str">
        <x:v>Active</x:v>
      </x:c>
      <x:c r="D36" t="str">
        <x:v>2026-05</x:v>
      </x:c>
      <x:c r="E36" s="12" t="n">
        <x:v>13.77</x:v>
      </x:c>
      <x:c r="F36" s="10" t="n">
        <x:v>0.434</x:v>
      </x:c>
      <x:c r="G36" t="str">
        <x:v>OTC &amp; Wellness</x:v>
      </x:c>
      <x:c r="H36" t="str">
        <x:v>Vitamins</x:v>
      </x:c>
      <x:c r="I36" t="str">
        <x:v>MFG006</x:v>
      </x:c>
      <x:c r="J36" t="str">
        <x:v>Manufacturer 006</x:v>
      </x:c>
      <x:c r="K36" t="str">
        <x:v>SUP024</x:v>
      </x:c>
      <x:c r="L36" t="str">
        <x:v>Supplier 024</x:v>
      </x:c>
      <x:c r="M36" t="str">
        <x:v>REG-395268</x:v>
      </x:c>
      <x:c r="N36" t="str">
        <x:v>Generic Ingredient 056</x:v>
      </x:c>
      <x:c r="O36" t="str">
        <x:v>General Sale</x:v>
      </x:c>
      <x:c r="P36" t="n">
        <x:v>66</x:v>
      </x:c>
      <x:c r="Q36" t="n">
        <x:v>0</x:v>
      </x:c>
      <x:c r="R36" t="n">
        <x:v>62</x:v>
      </x:c>
      <x:c r="S36" s="12" t="n">
        <x:f>E36*Q36</x:f>
        <x:v>0</x:v>
      </x:c>
      <x:c r="T36" s="12" t="n">
        <x:f>ROUND(S36*F36+0.000000001,2)</x:f>
        <x:v>0</x:v>
      </x:c>
      <x:c r="U36" s="12" t="n">
        <x:f>E36*R36</x:f>
        <x:v>853.74</x:v>
      </x:c>
      <x:c r="V36" t="str">
        <x:f>IF(AND(C36="Active",Q36=0),"Active Zero Sales","Not Zero Sales")</x:f>
        <x:v>Active Zero Sales</x:v>
      </x:c>
      <x:c r="W36" s="12" t="n">
        <x:f>IF(V36="Active Zero Sales",U36,0)</x:f>
        <x:v>853.74</x:v>
      </x:c>
      <x:c r="X36" t="str">
        <x:f>IF(E36&lt;25,"Low &lt; 25",IF(E36&lt;100,"Medium 25-99",IF(E36&lt;300,"High 100-299","Premium 300+")))</x:f>
        <x:v>Low &lt; 25</x:v>
      </x:c>
      <x:c r="Y36" t="n">
        <x:f>IF(C36="Active",1,0)</x:f>
        <x:v>1</x:v>
      </x:c>
    </x:row>
    <x:row r="37">
      <x:c r="A37" t="str">
        <x:v>SKU00036</x:v>
      </x:c>
      <x:c r="B37" t="str">
        <x:v>Sample Product 00036</x:v>
      </x:c>
      <x:c r="C37" t="str">
        <x:v>Active</x:v>
      </x:c>
      <x:c r="D37" t="str">
        <x:v>2026-02</x:v>
      </x:c>
      <x:c r="E37" s="12" t="n">
        <x:v>69.47</x:v>
      </x:c>
      <x:c r="F37" s="10" t="n">
        <x:v>0.464</x:v>
      </x:c>
      <x:c r="G37" t="str">
        <x:v>General Merchandise</x:v>
      </x:c>
      <x:c r="H37" t="str">
        <x:v>Travel Health</x:v>
      </x:c>
      <x:c r="I37" t="str">
        <x:v>MFG003</x:v>
      </x:c>
      <x:c r="J37" t="str">
        <x:v>Manufacturer 003</x:v>
      </x:c>
      <x:c r="K37" t="str">
        <x:v>SUP019</x:v>
      </x:c>
      <x:c r="L37" t="str">
        <x:v>Supplier 019</x:v>
      </x:c>
      <x:c r="M37" t="str">
        <x:v>REG-178884</x:v>
      </x:c>
      <x:c r="N37" t="str">
        <x:v>Generic Ingredient 005</x:v>
      </x:c>
      <x:c r="O37" t="str">
        <x:v>General Sale</x:v>
      </x:c>
      <x:c r="P37" t="n">
        <x:v>252</x:v>
      </x:c>
      <x:c r="Q37" t="n">
        <x:v>189</x:v>
      </x:c>
      <x:c r="R37" t="n">
        <x:v>46</x:v>
      </x:c>
      <x:c r="S37" s="12" t="n">
        <x:f>E37*Q37</x:f>
        <x:v>13129.83</x:v>
      </x:c>
      <x:c r="T37" s="12" t="n">
        <x:f>ROUND(S37*F37+0.000000001,2)</x:f>
        <x:v>6092.24</x:v>
      </x:c>
      <x:c r="U37" s="12" t="n">
        <x:f>E37*R37</x:f>
        <x:v>3195.62</x:v>
      </x:c>
      <x:c r="V37" t="str">
        <x:f>IF(AND(C37="Active",Q37=0),"Active Zero Sales","Not Zero Sales")</x:f>
        <x:v>Not Zero Sales</x:v>
      </x:c>
      <x:c r="W37" s="12" t="n">
        <x:f>IF(V37="Active Zero Sales",U37,0)</x:f>
        <x:v>0</x:v>
      </x:c>
      <x:c r="X37" t="str">
        <x:f>IF(E37&lt;25,"Low &lt; 25",IF(E37&lt;100,"Medium 25-99",IF(E37&lt;300,"High 100-299","Premium 300+")))</x:f>
        <x:v>Medium 25-99</x:v>
      </x:c>
      <x:c r="Y37" t="n">
        <x:f>IF(C37="Active",1,0)</x:f>
        <x:v>1</x:v>
      </x:c>
    </x:row>
    <x:row r="38">
      <x:c r="A38" t="str">
        <x:v>SKU00037</x:v>
      </x:c>
      <x:c r="B38" t="str">
        <x:v>Sample Product 00037</x:v>
      </x:c>
      <x:c r="C38" t="str">
        <x:v>Blocked</x:v>
      </x:c>
      <x:c r="D38" t="str">
        <x:v>2026-03</x:v>
      </x:c>
      <x:c r="E38" s="12" t="n">
        <x:v>6.02</x:v>
      </x:c>
      <x:c r="F38" s="10" t="n">
        <x:v>0.351</x:v>
      </x:c>
      <x:c r="G38" t="str">
        <x:v>OTC &amp; Wellness</x:v>
      </x:c>
      <x:c r="H38" t="str">
        <x:v>Vitamins</x:v>
      </x:c>
      <x:c r="I38" t="str">
        <x:v>MFG004</x:v>
      </x:c>
      <x:c r="J38" t="str">
        <x:v>Manufacturer 004</x:v>
      </x:c>
      <x:c r="K38" t="str">
        <x:v>SUP019</x:v>
      </x:c>
      <x:c r="L38" t="str">
        <x:v>Supplier 019</x:v>
      </x:c>
      <x:c r="M38" t="str">
        <x:v>REG-403425</x:v>
      </x:c>
      <x:c r="N38" t="str">
        <x:v>Generic Ingredient 034</x:v>
      </x:c>
      <x:c r="O38" t="str">
        <x:v>General Sale</x:v>
      </x:c>
      <x:c r="P38" t="n">
        <x:v>32</x:v>
      </x:c>
      <x:c r="Q38" t="n">
        <x:v>14</x:v>
      </x:c>
      <x:c r="R38" t="n">
        <x:v>12</x:v>
      </x:c>
      <x:c r="S38" s="12" t="n">
        <x:f>E38*Q38</x:f>
        <x:v>84.28</x:v>
      </x:c>
      <x:c r="T38" s="12" t="n">
        <x:f>ROUND(S38*F38+0.000000001,2)</x:f>
        <x:v>29.58</x:v>
      </x:c>
      <x:c r="U38" s="12" t="n">
        <x:f>E38*R38</x:f>
        <x:v>72.24</x:v>
      </x:c>
      <x:c r="V38" t="str">
        <x:f>IF(AND(C38="Active",Q38=0),"Active Zero Sales","Not Zero Sales")</x:f>
        <x:v>Not Zero Sales</x:v>
      </x:c>
      <x:c r="W38" s="12" t="n">
        <x:f>IF(V38="Active Zero Sales",U38,0)</x:f>
        <x:v>0</x:v>
      </x:c>
      <x:c r="X38" t="str">
        <x:f>IF(E38&lt;25,"Low &lt; 25",IF(E38&lt;100,"Medium 25-99",IF(E38&lt;300,"High 100-299","Premium 300+")))</x:f>
        <x:v>Low &lt; 25</x:v>
      </x:c>
      <x:c r="Y38" t="n">
        <x:f>IF(C38="Active",1,0)</x:f>
        <x:v>0</x:v>
      </x:c>
    </x:row>
    <x:row r="39">
      <x:c r="A39" t="str">
        <x:v>SKU00038</x:v>
      </x:c>
      <x:c r="B39" t="str">
        <x:v>Sample Product 00038</x:v>
      </x:c>
      <x:c r="C39" t="str">
        <x:v>Active</x:v>
      </x:c>
      <x:c r="D39" t="str">
        <x:v>2026-04</x:v>
      </x:c>
      <x:c r="E39" s="12" t="n">
        <x:v>85.44</x:v>
      </x:c>
      <x:c r="F39" s="10" t="n">
        <x:v>0.313</x:v>
      </x:c>
      <x:c r="G39" t="str">
        <x:v>OTC &amp; Wellness</x:v>
      </x:c>
      <x:c r="H39" t="str">
        <x:v>Pain Relief</x:v>
      </x:c>
      <x:c r="I39" t="str">
        <x:v>MFG003</x:v>
      </x:c>
      <x:c r="J39" t="str">
        <x:v>Manufacturer 003</x:v>
      </x:c>
      <x:c r="K39" t="str">
        <x:v>SUP018</x:v>
      </x:c>
      <x:c r="L39" t="str">
        <x:v>Supplier 018</x:v>
      </x:c>
      <x:c r="M39" t="str">
        <x:v>REG-229115</x:v>
      </x:c>
      <x:c r="N39" t="str">
        <x:v>Generic Ingredient 004</x:v>
      </x:c>
      <x:c r="O39" t="str">
        <x:v>General Sale</x:v>
      </x:c>
      <x:c r="P39" t="n">
        <x:v>84</x:v>
      </x:c>
      <x:c r="Q39" t="n">
        <x:v>27</x:v>
      </x:c>
      <x:c r="R39" t="n">
        <x:v>22</x:v>
      </x:c>
      <x:c r="S39" s="12" t="n">
        <x:f>E39*Q39</x:f>
        <x:v>2306.88</x:v>
      </x:c>
      <x:c r="T39" s="12" t="n">
        <x:f>ROUND(S39*F39+0.000000001,2)</x:f>
        <x:v>722.05</x:v>
      </x:c>
      <x:c r="U39" s="12" t="n">
        <x:f>E39*R39</x:f>
        <x:v>1879.6799999999998</x:v>
      </x:c>
      <x:c r="V39" t="str">
        <x:f>IF(AND(C39="Active",Q39=0),"Active Zero Sales","Not Zero Sales")</x:f>
        <x:v>Not Zero Sales</x:v>
      </x:c>
      <x:c r="W39" s="12" t="n">
        <x:f>IF(V39="Active Zero Sales",U39,0)</x:f>
        <x:v>0</x:v>
      </x:c>
      <x:c r="X39" t="str">
        <x:f>IF(E39&lt;25,"Low &lt; 25",IF(E39&lt;100,"Medium 25-99",IF(E39&lt;300,"High 100-299","Premium 300+")))</x:f>
        <x:v>Medium 25-99</x:v>
      </x:c>
      <x:c r="Y39" t="n">
        <x:f>IF(C39="Active",1,0)</x:f>
        <x:v>1</x:v>
      </x:c>
    </x:row>
    <x:row r="40">
      <x:c r="A40" t="str">
        <x:v>SKU00039</x:v>
      </x:c>
      <x:c r="B40" t="str">
        <x:v>Sample Product 00039</x:v>
      </x:c>
      <x:c r="C40" t="str">
        <x:v>Active</x:v>
      </x:c>
      <x:c r="D40" t="str">
        <x:v>2026-04</x:v>
      </x:c>
      <x:c r="E40" s="12" t="n">
        <x:v>88.4</x:v>
      </x:c>
      <x:c r="F40" s="10" t="n">
        <x:v>0.394</x:v>
      </x:c>
      <x:c r="G40" t="str">
        <x:v>Nutrition</x:v>
      </x:c>
      <x:c r="H40" t="str">
        <x:v>Adult Nutrition</x:v>
      </x:c>
      <x:c r="I40" t="str">
        <x:v>MFG013</x:v>
      </x:c>
      <x:c r="J40" t="str">
        <x:v>Manufacturer 013</x:v>
      </x:c>
      <x:c r="K40" t="str">
        <x:v>SUP017</x:v>
      </x:c>
      <x:c r="L40" t="str">
        <x:v>Supplier 017</x:v>
      </x:c>
      <x:c r="M40" t="str">
        <x:v>REG-279511</x:v>
      </x:c>
      <x:c r="N40" t="str">
        <x:v>Generic Ingredient 036</x:v>
      </x:c>
      <x:c r="O40" t="str">
        <x:v>General Sale</x:v>
      </x:c>
      <x:c r="P40" t="n">
        <x:v>248</x:v>
      </x:c>
      <x:c r="Q40" t="n">
        <x:v>155</x:v>
      </x:c>
      <x:c r="R40" t="n">
        <x:v>70</x:v>
      </x:c>
      <x:c r="S40" s="12" t="n">
        <x:f>E40*Q40</x:f>
        <x:v>13702</x:v>
      </x:c>
      <x:c r="T40" s="12" t="n">
        <x:f>ROUND(S40*F40+0.000000001,2)</x:f>
        <x:v>5398.59</x:v>
      </x:c>
      <x:c r="U40" s="12" t="n">
        <x:f>E40*R40</x:f>
        <x:v>6188</x:v>
      </x:c>
      <x:c r="V40" t="str">
        <x:f>IF(AND(C40="Active",Q40=0),"Active Zero Sales","Not Zero Sales")</x:f>
        <x:v>Not Zero Sales</x:v>
      </x:c>
      <x:c r="W40" s="12" t="n">
        <x:f>IF(V40="Active Zero Sales",U40,0)</x:f>
        <x:v>0</x:v>
      </x:c>
      <x:c r="X40" t="str">
        <x:f>IF(E40&lt;25,"Low &lt; 25",IF(E40&lt;100,"Medium 25-99",IF(E40&lt;300,"High 100-299","Premium 300+")))</x:f>
        <x:v>Medium 25-99</x:v>
      </x:c>
      <x:c r="Y40" t="n">
        <x:f>IF(C40="Active",1,0)</x:f>
        <x:v>1</x:v>
      </x:c>
    </x:row>
    <x:row r="41">
      <x:c r="A41" t="str">
        <x:v>SKU00040</x:v>
      </x:c>
      <x:c r="B41" t="str">
        <x:v>Sample Product 00040</x:v>
      </x:c>
      <x:c r="C41" t="str">
        <x:v>Active</x:v>
      </x:c>
      <x:c r="D41" t="str">
        <x:v>2026-03</x:v>
      </x:c>
      <x:c r="E41" s="12" t="n">
        <x:v>40.49</x:v>
      </x:c>
      <x:c r="F41" s="10" t="n">
        <x:v>0.18</x:v>
      </x:c>
      <x:c r="G41" t="str">
        <x:v>General Merchandise</x:v>
      </x:c>
      <x:c r="H41" t="str">
        <x:v>Seasonal Care</x:v>
      </x:c>
      <x:c r="I41" t="str">
        <x:v>MFG003</x:v>
      </x:c>
      <x:c r="J41" t="str">
        <x:v>Manufacturer 003</x:v>
      </x:c>
      <x:c r="K41" t="str">
        <x:v>SUP027</x:v>
      </x:c>
      <x:c r="L41" t="str">
        <x:v>Supplier 027</x:v>
      </x:c>
      <x:c r="M41" t="str">
        <x:v>REG-439471</x:v>
      </x:c>
      <x:c r="N41" t="str">
        <x:v>Generic Ingredient 158</x:v>
      </x:c>
      <x:c r="O41" t="str">
        <x:v>General Sale</x:v>
      </x:c>
      <x:c r="P41" t="n">
        <x:v>33</x:v>
      </x:c>
      <x:c r="Q41" t="n">
        <x:v>6</x:v>
      </x:c>
      <x:c r="R41" t="n">
        <x:v>7</x:v>
      </x:c>
      <x:c r="S41" s="12" t="n">
        <x:f>E41*Q41</x:f>
        <x:v>242.94</x:v>
      </x:c>
      <x:c r="T41" s="12" t="n">
        <x:f>ROUND(S41*F41+0.000000001,2)</x:f>
        <x:v>43.73</x:v>
      </x:c>
      <x:c r="U41" s="12" t="n">
        <x:f>E41*R41</x:f>
        <x:v>283.43</x:v>
      </x:c>
      <x:c r="V41" t="str">
        <x:f>IF(AND(C41="Active",Q41=0),"Active Zero Sales","Not Zero Sales")</x:f>
        <x:v>Not Zero Sales</x:v>
      </x:c>
      <x:c r="W41" s="12" t="n">
        <x:f>IF(V41="Active Zero Sales",U41,0)</x:f>
        <x:v>0</x:v>
      </x:c>
      <x:c r="X41" t="str">
        <x:f>IF(E41&lt;25,"Low &lt; 25",IF(E41&lt;100,"Medium 25-99",IF(E41&lt;300,"High 100-299","Premium 300+")))</x:f>
        <x:v>Medium 25-99</x:v>
      </x:c>
      <x:c r="Y41" t="n">
        <x:f>IF(C41="Active",1,0)</x:f>
        <x:v>1</x:v>
      </x:c>
    </x:row>
    <x:row r="42">
      <x:c r="A42" t="str">
        <x:v>SKU00041</x:v>
      </x:c>
      <x:c r="B42" t="str">
        <x:v>Sample Product 00041</x:v>
      </x:c>
      <x:c r="C42" t="str">
        <x:v>Active</x:v>
      </x:c>
      <x:c r="D42" t="str">
        <x:v>2026-01</x:v>
      </x:c>
      <x:c r="E42" s="12" t="n">
        <x:v>67.09</x:v>
      </x:c>
      <x:c r="F42" s="10" t="n">
        <x:v>0.291</x:v>
      </x:c>
      <x:c r="G42" t="str">
        <x:v>Nutrition</x:v>
      </x:c>
      <x:c r="H42" t="str">
        <x:v>Hydration</x:v>
      </x:c>
      <x:c r="I42" t="str">
        <x:v>MFG019</x:v>
      </x:c>
      <x:c r="J42" t="str">
        <x:v>Manufacturer 019</x:v>
      </x:c>
      <x:c r="K42" t="str">
        <x:v>SUP003</x:v>
      </x:c>
      <x:c r="L42" t="str">
        <x:v>Supplier 003</x:v>
      </x:c>
      <x:c r="M42" t="str">
        <x:v>REG-851171</x:v>
      </x:c>
      <x:c r="N42" t="str">
        <x:v>Generic Ingredient 061</x:v>
      </x:c>
      <x:c r="O42" t="str">
        <x:v>General Sale</x:v>
      </x:c>
      <x:c r="P42" t="n">
        <x:v>104</x:v>
      </x:c>
      <x:c r="Q42" t="n">
        <x:v>88</x:v>
      </x:c>
      <x:c r="R42" t="n">
        <x:v>21</x:v>
      </x:c>
      <x:c r="S42" s="12" t="n">
        <x:f>E42*Q42</x:f>
        <x:v>5903.92</x:v>
      </x:c>
      <x:c r="T42" s="12" t="n">
        <x:f>ROUND(S42*F42+0.000000001,2)</x:f>
        <x:v>1718.04</x:v>
      </x:c>
      <x:c r="U42" s="12" t="n">
        <x:f>E42*R42</x:f>
        <x:v>1408.89</x:v>
      </x:c>
      <x:c r="V42" t="str">
        <x:f>IF(AND(C42="Active",Q42=0),"Active Zero Sales","Not Zero Sales")</x:f>
        <x:v>Not Zero Sales</x:v>
      </x:c>
      <x:c r="W42" s="12" t="n">
        <x:f>IF(V42="Active Zero Sales",U42,0)</x:f>
        <x:v>0</x:v>
      </x:c>
      <x:c r="X42" t="str">
        <x:f>IF(E42&lt;25,"Low &lt; 25",IF(E42&lt;100,"Medium 25-99",IF(E42&lt;300,"High 100-299","Premium 300+")))</x:f>
        <x:v>Medium 25-99</x:v>
      </x:c>
      <x:c r="Y42" t="n">
        <x:f>IF(C42="Active",1,0)</x:f>
        <x:v>1</x:v>
      </x:c>
    </x:row>
    <x:row r="43">
      <x:c r="A43" t="str">
        <x:v>SKU00042</x:v>
      </x:c>
      <x:c r="B43" t="str">
        <x:v>Sample Product 00042</x:v>
      </x:c>
      <x:c r="C43" t="str">
        <x:v>Active</x:v>
      </x:c>
      <x:c r="D43" t="str">
        <x:v>2026-04</x:v>
      </x:c>
      <x:c r="E43" s="12" t="n">
        <x:v>23.05</x:v>
      </x:c>
      <x:c r="F43" s="10" t="n">
        <x:v>0.343</x:v>
      </x:c>
      <x:c r="G43" t="str">
        <x:v>Nutrition</x:v>
      </x:c>
      <x:c r="H43" t="str">
        <x:v>Healthy Snacks</x:v>
      </x:c>
      <x:c r="I43" t="str">
        <x:v>MFG014</x:v>
      </x:c>
      <x:c r="J43" t="str">
        <x:v>Manufacturer 014</x:v>
      </x:c>
      <x:c r="K43" t="str">
        <x:v>SUP029</x:v>
      </x:c>
      <x:c r="L43" t="str">
        <x:v>Supplier 029</x:v>
      </x:c>
      <x:c r="M43" t="str">
        <x:v>REG-713899</x:v>
      </x:c>
      <x:c r="N43" t="str">
        <x:v>Generic Ingredient 089</x:v>
      </x:c>
      <x:c r="O43" t="str">
        <x:v>General Sale</x:v>
      </x:c>
      <x:c r="P43" t="n">
        <x:v>99</x:v>
      </x:c>
      <x:c r="Q43" t="n">
        <x:v>48</x:v>
      </x:c>
      <x:c r="R43" t="n">
        <x:v>31</x:v>
      </x:c>
      <x:c r="S43" s="12" t="n">
        <x:f>E43*Q43</x:f>
        <x:v>1106.4</x:v>
      </x:c>
      <x:c r="T43" s="12" t="n">
        <x:f>ROUND(S43*F43+0.000000001,2)</x:f>
        <x:v>379.5</x:v>
      </x:c>
      <x:c r="U43" s="12" t="n">
        <x:f>E43*R43</x:f>
        <x:v>714.5500000000001</x:v>
      </x:c>
      <x:c r="V43" t="str">
        <x:f>IF(AND(C43="Active",Q43=0),"Active Zero Sales","Not Zero Sales")</x:f>
        <x:v>Not Zero Sales</x:v>
      </x:c>
      <x:c r="W43" s="12" t="n">
        <x:f>IF(V43="Active Zero Sales",U43,0)</x:f>
        <x:v>0</x:v>
      </x:c>
      <x:c r="X43" t="str">
        <x:f>IF(E43&lt;25,"Low &lt; 25",IF(E43&lt;100,"Medium 25-99",IF(E43&lt;300,"High 100-299","Premium 300+")))</x:f>
        <x:v>Low &lt; 25</x:v>
      </x:c>
      <x:c r="Y43" t="n">
        <x:f>IF(C43="Active",1,0)</x:f>
        <x:v>1</x:v>
      </x:c>
    </x:row>
    <x:row r="44">
      <x:c r="A44" t="str">
        <x:v>SKU00043</x:v>
      </x:c>
      <x:c r="B44" t="str">
        <x:v>Sample Product 00043</x:v>
      </x:c>
      <x:c r="C44" t="str">
        <x:v>Blocked</x:v>
      </x:c>
      <x:c r="D44" t="str">
        <x:v>2026-02</x:v>
      </x:c>
      <x:c r="E44" s="12" t="n">
        <x:v>63.96</x:v>
      </x:c>
      <x:c r="F44" s="10" t="n">
        <x:v>0.427</x:v>
      </x:c>
      <x:c r="G44" t="str">
        <x:v>OTC &amp; Wellness</x:v>
      </x:c>
      <x:c r="H44" t="str">
        <x:v>Cold &amp; Allergy</x:v>
      </x:c>
      <x:c r="I44" t="str">
        <x:v>MFG019</x:v>
      </x:c>
      <x:c r="J44" t="str">
        <x:v>Manufacturer 019</x:v>
      </x:c>
      <x:c r="K44" t="str">
        <x:v>SUP021</x:v>
      </x:c>
      <x:c r="L44" t="str">
        <x:v>Supplier 021</x:v>
      </x:c>
      <x:c r="M44" t="str">
        <x:v>REG-253904</x:v>
      </x:c>
      <x:c r="N44" t="str">
        <x:v>Generic Ingredient 154</x:v>
      </x:c>
      <x:c r="O44" t="str">
        <x:v>General Sale</x:v>
      </x:c>
      <x:c r="P44" t="n">
        <x:v>58</x:v>
      </x:c>
      <x:c r="Q44" t="n">
        <x:v>9</x:v>
      </x:c>
      <x:c r="R44" t="n">
        <x:v>0</x:v>
      </x:c>
      <x:c r="S44" s="12" t="n">
        <x:f>E44*Q44</x:f>
        <x:v>575.64</x:v>
      </x:c>
      <x:c r="T44" s="12" t="n">
        <x:f>ROUND(S44*F44+0.000000001,2)</x:f>
        <x:v>245.8</x:v>
      </x:c>
      <x:c r="U44" s="12" t="n">
        <x:f>E44*R44</x:f>
        <x:v>0</x:v>
      </x:c>
      <x:c r="V44" t="str">
        <x:f>IF(AND(C44="Active",Q44=0),"Active Zero Sales","Not Zero Sales")</x:f>
        <x:v>Not Zero Sales</x:v>
      </x:c>
      <x:c r="W44" s="12" t="n">
        <x:f>IF(V44="Active Zero Sales",U44,0)</x:f>
        <x:v>0</x:v>
      </x:c>
      <x:c r="X44" t="str">
        <x:f>IF(E44&lt;25,"Low &lt; 25",IF(E44&lt;100,"Medium 25-99",IF(E44&lt;300,"High 100-299","Premium 300+")))</x:f>
        <x:v>Medium 25-99</x:v>
      </x:c>
      <x:c r="Y44" t="n">
        <x:f>IF(C44="Active",1,0)</x:f>
        <x:v>0</x:v>
      </x:c>
    </x:row>
    <x:row r="45">
      <x:c r="A45" t="str">
        <x:v>SKU00044</x:v>
      </x:c>
      <x:c r="B45" t="str">
        <x:v>Sample Product 00044</x:v>
      </x:c>
      <x:c r="C45" t="str">
        <x:v>Active</x:v>
      </x:c>
      <x:c r="D45" t="str">
        <x:v>2026-04</x:v>
      </x:c>
      <x:c r="E45" s="12" t="n">
        <x:v>152.75</x:v>
      </x:c>
      <x:c r="F45" s="10" t="n">
        <x:v>0.157</x:v>
      </x:c>
      <x:c r="G45" t="str">
        <x:v>Nutrition</x:v>
      </x:c>
      <x:c r="H45" t="str">
        <x:v>Hydration</x:v>
      </x:c>
      <x:c r="I45" t="str">
        <x:v>MFG006</x:v>
      </x:c>
      <x:c r="J45" t="str">
        <x:v>Manufacturer 006</x:v>
      </x:c>
      <x:c r="K45" t="str">
        <x:v>SUP003</x:v>
      </x:c>
      <x:c r="L45" t="str">
        <x:v>Supplier 003</x:v>
      </x:c>
      <x:c r="M45" t="str">
        <x:v>REG-591561</x:v>
      </x:c>
      <x:c r="N45" t="str">
        <x:v>Generic Ingredient 078</x:v>
      </x:c>
      <x:c r="O45" t="str">
        <x:v>General Sale</x:v>
      </x:c>
      <x:c r="P45" t="n">
        <x:v>40</x:v>
      </x:c>
      <x:c r="Q45" t="n">
        <x:v>13</x:v>
      </x:c>
      <x:c r="R45" t="n">
        <x:v>0</x:v>
      </x:c>
      <x:c r="S45" s="12" t="n">
        <x:f>E45*Q45</x:f>
        <x:v>1985.75</x:v>
      </x:c>
      <x:c r="T45" s="12" t="n">
        <x:f>ROUND(S45*F45+0.000000001,2)</x:f>
        <x:v>311.76</x:v>
      </x:c>
      <x:c r="U45" s="12" t="n">
        <x:f>E45*R45</x:f>
        <x:v>0</x:v>
      </x:c>
      <x:c r="V45" t="str">
        <x:f>IF(AND(C45="Active",Q45=0),"Active Zero Sales","Not Zero Sales")</x:f>
        <x:v>Not Zero Sales</x:v>
      </x:c>
      <x:c r="W45" s="12" t="n">
        <x:f>IF(V45="Active Zero Sales",U45,0)</x:f>
        <x:v>0</x:v>
      </x:c>
      <x:c r="X45" t="str">
        <x:f>IF(E45&lt;25,"Low &lt; 25",IF(E45&lt;100,"Medium 25-99",IF(E45&lt;300,"High 100-299","Premium 300+")))</x:f>
        <x:v>High 100-299</x:v>
      </x:c>
      <x:c r="Y45" t="n">
        <x:f>IF(C45="Active",1,0)</x:f>
        <x:v>1</x:v>
      </x:c>
    </x:row>
    <x:row r="46">
      <x:c r="A46" t="str">
        <x:v>SKU00045</x:v>
      </x:c>
      <x:c r="B46" t="str">
        <x:v>Sample Product 00045</x:v>
      </x:c>
      <x:c r="C46" t="str">
        <x:v>Active</x:v>
      </x:c>
      <x:c r="D46" t="str">
        <x:v>2026-04</x:v>
      </x:c>
      <x:c r="E46" s="12" t="n">
        <x:v>15.72</x:v>
      </x:c>
      <x:c r="F46" s="10" t="n">
        <x:v>0.263</x:v>
      </x:c>
      <x:c r="G46" t="str">
        <x:v>General Merchandise</x:v>
      </x:c>
      <x:c r="H46" t="str">
        <x:v>Accessories</x:v>
      </x:c>
      <x:c r="I46" t="str">
        <x:v>MFG019</x:v>
      </x:c>
      <x:c r="J46" t="str">
        <x:v>Manufacturer 019</x:v>
      </x:c>
      <x:c r="K46" t="str">
        <x:v>SUP007</x:v>
      </x:c>
      <x:c r="L46" t="str">
        <x:v>Supplier 007</x:v>
      </x:c>
      <x:c r="M46" t="str">
        <x:v>REG-102420</x:v>
      </x:c>
      <x:c r="N46" t="str">
        <x:v>Generic Ingredient 151</x:v>
      </x:c>
      <x:c r="O46" t="str">
        <x:v>Pharmacy Only</x:v>
      </x:c>
      <x:c r="P46" t="n">
        <x:v>246</x:v>
      </x:c>
      <x:c r="Q46" t="n">
        <x:v>179</x:v>
      </x:c>
      <x:c r="R46" t="n">
        <x:v>67</x:v>
      </x:c>
      <x:c r="S46" s="12" t="n">
        <x:f>E46*Q46</x:f>
        <x:v>2813.88</x:v>
      </x:c>
      <x:c r="T46" s="12" t="n">
        <x:f>ROUND(S46*F46+0.000000001,2)</x:f>
        <x:v>740.05</x:v>
      </x:c>
      <x:c r="U46" s="12" t="n">
        <x:f>E46*R46</x:f>
        <x:v>1053.24</x:v>
      </x:c>
      <x:c r="V46" t="str">
        <x:f>IF(AND(C46="Active",Q46=0),"Active Zero Sales","Not Zero Sales")</x:f>
        <x:v>Not Zero Sales</x:v>
      </x:c>
      <x:c r="W46" s="12" t="n">
        <x:f>IF(V46="Active Zero Sales",U46,0)</x:f>
        <x:v>0</x:v>
      </x:c>
      <x:c r="X46" t="str">
        <x:f>IF(E46&lt;25,"Low &lt; 25",IF(E46&lt;100,"Medium 25-99",IF(E46&lt;300,"High 100-299","Premium 300+")))</x:f>
        <x:v>Low &lt; 25</x:v>
      </x:c>
      <x:c r="Y46" t="n">
        <x:f>IF(C46="Active",1,0)</x:f>
        <x:v>1</x:v>
      </x:c>
    </x:row>
    <x:row r="47">
      <x:c r="A47" t="str">
        <x:v>SKU00046</x:v>
      </x:c>
      <x:c r="B47" t="str">
        <x:v>Sample Product 00046</x:v>
      </x:c>
      <x:c r="C47" t="str">
        <x:v>Active</x:v>
      </x:c>
      <x:c r="D47" t="str">
        <x:v>2026-04</x:v>
      </x:c>
      <x:c r="E47" s="12" t="n">
        <x:v>70.1</x:v>
      </x:c>
      <x:c r="F47" s="10" t="n">
        <x:v>0.438</x:v>
      </x:c>
      <x:c r="G47" t="str">
        <x:v>Personal Care</x:v>
      </x:c>
      <x:c r="H47" t="str">
        <x:v>Hair Care</x:v>
      </x:c>
      <x:c r="I47" t="str">
        <x:v>MFG014</x:v>
      </x:c>
      <x:c r="J47" t="str">
        <x:v>Manufacturer 014</x:v>
      </x:c>
      <x:c r="K47" t="str">
        <x:v>SUP003</x:v>
      </x:c>
      <x:c r="L47" t="str">
        <x:v>Supplier 003</x:v>
      </x:c>
      <x:c r="M47" t="str">
        <x:v>REG-149879</x:v>
      </x:c>
      <x:c r="N47" t="str">
        <x:v>Generic Ingredient 148</x:v>
      </x:c>
      <x:c r="O47" t="str">
        <x:v>General Sale</x:v>
      </x:c>
      <x:c r="P47" t="n">
        <x:v>36</x:v>
      </x:c>
      <x:c r="Q47" t="n">
        <x:v>10</x:v>
      </x:c>
      <x:c r="R47" t="n">
        <x:v>1</x:v>
      </x:c>
      <x:c r="S47" s="12" t="n">
        <x:f>E47*Q47</x:f>
        <x:v>701</x:v>
      </x:c>
      <x:c r="T47" s="12" t="n">
        <x:f>ROUND(S47*F47+0.000000001,2)</x:f>
        <x:v>307.04</x:v>
      </x:c>
      <x:c r="U47" s="12" t="n">
        <x:f>E47*R47</x:f>
        <x:v>70.1</x:v>
      </x:c>
      <x:c r="V47" t="str">
        <x:f>IF(AND(C47="Active",Q47=0),"Active Zero Sales","Not Zero Sales")</x:f>
        <x:v>Not Zero Sales</x:v>
      </x:c>
      <x:c r="W47" s="12" t="n">
        <x:f>IF(V47="Active Zero Sales",U47,0)</x:f>
        <x:v>0</x:v>
      </x:c>
      <x:c r="X47" t="str">
        <x:f>IF(E47&lt;25,"Low &lt; 25",IF(E47&lt;100,"Medium 25-99",IF(E47&lt;300,"High 100-299","Premium 300+")))</x:f>
        <x:v>Medium 25-99</x:v>
      </x:c>
      <x:c r="Y47" t="n">
        <x:f>IF(C47="Active",1,0)</x:f>
        <x:v>1</x:v>
      </x:c>
    </x:row>
    <x:row r="48">
      <x:c r="A48" t="str">
        <x:v>SKU00047</x:v>
      </x:c>
      <x:c r="B48" t="str">
        <x:v>Sample Product 00047</x:v>
      </x:c>
      <x:c r="C48" t="str">
        <x:v>Active</x:v>
      </x:c>
      <x:c r="D48" t="str">
        <x:v>2026-04</x:v>
      </x:c>
      <x:c r="E48" s="12" t="n">
        <x:v>45.33</x:v>
      </x:c>
      <x:c r="F48" s="10" t="n">
        <x:v>0.475</x:v>
      </x:c>
      <x:c r="G48" t="str">
        <x:v>OTC &amp; Wellness</x:v>
      </x:c>
      <x:c r="H48" t="str">
        <x:v>Digestive Care</x:v>
      </x:c>
      <x:c r="I48" t="str">
        <x:v>MFG020</x:v>
      </x:c>
      <x:c r="J48" t="str">
        <x:v>Manufacturer 020</x:v>
      </x:c>
      <x:c r="K48" t="str">
        <x:v>SUP003</x:v>
      </x:c>
      <x:c r="L48" t="str">
        <x:v>Supplier 003</x:v>
      </x:c>
      <x:c r="M48" t="str">
        <x:v>REG-223610</x:v>
      </x:c>
      <x:c r="N48" t="str">
        <x:v>Generic Ingredient 138</x:v>
      </x:c>
      <x:c r="O48" t="str">
        <x:v>General Sale</x:v>
      </x:c>
      <x:c r="P48" t="n">
        <x:v>76</x:v>
      </x:c>
      <x:c r="Q48" t="n">
        <x:v>23</x:v>
      </x:c>
      <x:c r="R48" t="n">
        <x:v>30</x:v>
      </x:c>
      <x:c r="S48" s="12" t="n">
        <x:f>E48*Q48</x:f>
        <x:v>1042.59</x:v>
      </x:c>
      <x:c r="T48" s="12" t="n">
        <x:f>ROUND(S48*F48+0.000000001,2)</x:f>
        <x:v>495.23</x:v>
      </x:c>
      <x:c r="U48" s="12" t="n">
        <x:f>E48*R48</x:f>
        <x:v>1359.8999999999999</x:v>
      </x:c>
      <x:c r="V48" t="str">
        <x:f>IF(AND(C48="Active",Q48=0),"Active Zero Sales","Not Zero Sales")</x:f>
        <x:v>Not Zero Sales</x:v>
      </x:c>
      <x:c r="W48" s="12" t="n">
        <x:f>IF(V48="Active Zero Sales",U48,0)</x:f>
        <x:v>0</x:v>
      </x:c>
      <x:c r="X48" t="str">
        <x:f>IF(E48&lt;25,"Low &lt; 25",IF(E48&lt;100,"Medium 25-99",IF(E48&lt;300,"High 100-299","Premium 300+")))</x:f>
        <x:v>Medium 25-99</x:v>
      </x:c>
      <x:c r="Y48" t="n">
        <x:f>IF(C48="Active",1,0)</x:f>
        <x:v>1</x:v>
      </x:c>
    </x:row>
    <x:row r="49">
      <x:c r="A49" t="str">
        <x:v>SKU00048</x:v>
      </x:c>
      <x:c r="B49" t="str">
        <x:v>Sample Product 00048</x:v>
      </x:c>
      <x:c r="C49" t="str">
        <x:v>Active</x:v>
      </x:c>
      <x:c r="D49" t="str">
        <x:v>2026-03</x:v>
      </x:c>
      <x:c r="E49" s="12" t="n">
        <x:v>286.57</x:v>
      </x:c>
      <x:c r="F49" s="10" t="n">
        <x:v>0.349</x:v>
      </x:c>
      <x:c r="G49" t="str">
        <x:v>Personal Care</x:v>
      </x:c>
      <x:c r="H49" t="str">
        <x:v>Hygiene</x:v>
      </x:c>
      <x:c r="I49" t="str">
        <x:v>MFG001</x:v>
      </x:c>
      <x:c r="J49" t="str">
        <x:v>Manufacturer 001</x:v>
      </x:c>
      <x:c r="K49" t="str">
        <x:v>SUP017</x:v>
      </x:c>
      <x:c r="L49" t="str">
        <x:v>Supplier 017</x:v>
      </x:c>
      <x:c r="M49" t="str">
        <x:v>REG-463694</x:v>
      </x:c>
      <x:c r="N49" t="str">
        <x:v>Generic Ingredient 070</x:v>
      </x:c>
      <x:c r="O49" t="str">
        <x:v>Pharmacy Only</x:v>
      </x:c>
      <x:c r="P49" t="n">
        <x:v>72</x:v>
      </x:c>
      <x:c r="Q49" t="n">
        <x:v>41</x:v>
      </x:c>
      <x:c r="R49" t="n">
        <x:v>26</x:v>
      </x:c>
      <x:c r="S49" s="12" t="n">
        <x:f>E49*Q49</x:f>
        <x:v>11749.369999999999</x:v>
      </x:c>
      <x:c r="T49" s="12" t="n">
        <x:f>ROUND(S49*F49+0.000000001,2)</x:f>
        <x:v>4100.53</x:v>
      </x:c>
      <x:c r="U49" s="12" t="n">
        <x:f>E49*R49</x:f>
        <x:v>7450.82</x:v>
      </x:c>
      <x:c r="V49" t="str">
        <x:f>IF(AND(C49="Active",Q49=0),"Active Zero Sales","Not Zero Sales")</x:f>
        <x:v>Not Zero Sales</x:v>
      </x:c>
      <x:c r="W49" s="12" t="n">
        <x:f>IF(V49="Active Zero Sales",U49,0)</x:f>
        <x:v>0</x:v>
      </x:c>
      <x:c r="X49" t="str">
        <x:f>IF(E49&lt;25,"Low &lt; 25",IF(E49&lt;100,"Medium 25-99",IF(E49&lt;300,"High 100-299","Premium 300+")))</x:f>
        <x:v>High 100-299</x:v>
      </x:c>
      <x:c r="Y49" t="n">
        <x:f>IF(C49="Active",1,0)</x:f>
        <x:v>1</x:v>
      </x:c>
    </x:row>
    <x:row r="50">
      <x:c r="A50" t="str">
        <x:v>SKU00049</x:v>
      </x:c>
      <x:c r="B50" t="str">
        <x:v>Sample Product 00049</x:v>
      </x:c>
      <x:c r="C50" t="str">
        <x:v>Active</x:v>
      </x:c>
      <x:c r="D50" t="str">
        <x:v>2026-05</x:v>
      </x:c>
      <x:c r="E50" s="12" t="n">
        <x:v>64.58</x:v>
      </x:c>
      <x:c r="F50" s="10" t="n">
        <x:v>0.226</x:v>
      </x:c>
      <x:c r="G50" t="str">
        <x:v>Nutrition</x:v>
      </x:c>
      <x:c r="H50" t="str">
        <x:v>Sports Nutrition</x:v>
      </x:c>
      <x:c r="I50" t="str">
        <x:v>MFG012</x:v>
      </x:c>
      <x:c r="J50" t="str">
        <x:v>Manufacturer 012</x:v>
      </x:c>
      <x:c r="K50" t="str">
        <x:v>SUP023</x:v>
      </x:c>
      <x:c r="L50" t="str">
        <x:v>Supplier 023</x:v>
      </x:c>
      <x:c r="M50" t="str">
        <x:v>REG-174091</x:v>
      </x:c>
      <x:c r="N50" t="str">
        <x:v>Generic Ingredient 008</x:v>
      </x:c>
      <x:c r="O50" t="str">
        <x:v>Pharmacy Only</x:v>
      </x:c>
      <x:c r="P50" t="n">
        <x:v>61</x:v>
      </x:c>
      <x:c r="Q50" t="n">
        <x:v>21</x:v>
      </x:c>
      <x:c r="R50" t="n">
        <x:v>8</x:v>
      </x:c>
      <x:c r="S50" s="12" t="n">
        <x:f>E50*Q50</x:f>
        <x:v>1356.18</x:v>
      </x:c>
      <x:c r="T50" s="12" t="n">
        <x:f>ROUND(S50*F50+0.000000001,2)</x:f>
        <x:v>306.5</x:v>
      </x:c>
      <x:c r="U50" s="12" t="n">
        <x:f>E50*R50</x:f>
        <x:v>516.64</x:v>
      </x:c>
      <x:c r="V50" t="str">
        <x:f>IF(AND(C50="Active",Q50=0),"Active Zero Sales","Not Zero Sales")</x:f>
        <x:v>Not Zero Sales</x:v>
      </x:c>
      <x:c r="W50" s="12" t="n">
        <x:f>IF(V50="Active Zero Sales",U50,0)</x:f>
        <x:v>0</x:v>
      </x:c>
      <x:c r="X50" t="str">
        <x:f>IF(E50&lt;25,"Low &lt; 25",IF(E50&lt;100,"Medium 25-99",IF(E50&lt;300,"High 100-299","Premium 300+")))</x:f>
        <x:v>Medium 25-99</x:v>
      </x:c>
      <x:c r="Y50" t="n">
        <x:f>IF(C50="Active",1,0)</x:f>
        <x:v>1</x:v>
      </x:c>
    </x:row>
    <x:row r="51">
      <x:c r="A51" t="str">
        <x:v>SKU00050</x:v>
      </x:c>
      <x:c r="B51" t="str">
        <x:v>Sample Product 00050</x:v>
      </x:c>
      <x:c r="C51" t="str">
        <x:v>Active</x:v>
      </x:c>
      <x:c r="D51" t="str">
        <x:v>2026-03</x:v>
      </x:c>
      <x:c r="E51" s="12" t="n">
        <x:v>69.73</x:v>
      </x:c>
      <x:c r="F51" s="10" t="n">
        <x:v>0.35</x:v>
      </x:c>
      <x:c r="G51" t="str">
        <x:v>Personal Care</x:v>
      </x:c>
      <x:c r="H51" t="str">
        <x:v>Hygiene</x:v>
      </x:c>
      <x:c r="I51" t="str">
        <x:v>MFG014</x:v>
      </x:c>
      <x:c r="J51" t="str">
        <x:v>Manufacturer 014</x:v>
      </x:c>
      <x:c r="K51" t="str">
        <x:v>SUP024</x:v>
      </x:c>
      <x:c r="L51" t="str">
        <x:v>Supplier 024</x:v>
      </x:c>
      <x:c r="M51" t="str">
        <x:v>REG-217094</x:v>
      </x:c>
      <x:c r="N51" t="str">
        <x:v>Generic Ingredient 085</x:v>
      </x:c>
      <x:c r="O51" t="str">
        <x:v>Pharmacy Only</x:v>
      </x:c>
      <x:c r="P51" t="n">
        <x:v>80</x:v>
      </x:c>
      <x:c r="Q51" t="n">
        <x:v>30</x:v>
      </x:c>
      <x:c r="R51" t="n">
        <x:v>0</x:v>
      </x:c>
      <x:c r="S51" s="12" t="n">
        <x:f>E51*Q51</x:f>
        <x:v>2091.9</x:v>
      </x:c>
      <x:c r="T51" s="12" t="n">
        <x:f>ROUND(S51*F51+0.000000001,2)</x:f>
        <x:v>732.17</x:v>
      </x:c>
      <x:c r="U51" s="12" t="n">
        <x:f>E51*R51</x:f>
        <x:v>0</x:v>
      </x:c>
      <x:c r="V51" t="str">
        <x:f>IF(AND(C51="Active",Q51=0),"Active Zero Sales","Not Zero Sales")</x:f>
        <x:v>Not Zero Sales</x:v>
      </x:c>
      <x:c r="W51" s="12" t="n">
        <x:f>IF(V51="Active Zero Sales",U51,0)</x:f>
        <x:v>0</x:v>
      </x:c>
      <x:c r="X51" t="str">
        <x:f>IF(E51&lt;25,"Low &lt; 25",IF(E51&lt;100,"Medium 25-99",IF(E51&lt;300,"High 100-299","Premium 300+")))</x:f>
        <x:v>Medium 25-99</x:v>
      </x:c>
      <x:c r="Y51" t="n">
        <x:f>IF(C51="Active",1,0)</x:f>
        <x:v>1</x:v>
      </x:c>
    </x:row>
    <x:row r="52">
      <x:c r="A52" t="str">
        <x:v>SKU00051</x:v>
      </x:c>
      <x:c r="B52" t="str">
        <x:v>Sample Product 00051</x:v>
      </x:c>
      <x:c r="C52" t="str">
        <x:v>Active</x:v>
      </x:c>
      <x:c r="D52" t="str">
        <x:v>2026-01</x:v>
      </x:c>
      <x:c r="E52" s="12" t="n">
        <x:v>24.28</x:v>
      </x:c>
      <x:c r="F52" s="10" t="n">
        <x:v>0.259</x:v>
      </x:c>
      <x:c r="G52" t="str">
        <x:v>Personal Care</x:v>
      </x:c>
      <x:c r="H52" t="str">
        <x:v>Hygiene</x:v>
      </x:c>
      <x:c r="I52" t="str">
        <x:v>MFG020</x:v>
      </x:c>
      <x:c r="J52" t="str">
        <x:v>Manufacturer 020</x:v>
      </x:c>
      <x:c r="K52" t="str">
        <x:v>SUP006</x:v>
      </x:c>
      <x:c r="L52" t="str">
        <x:v>Supplier 006</x:v>
      </x:c>
      <x:c r="M52" t="str">
        <x:v>REG-238019</x:v>
      </x:c>
      <x:c r="N52" t="str">
        <x:v>Generic Ingredient 095</x:v>
      </x:c>
      <x:c r="O52" t="str">
        <x:v>General Sale</x:v>
      </x:c>
      <x:c r="P52" t="n">
        <x:v>82</x:v>
      </x:c>
      <x:c r="Q52" t="n">
        <x:v>21</x:v>
      </x:c>
      <x:c r="R52" t="n">
        <x:v>15</x:v>
      </x:c>
      <x:c r="S52" s="12" t="n">
        <x:f>E52*Q52</x:f>
        <x:v>509.88</x:v>
      </x:c>
      <x:c r="T52" s="12" t="n">
        <x:f>ROUND(S52*F52+0.000000001,2)</x:f>
        <x:v>132.06</x:v>
      </x:c>
      <x:c r="U52" s="12" t="n">
        <x:f>E52*R52</x:f>
        <x:v>364.20000000000005</x:v>
      </x:c>
      <x:c r="V52" t="str">
        <x:f>IF(AND(C52="Active",Q52=0),"Active Zero Sales","Not Zero Sales")</x:f>
        <x:v>Not Zero Sales</x:v>
      </x:c>
      <x:c r="W52" s="12" t="n">
        <x:f>IF(V52="Active Zero Sales",U52,0)</x:f>
        <x:v>0</x:v>
      </x:c>
      <x:c r="X52" t="str">
        <x:f>IF(E52&lt;25,"Low &lt; 25",IF(E52&lt;100,"Medium 25-99",IF(E52&lt;300,"High 100-299","Premium 300+")))</x:f>
        <x:v>Low &lt; 25</x:v>
      </x:c>
      <x:c r="Y52" t="n">
        <x:f>IF(C52="Active",1,0)</x:f>
        <x:v>1</x:v>
      </x:c>
    </x:row>
    <x:row r="53">
      <x:c r="A53" t="str">
        <x:v>SKU00052</x:v>
      </x:c>
      <x:c r="B53" t="str">
        <x:v>Sample Product 00052</x:v>
      </x:c>
      <x:c r="C53" t="str">
        <x:v>Active</x:v>
      </x:c>
      <x:c r="D53" t="str">
        <x:v>2026-02</x:v>
      </x:c>
      <x:c r="E53" s="12" t="n">
        <x:v>290.1</x:v>
      </x:c>
      <x:c r="F53" s="10" t="n">
        <x:v>0.257</x:v>
      </x:c>
      <x:c r="G53" t="str">
        <x:v>OTC &amp; Wellness</x:v>
      </x:c>
      <x:c r="H53" t="str">
        <x:v>Pain Relief</x:v>
      </x:c>
      <x:c r="I53" t="str">
        <x:v>MFG006</x:v>
      </x:c>
      <x:c r="J53" t="str">
        <x:v>Manufacturer 006</x:v>
      </x:c>
      <x:c r="K53" t="str">
        <x:v>SUP016</x:v>
      </x:c>
      <x:c r="L53" t="str">
        <x:v>Supplier 016</x:v>
      </x:c>
      <x:c r="M53" t="str">
        <x:v>REG-643123</x:v>
      </x:c>
      <x:c r="N53" t="str">
        <x:v>Generic Ingredient 160</x:v>
      </x:c>
      <x:c r="O53" t="str">
        <x:v>General Sale</x:v>
      </x:c>
      <x:c r="P53" t="n">
        <x:v>73</x:v>
      </x:c>
      <x:c r="Q53" t="n">
        <x:v>37</x:v>
      </x:c>
      <x:c r="R53" t="n">
        <x:v>12</x:v>
      </x:c>
      <x:c r="S53" s="12" t="n">
        <x:f>E53*Q53</x:f>
        <x:v>10733.7</x:v>
      </x:c>
      <x:c r="T53" s="12" t="n">
        <x:f>ROUND(S53*F53+0.000000001,2)</x:f>
        <x:v>2758.56</x:v>
      </x:c>
      <x:c r="U53" s="12" t="n">
        <x:f>E53*R53</x:f>
        <x:v>3481.2000000000003</x:v>
      </x:c>
      <x:c r="V53" t="str">
        <x:f>IF(AND(C53="Active",Q53=0),"Active Zero Sales","Not Zero Sales")</x:f>
        <x:v>Not Zero Sales</x:v>
      </x:c>
      <x:c r="W53" s="12" t="n">
        <x:f>IF(V53="Active Zero Sales",U53,0)</x:f>
        <x:v>0</x:v>
      </x:c>
      <x:c r="X53" t="str">
        <x:f>IF(E53&lt;25,"Low &lt; 25",IF(E53&lt;100,"Medium 25-99",IF(E53&lt;300,"High 100-299","Premium 300+")))</x:f>
        <x:v>High 100-299</x:v>
      </x:c>
      <x:c r="Y53" t="n">
        <x:f>IF(C53="Active",1,0)</x:f>
        <x:v>1</x:v>
      </x:c>
    </x:row>
    <x:row r="54">
      <x:c r="A54" t="str">
        <x:v>SKU00053</x:v>
      </x:c>
      <x:c r="B54" t="str">
        <x:v>Sample Product 00053</x:v>
      </x:c>
      <x:c r="C54" t="str">
        <x:v>Blocked</x:v>
      </x:c>
      <x:c r="D54" t="str">
        <x:v>2026-03</x:v>
      </x:c>
      <x:c r="E54" s="12" t="n">
        <x:v>19.57</x:v>
      </x:c>
      <x:c r="F54" s="10" t="n">
        <x:v>0.409</x:v>
      </x:c>
      <x:c r="G54" t="str">
        <x:v>OTC &amp; Wellness</x:v>
      </x:c>
      <x:c r="H54" t="str">
        <x:v>Pain Relief</x:v>
      </x:c>
      <x:c r="I54" t="str">
        <x:v>MFG017</x:v>
      </x:c>
      <x:c r="J54" t="str">
        <x:v>Manufacturer 017</x:v>
      </x:c>
      <x:c r="K54" t="str">
        <x:v>SUP030</x:v>
      </x:c>
      <x:c r="L54" t="str">
        <x:v>Supplier 030</x:v>
      </x:c>
      <x:c r="M54" t="str">
        <x:v>REG-965950</x:v>
      </x:c>
      <x:c r="N54" t="str">
        <x:v>Generic Ingredient 049</x:v>
      </x:c>
      <x:c r="O54" t="str">
        <x:v>General Sale</x:v>
      </x:c>
      <x:c r="P54" t="n">
        <x:v>0</x:v>
      </x:c>
      <x:c r="Q54" t="n">
        <x:v>0</x:v>
      </x:c>
      <x:c r="R54" t="n">
        <x:v>0</x:v>
      </x:c>
      <x:c r="S54" s="12" t="n">
        <x:f>E54*Q54</x:f>
        <x:v>0</x:v>
      </x:c>
      <x:c r="T54" s="12" t="n">
        <x:f>ROUND(S54*F54+0.000000001,2)</x:f>
        <x:v>0</x:v>
      </x:c>
      <x:c r="U54" s="12" t="n">
        <x:f>E54*R54</x:f>
        <x:v>0</x:v>
      </x:c>
      <x:c r="V54" t="str">
        <x:f>IF(AND(C54="Active",Q54=0),"Active Zero Sales","Not Zero Sales")</x:f>
        <x:v>Not Zero Sales</x:v>
      </x:c>
      <x:c r="W54" s="12" t="n">
        <x:f>IF(V54="Active Zero Sales",U54,0)</x:f>
        <x:v>0</x:v>
      </x:c>
      <x:c r="X54" t="str">
        <x:f>IF(E54&lt;25,"Low &lt; 25",IF(E54&lt;100,"Medium 25-99",IF(E54&lt;300,"High 100-299","Premium 300+")))</x:f>
        <x:v>Low &lt; 25</x:v>
      </x:c>
      <x:c r="Y54" t="n">
        <x:f>IF(C54="Active",1,0)</x:f>
        <x:v>0</x:v>
      </x:c>
    </x:row>
    <x:row r="55">
      <x:c r="A55" t="str">
        <x:v>SKU00054</x:v>
      </x:c>
      <x:c r="B55" t="str">
        <x:v>Sample Product 00054</x:v>
      </x:c>
      <x:c r="C55" t="str">
        <x:v>Active</x:v>
      </x:c>
      <x:c r="D55" t="str">
        <x:v>2026-01</x:v>
      </x:c>
      <x:c r="E55" s="12" t="n">
        <x:v>249.54</x:v>
      </x:c>
      <x:c r="F55" s="10" t="n">
        <x:v>0.332</x:v>
      </x:c>
      <x:c r="G55" t="str">
        <x:v>General Merchandise</x:v>
      </x:c>
      <x:c r="H55" t="str">
        <x:v>Seasonal Care</x:v>
      </x:c>
      <x:c r="I55" t="str">
        <x:v>MFG015</x:v>
      </x:c>
      <x:c r="J55" t="str">
        <x:v>Manufacturer 015</x:v>
      </x:c>
      <x:c r="K55" t="str">
        <x:v>SUP024</x:v>
      </x:c>
      <x:c r="L55" t="str">
        <x:v>Supplier 024</x:v>
      </x:c>
      <x:c r="M55" t="str">
        <x:v>REG-201982</x:v>
      </x:c>
      <x:c r="N55" t="str">
        <x:v>Generic Ingredient 080</x:v>
      </x:c>
      <x:c r="O55" t="str">
        <x:v>General Sale</x:v>
      </x:c>
      <x:c r="P55" t="n">
        <x:v>33</x:v>
      </x:c>
      <x:c r="Q55" t="n">
        <x:v>20</x:v>
      </x:c>
      <x:c r="R55" t="n">
        <x:v>14</x:v>
      </x:c>
      <x:c r="S55" s="12" t="n">
        <x:f>E55*Q55</x:f>
        <x:v>4990.8</x:v>
      </x:c>
      <x:c r="T55" s="12" t="n">
        <x:f>ROUND(S55*F55+0.000000001,2)</x:f>
        <x:v>1656.95</x:v>
      </x:c>
      <x:c r="U55" s="12" t="n">
        <x:f>E55*R55</x:f>
        <x:v>3493.56</x:v>
      </x:c>
      <x:c r="V55" t="str">
        <x:f>IF(AND(C55="Active",Q55=0),"Active Zero Sales","Not Zero Sales")</x:f>
        <x:v>Not Zero Sales</x:v>
      </x:c>
      <x:c r="W55" s="12" t="n">
        <x:f>IF(V55="Active Zero Sales",U55,0)</x:f>
        <x:v>0</x:v>
      </x:c>
      <x:c r="X55" t="str">
        <x:f>IF(E55&lt;25,"Low &lt; 25",IF(E55&lt;100,"Medium 25-99",IF(E55&lt;300,"High 100-299","Premium 300+")))</x:f>
        <x:v>High 100-299</x:v>
      </x:c>
      <x:c r="Y55" t="n">
        <x:f>IF(C55="Active",1,0)</x:f>
        <x:v>1</x:v>
      </x:c>
    </x:row>
    <x:row r="56">
      <x:c r="A56" t="str">
        <x:v>SKU00055</x:v>
      </x:c>
      <x:c r="B56" t="str">
        <x:v>Sample Product 00055</x:v>
      </x:c>
      <x:c r="C56" t="str">
        <x:v>Active</x:v>
      </x:c>
      <x:c r="D56" t="str">
        <x:v>2026-06</x:v>
      </x:c>
      <x:c r="E56" s="12" t="n">
        <x:v>109.55</x:v>
      </x:c>
      <x:c r="F56" s="10" t="n">
        <x:v>0.354</x:v>
      </x:c>
      <x:c r="G56" t="str">
        <x:v>Medical Devices</x:v>
      </x:c>
      <x:c r="H56" t="str">
        <x:v>First Aid</x:v>
      </x:c>
      <x:c r="I56" t="str">
        <x:v>MFG015</x:v>
      </x:c>
      <x:c r="J56" t="str">
        <x:v>Manufacturer 015</x:v>
      </x:c>
      <x:c r="K56" t="str">
        <x:v>SUP013</x:v>
      </x:c>
      <x:c r="L56" t="str">
        <x:v>Supplier 013</x:v>
      </x:c>
      <x:c r="M56" t="str">
        <x:v>REG-837056</x:v>
      </x:c>
      <x:c r="N56" t="str">
        <x:v>Generic Ingredient 018</x:v>
      </x:c>
      <x:c r="O56" t="str">
        <x:v>Pharmacy Only</x:v>
      </x:c>
      <x:c r="P56" t="n">
        <x:v>62</x:v>
      </x:c>
      <x:c r="Q56" t="n">
        <x:v>48</x:v>
      </x:c>
      <x:c r="R56" t="n">
        <x:v>0</x:v>
      </x:c>
      <x:c r="S56" s="12" t="n">
        <x:f>E56*Q56</x:f>
        <x:v>5258.4</x:v>
      </x:c>
      <x:c r="T56" s="12" t="n">
        <x:f>ROUND(S56*F56+0.000000001,2)</x:f>
        <x:v>1861.47</x:v>
      </x:c>
      <x:c r="U56" s="12" t="n">
        <x:f>E56*R56</x:f>
        <x:v>0</x:v>
      </x:c>
      <x:c r="V56" t="str">
        <x:f>IF(AND(C56="Active",Q56=0),"Active Zero Sales","Not Zero Sales")</x:f>
        <x:v>Not Zero Sales</x:v>
      </x:c>
      <x:c r="W56" s="12" t="n">
        <x:f>IF(V56="Active Zero Sales",U56,0)</x:f>
        <x:v>0</x:v>
      </x:c>
      <x:c r="X56" t="str">
        <x:f>IF(E56&lt;25,"Low &lt; 25",IF(E56&lt;100,"Medium 25-99",IF(E56&lt;300,"High 100-299","Premium 300+")))</x:f>
        <x:v>High 100-299</x:v>
      </x:c>
      <x:c r="Y56" t="n">
        <x:f>IF(C56="Active",1,0)</x:f>
        <x:v>1</x:v>
      </x:c>
    </x:row>
    <x:row r="57">
      <x:c r="A57" t="str">
        <x:v>SKU00056</x:v>
      </x:c>
      <x:c r="B57" t="str">
        <x:v>Sample Product 00056</x:v>
      </x:c>
      <x:c r="C57" t="str">
        <x:v>Active</x:v>
      </x:c>
      <x:c r="D57" t="str">
        <x:v>2026-02</x:v>
      </x:c>
      <x:c r="E57" s="12" t="n">
        <x:v>169.21</x:v>
      </x:c>
      <x:c r="F57" s="10" t="n">
        <x:v>0.448</x:v>
      </x:c>
      <x:c r="G57" t="str">
        <x:v>General Merchandise</x:v>
      </x:c>
      <x:c r="H57" t="str">
        <x:v>Travel Health</x:v>
      </x:c>
      <x:c r="I57" t="str">
        <x:v>MFG004</x:v>
      </x:c>
      <x:c r="J57" t="str">
        <x:v>Manufacturer 004</x:v>
      </x:c>
      <x:c r="K57" t="str">
        <x:v>SUP019</x:v>
      </x:c>
      <x:c r="L57" t="str">
        <x:v>Supplier 019</x:v>
      </x:c>
      <x:c r="M57" t="str">
        <x:v>REG-995294</x:v>
      </x:c>
      <x:c r="N57" t="str">
        <x:v>Generic Ingredient 116</x:v>
      </x:c>
      <x:c r="O57" t="str">
        <x:v>General Sale</x:v>
      </x:c>
      <x:c r="P57" t="n">
        <x:v>92</x:v>
      </x:c>
      <x:c r="Q57" t="n">
        <x:v>65</x:v>
      </x:c>
      <x:c r="R57" t="n">
        <x:v>32</x:v>
      </x:c>
      <x:c r="S57" s="12" t="n">
        <x:f>E57*Q57</x:f>
        <x:v>10998.65</x:v>
      </x:c>
      <x:c r="T57" s="12" t="n">
        <x:f>ROUND(S57*F57+0.000000001,2)</x:f>
        <x:v>4927.4</x:v>
      </x:c>
      <x:c r="U57" s="12" t="n">
        <x:f>E57*R57</x:f>
        <x:v>5414.72</x:v>
      </x:c>
      <x:c r="V57" t="str">
        <x:f>IF(AND(C57="Active",Q57=0),"Active Zero Sales","Not Zero Sales")</x:f>
        <x:v>Not Zero Sales</x:v>
      </x:c>
      <x:c r="W57" s="12" t="n">
        <x:f>IF(V57="Active Zero Sales",U57,0)</x:f>
        <x:v>0</x:v>
      </x:c>
      <x:c r="X57" t="str">
        <x:f>IF(E57&lt;25,"Low &lt; 25",IF(E57&lt;100,"Medium 25-99",IF(E57&lt;300,"High 100-299","Premium 300+")))</x:f>
        <x:v>High 100-299</x:v>
      </x:c>
      <x:c r="Y57" t="n">
        <x:f>IF(C57="Active",1,0)</x:f>
        <x:v>1</x:v>
      </x:c>
    </x:row>
    <x:row r="58">
      <x:c r="A58" t="str">
        <x:v>SKU00057</x:v>
      </x:c>
      <x:c r="B58" t="str">
        <x:v>Sample Product 00057</x:v>
      </x:c>
      <x:c r="C58" t="str">
        <x:v>Blocked</x:v>
      </x:c>
      <x:c r="D58" t="str">
        <x:v>2026-03</x:v>
      </x:c>
      <x:c r="E58" s="12" t="n">
        <x:v>255.82</x:v>
      </x:c>
      <x:c r="F58" s="10" t="n">
        <x:v>0.343</x:v>
      </x:c>
      <x:c r="G58" t="str">
        <x:v>Nutrition</x:v>
      </x:c>
      <x:c r="H58" t="str">
        <x:v>Healthy Snacks</x:v>
      </x:c>
      <x:c r="I58" t="str">
        <x:v>MFG020</x:v>
      </x:c>
      <x:c r="J58" t="str">
        <x:v>Manufacturer 020</x:v>
      </x:c>
      <x:c r="K58" t="str">
        <x:v>SUP009</x:v>
      </x:c>
      <x:c r="L58" t="str">
        <x:v>Supplier 009</x:v>
      </x:c>
      <x:c r="M58" t="str">
        <x:v>REG-348865</x:v>
      </x:c>
      <x:c r="N58" t="str">
        <x:v>Generic Ingredient 039</x:v>
      </x:c>
      <x:c r="O58" t="str">
        <x:v>General Sale</x:v>
      </x:c>
      <x:c r="P58" t="n">
        <x:v>13</x:v>
      </x:c>
      <x:c r="Q58" t="n">
        <x:v>0</x:v>
      </x:c>
      <x:c r="R58" t="n">
        <x:v>0</x:v>
      </x:c>
      <x:c r="S58" s="12" t="n">
        <x:f>E58*Q58</x:f>
        <x:v>0</x:v>
      </x:c>
      <x:c r="T58" s="12" t="n">
        <x:f>ROUND(S58*F58+0.000000001,2)</x:f>
        <x:v>0</x:v>
      </x:c>
      <x:c r="U58" s="12" t="n">
        <x:f>E58*R58</x:f>
        <x:v>0</x:v>
      </x:c>
      <x:c r="V58" t="str">
        <x:f>IF(AND(C58="Active",Q58=0),"Active Zero Sales","Not Zero Sales")</x:f>
        <x:v>Not Zero Sales</x:v>
      </x:c>
      <x:c r="W58" s="12" t="n">
        <x:f>IF(V58="Active Zero Sales",U58,0)</x:f>
        <x:v>0</x:v>
      </x:c>
      <x:c r="X58" t="str">
        <x:f>IF(E58&lt;25,"Low &lt; 25",IF(E58&lt;100,"Medium 25-99",IF(E58&lt;300,"High 100-299","Premium 300+")))</x:f>
        <x:v>High 100-299</x:v>
      </x:c>
      <x:c r="Y58" t="n">
        <x:f>IF(C58="Active",1,0)</x:f>
        <x:v>0</x:v>
      </x:c>
    </x:row>
    <x:row r="59">
      <x:c r="A59" t="str">
        <x:v>SKU00058</x:v>
      </x:c>
      <x:c r="B59" t="str">
        <x:v>Sample Product 00058</x:v>
      </x:c>
      <x:c r="C59" t="str">
        <x:v>Active</x:v>
      </x:c>
      <x:c r="D59" t="str">
        <x:v>2026-01</x:v>
      </x:c>
      <x:c r="E59" s="12" t="n">
        <x:v>277.68</x:v>
      </x:c>
      <x:c r="F59" s="10" t="n">
        <x:v>0.403</x:v>
      </x:c>
      <x:c r="G59" t="str">
        <x:v>Personal Care</x:v>
      </x:c>
      <x:c r="H59" t="str">
        <x:v>Oral Care</x:v>
      </x:c>
      <x:c r="I59" t="str">
        <x:v>MFG020</x:v>
      </x:c>
      <x:c r="J59" t="str">
        <x:v>Manufacturer 020</x:v>
      </x:c>
      <x:c r="K59" t="str">
        <x:v>SUP012</x:v>
      </x:c>
      <x:c r="L59" t="str">
        <x:v>Supplier 012</x:v>
      </x:c>
      <x:c r="M59" t="str">
        <x:v>REG-725486</x:v>
      </x:c>
      <x:c r="N59" t="str">
        <x:v>Generic Ingredient 116</x:v>
      </x:c>
      <x:c r="O59" t="str">
        <x:v>Pharmacy Only</x:v>
      </x:c>
      <x:c r="P59" t="n">
        <x:v>13</x:v>
      </x:c>
      <x:c r="Q59" t="n">
        <x:v>15</x:v>
      </x:c>
      <x:c r="R59" t="n">
        <x:v>0</x:v>
      </x:c>
      <x:c r="S59" s="12" t="n">
        <x:f>E59*Q59</x:f>
        <x:v>4165.2</x:v>
      </x:c>
      <x:c r="T59" s="12" t="n">
        <x:f>ROUND(S59*F59+0.000000001,2)</x:f>
        <x:v>1678.58</x:v>
      </x:c>
      <x:c r="U59" s="12" t="n">
        <x:f>E59*R59</x:f>
        <x:v>0</x:v>
      </x:c>
      <x:c r="V59" t="str">
        <x:f>IF(AND(C59="Active",Q59=0),"Active Zero Sales","Not Zero Sales")</x:f>
        <x:v>Not Zero Sales</x:v>
      </x:c>
      <x:c r="W59" s="12" t="n">
        <x:f>IF(V59="Active Zero Sales",U59,0)</x:f>
        <x:v>0</x:v>
      </x:c>
      <x:c r="X59" t="str">
        <x:f>IF(E59&lt;25,"Low &lt; 25",IF(E59&lt;100,"Medium 25-99",IF(E59&lt;300,"High 100-299","Premium 300+")))</x:f>
        <x:v>High 100-299</x:v>
      </x:c>
      <x:c r="Y59" t="n">
        <x:f>IF(C59="Active",1,0)</x:f>
        <x:v>1</x:v>
      </x:c>
    </x:row>
    <x:row r="60">
      <x:c r="A60" t="str">
        <x:v>SKU00059</x:v>
      </x:c>
      <x:c r="B60" t="str">
        <x:v>Sample Product 00059</x:v>
      </x:c>
      <x:c r="C60" t="str">
        <x:v>Blocked</x:v>
      </x:c>
      <x:c r="D60" t="str">
        <x:v>2026-02</x:v>
      </x:c>
      <x:c r="E60" s="12" t="n">
        <x:v>299.26</x:v>
      </x:c>
      <x:c r="F60" s="10" t="n">
        <x:v>0.288</x:v>
      </x:c>
      <x:c r="G60" t="str">
        <x:v>OTC &amp; Wellness</x:v>
      </x:c>
      <x:c r="H60" t="str">
        <x:v>Digestive Care</x:v>
      </x:c>
      <x:c r="I60" t="str">
        <x:v>MFG005</x:v>
      </x:c>
      <x:c r="J60" t="str">
        <x:v>Manufacturer 005</x:v>
      </x:c>
      <x:c r="K60" t="str">
        <x:v>SUP021</x:v>
      </x:c>
      <x:c r="L60" t="str">
        <x:v>Supplier 021</x:v>
      </x:c>
      <x:c r="M60" t="str">
        <x:v>REG-235171</x:v>
      </x:c>
      <x:c r="N60" t="str">
        <x:v>Generic Ingredient 089</x:v>
      </x:c>
      <x:c r="O60" t="str">
        <x:v>General Sale</x:v>
      </x:c>
      <x:c r="P60" t="n">
        <x:v>43</x:v>
      </x:c>
      <x:c r="Q60" t="n">
        <x:v>0</x:v>
      </x:c>
      <x:c r="R60" t="n">
        <x:v>0</x:v>
      </x:c>
      <x:c r="S60" s="12" t="n">
        <x:f>E60*Q60</x:f>
        <x:v>0</x:v>
      </x:c>
      <x:c r="T60" s="12" t="n">
        <x:f>ROUND(S60*F60+0.000000001,2)</x:f>
        <x:v>0</x:v>
      </x:c>
      <x:c r="U60" s="12" t="n">
        <x:f>E60*R60</x:f>
        <x:v>0</x:v>
      </x:c>
      <x:c r="V60" t="str">
        <x:f>IF(AND(C60="Active",Q60=0),"Active Zero Sales","Not Zero Sales")</x:f>
        <x:v>Not Zero Sales</x:v>
      </x:c>
      <x:c r="W60" s="12" t="n">
        <x:f>IF(V60="Active Zero Sales",U60,0)</x:f>
        <x:v>0</x:v>
      </x:c>
      <x:c r="X60" t="str">
        <x:f>IF(E60&lt;25,"Low &lt; 25",IF(E60&lt;100,"Medium 25-99",IF(E60&lt;300,"High 100-299","Premium 300+")))</x:f>
        <x:v>High 100-299</x:v>
      </x:c>
      <x:c r="Y60" t="n">
        <x:f>IF(C60="Active",1,0)</x:f>
        <x:v>0</x:v>
      </x:c>
    </x:row>
    <x:row r="61">
      <x:c r="A61" t="str">
        <x:v>SKU00060</x:v>
      </x:c>
      <x:c r="B61" t="str">
        <x:v>Sample Product 00060</x:v>
      </x:c>
      <x:c r="C61" t="str">
        <x:v>Active</x:v>
      </x:c>
      <x:c r="D61" t="str">
        <x:v>2026-04</x:v>
      </x:c>
      <x:c r="E61" s="12" t="n">
        <x:v>50.96</x:v>
      </x:c>
      <x:c r="F61" s="10" t="n">
        <x:v>0.249</x:v>
      </x:c>
      <x:c r="G61" t="str">
        <x:v>Medical Devices</x:v>
      </x:c>
      <x:c r="H61" t="str">
        <x:v>Home Diagnostics</x:v>
      </x:c>
      <x:c r="I61" t="str">
        <x:v>MFG019</x:v>
      </x:c>
      <x:c r="J61" t="str">
        <x:v>Manufacturer 019</x:v>
      </x:c>
      <x:c r="K61" t="str">
        <x:v>SUP003</x:v>
      </x:c>
      <x:c r="L61" t="str">
        <x:v>Supplier 003</x:v>
      </x:c>
      <x:c r="M61" t="str">
        <x:v>REG-959450</x:v>
      </x:c>
      <x:c r="N61" t="str">
        <x:v>Generic Ingredient 173</x:v>
      </x:c>
      <x:c r="O61" t="str">
        <x:v>Pharmacy Only</x:v>
      </x:c>
      <x:c r="P61" t="n">
        <x:v>82</x:v>
      </x:c>
      <x:c r="Q61" t="n">
        <x:v>37</x:v>
      </x:c>
      <x:c r="R61" t="n">
        <x:v>20</x:v>
      </x:c>
      <x:c r="S61" s="12" t="n">
        <x:f>E61*Q61</x:f>
        <x:v>1885.52</x:v>
      </x:c>
      <x:c r="T61" s="12" t="n">
        <x:f>ROUND(S61*F61+0.000000001,2)</x:f>
        <x:v>469.49</x:v>
      </x:c>
      <x:c r="U61" s="12" t="n">
        <x:f>E61*R61</x:f>
        <x:v>1019.2</x:v>
      </x:c>
      <x:c r="V61" t="str">
        <x:f>IF(AND(C61="Active",Q61=0),"Active Zero Sales","Not Zero Sales")</x:f>
        <x:v>Not Zero Sales</x:v>
      </x:c>
      <x:c r="W61" s="12" t="n">
        <x:f>IF(V61="Active Zero Sales",U61,0)</x:f>
        <x:v>0</x:v>
      </x:c>
      <x:c r="X61" t="str">
        <x:f>IF(E61&lt;25,"Low &lt; 25",IF(E61&lt;100,"Medium 25-99",IF(E61&lt;300,"High 100-299","Premium 300+")))</x:f>
        <x:v>Medium 25-99</x:v>
      </x:c>
      <x:c r="Y61" t="n">
        <x:f>IF(C61="Active",1,0)</x:f>
        <x:v>1</x:v>
      </x:c>
    </x:row>
    <x:row r="62">
      <x:c r="A62" t="str">
        <x:v>SKU00061</x:v>
      </x:c>
      <x:c r="B62" t="str">
        <x:v>Sample Product 00061</x:v>
      </x:c>
      <x:c r="C62" t="str">
        <x:v>Blocked</x:v>
      </x:c>
      <x:c r="D62" t="str">
        <x:v>2026-05</x:v>
      </x:c>
      <x:c r="E62" s="12" t="n">
        <x:v>11.71</x:v>
      </x:c>
      <x:c r="F62" s="10" t="n">
        <x:v>0.255</x:v>
      </x:c>
      <x:c r="G62" t="str">
        <x:v>General Merchandise</x:v>
      </x:c>
      <x:c r="H62" t="str">
        <x:v>Baby Essentials</x:v>
      </x:c>
      <x:c r="I62" t="str">
        <x:v>MFG013</x:v>
      </x:c>
      <x:c r="J62" t="str">
        <x:v>Manufacturer 013</x:v>
      </x:c>
      <x:c r="K62" t="str">
        <x:v>SUP011</x:v>
      </x:c>
      <x:c r="L62" t="str">
        <x:v>Supplier 011</x:v>
      </x:c>
      <x:c r="M62" t="str">
        <x:v>REG-853364</x:v>
      </x:c>
      <x:c r="N62" t="str">
        <x:v>Generic Ingredient 152</x:v>
      </x:c>
      <x:c r="O62" t="str">
        <x:v>General Sale</x:v>
      </x:c>
      <x:c r="P62" t="n">
        <x:v>11</x:v>
      </x:c>
      <x:c r="Q62" t="n">
        <x:v>0</x:v>
      </x:c>
      <x:c r="R62" t="n">
        <x:v>0</x:v>
      </x:c>
      <x:c r="S62" s="12" t="n">
        <x:f>E62*Q62</x:f>
        <x:v>0</x:v>
      </x:c>
      <x:c r="T62" s="12" t="n">
        <x:f>ROUND(S62*F62+0.000000001,2)</x:f>
        <x:v>0</x:v>
      </x:c>
      <x:c r="U62" s="12" t="n">
        <x:f>E62*R62</x:f>
        <x:v>0</x:v>
      </x:c>
      <x:c r="V62" t="str">
        <x:f>IF(AND(C62="Active",Q62=0),"Active Zero Sales","Not Zero Sales")</x:f>
        <x:v>Not Zero Sales</x:v>
      </x:c>
      <x:c r="W62" s="12" t="n">
        <x:f>IF(V62="Active Zero Sales",U62,0)</x:f>
        <x:v>0</x:v>
      </x:c>
      <x:c r="X62" t="str">
        <x:f>IF(E62&lt;25,"Low &lt; 25",IF(E62&lt;100,"Medium 25-99",IF(E62&lt;300,"High 100-299","Premium 300+")))</x:f>
        <x:v>Low &lt; 25</x:v>
      </x:c>
      <x:c r="Y62" t="n">
        <x:f>IF(C62="Active",1,0)</x:f>
        <x:v>0</x:v>
      </x:c>
    </x:row>
    <x:row r="63">
      <x:c r="A63" t="str">
        <x:v>SKU00062</x:v>
      </x:c>
      <x:c r="B63" t="str">
        <x:v>Sample Product 00062</x:v>
      </x:c>
      <x:c r="C63" t="str">
        <x:v>Active</x:v>
      </x:c>
      <x:c r="D63" t="str">
        <x:v>2026-06</x:v>
      </x:c>
      <x:c r="E63" s="12" t="n">
        <x:v>17.79</x:v>
      </x:c>
      <x:c r="F63" s="10" t="n">
        <x:v>0.385</x:v>
      </x:c>
      <x:c r="G63" t="str">
        <x:v>Personal Care</x:v>
      </x:c>
      <x:c r="H63" t="str">
        <x:v>Oral Care</x:v>
      </x:c>
      <x:c r="I63" t="str">
        <x:v>MFG019</x:v>
      </x:c>
      <x:c r="J63" t="str">
        <x:v>Manufacturer 019</x:v>
      </x:c>
      <x:c r="K63" t="str">
        <x:v>SUP004</x:v>
      </x:c>
      <x:c r="L63" t="str">
        <x:v>Supplier 004</x:v>
      </x:c>
      <x:c r="M63" t="str">
        <x:v>REG-300029</x:v>
      </x:c>
      <x:c r="N63" t="str">
        <x:v>Generic Ingredient 030</x:v>
      </x:c>
      <x:c r="O63" t="str">
        <x:v>General Sale</x:v>
      </x:c>
      <x:c r="P63" t="n">
        <x:v>75</x:v>
      </x:c>
      <x:c r="Q63" t="n">
        <x:v>28</x:v>
      </x:c>
      <x:c r="R63" t="n">
        <x:v>17</x:v>
      </x:c>
      <x:c r="S63" s="12" t="n">
        <x:f>E63*Q63</x:f>
        <x:v>498.12</x:v>
      </x:c>
      <x:c r="T63" s="12" t="n">
        <x:f>ROUND(S63*F63+0.000000001,2)</x:f>
        <x:v>191.78</x:v>
      </x:c>
      <x:c r="U63" s="12" t="n">
        <x:f>E63*R63</x:f>
        <x:v>302.43</x:v>
      </x:c>
      <x:c r="V63" t="str">
        <x:f>IF(AND(C63="Active",Q63=0),"Active Zero Sales","Not Zero Sales")</x:f>
        <x:v>Not Zero Sales</x:v>
      </x:c>
      <x:c r="W63" s="12" t="n">
        <x:f>IF(V63="Active Zero Sales",U63,0)</x:f>
        <x:v>0</x:v>
      </x:c>
      <x:c r="X63" t="str">
        <x:f>IF(E63&lt;25,"Low &lt; 25",IF(E63&lt;100,"Medium 25-99",IF(E63&lt;300,"High 100-299","Premium 300+")))</x:f>
        <x:v>Low &lt; 25</x:v>
      </x:c>
      <x:c r="Y63" t="n">
        <x:f>IF(C63="Active",1,0)</x:f>
        <x:v>1</x:v>
      </x:c>
    </x:row>
    <x:row r="64">
      <x:c r="A64" t="str">
        <x:v>SKU00063</x:v>
      </x:c>
      <x:c r="B64" t="str">
        <x:v>Sample Product 00063</x:v>
      </x:c>
      <x:c r="C64" t="str">
        <x:v>Active</x:v>
      </x:c>
      <x:c r="D64" t="str">
        <x:v>2026-04</x:v>
      </x:c>
      <x:c r="E64" s="12" t="n">
        <x:v>89.96</x:v>
      </x:c>
      <x:c r="F64" s="10" t="n">
        <x:v>0.263</x:v>
      </x:c>
      <x:c r="G64" t="str">
        <x:v>OTC &amp; Wellness</x:v>
      </x:c>
      <x:c r="H64" t="str">
        <x:v>Digestive Care</x:v>
      </x:c>
      <x:c r="I64" t="str">
        <x:v>MFG015</x:v>
      </x:c>
      <x:c r="J64" t="str">
        <x:v>Manufacturer 015</x:v>
      </x:c>
      <x:c r="K64" t="str">
        <x:v>SUP012</x:v>
      </x:c>
      <x:c r="L64" t="str">
        <x:v>Supplier 012</x:v>
      </x:c>
      <x:c r="M64" t="str">
        <x:v>REG-502237</x:v>
      </x:c>
      <x:c r="N64" t="str">
        <x:v>Generic Ingredient 025</x:v>
      </x:c>
      <x:c r="O64" t="str">
        <x:v>General Sale</x:v>
      </x:c>
      <x:c r="P64" t="n">
        <x:v>44</x:v>
      </x:c>
      <x:c r="Q64" t="n">
        <x:v>11</x:v>
      </x:c>
      <x:c r="R64" t="n">
        <x:v>0</x:v>
      </x:c>
      <x:c r="S64" s="12" t="n">
        <x:f>E64*Q64</x:f>
        <x:v>989.56</x:v>
      </x:c>
      <x:c r="T64" s="12" t="n">
        <x:f>ROUND(S64*F64+0.000000001,2)</x:f>
        <x:v>260.25</x:v>
      </x:c>
      <x:c r="U64" s="12" t="n">
        <x:f>E64*R64</x:f>
        <x:v>0</x:v>
      </x:c>
      <x:c r="V64" t="str">
        <x:f>IF(AND(C64="Active",Q64=0),"Active Zero Sales","Not Zero Sales")</x:f>
        <x:v>Not Zero Sales</x:v>
      </x:c>
      <x:c r="W64" s="12" t="n">
        <x:f>IF(V64="Active Zero Sales",U64,0)</x:f>
        <x:v>0</x:v>
      </x:c>
      <x:c r="X64" t="str">
        <x:f>IF(E64&lt;25,"Low &lt; 25",IF(E64&lt;100,"Medium 25-99",IF(E64&lt;300,"High 100-299","Premium 300+")))</x:f>
        <x:v>Medium 25-99</x:v>
      </x:c>
      <x:c r="Y64" t="n">
        <x:f>IF(C64="Active",1,0)</x:f>
        <x:v>1</x:v>
      </x:c>
    </x:row>
    <x:row r="65">
      <x:c r="A65" t="str">
        <x:v>SKU00064</x:v>
      </x:c>
      <x:c r="B65" t="str">
        <x:v>Sample Product 00064</x:v>
      </x:c>
      <x:c r="C65" t="str">
        <x:v>Active</x:v>
      </x:c>
      <x:c r="D65" t="str">
        <x:v>2026-01</x:v>
      </x:c>
      <x:c r="E65" s="12" t="n">
        <x:v>41.99</x:v>
      </x:c>
      <x:c r="F65" s="10" t="n">
        <x:v>0.311</x:v>
      </x:c>
      <x:c r="G65" t="str">
        <x:v>Nutrition</x:v>
      </x:c>
      <x:c r="H65" t="str">
        <x:v>Hydration</x:v>
      </x:c>
      <x:c r="I65" t="str">
        <x:v>MFG006</x:v>
      </x:c>
      <x:c r="J65" t="str">
        <x:v>Manufacturer 006</x:v>
      </x:c>
      <x:c r="K65" t="str">
        <x:v>SUP008</x:v>
      </x:c>
      <x:c r="L65" t="str">
        <x:v>Supplier 008</x:v>
      </x:c>
      <x:c r="M65" t="str">
        <x:v>REG-720418</x:v>
      </x:c>
      <x:c r="N65" t="str">
        <x:v>Generic Ingredient 063</x:v>
      </x:c>
      <x:c r="O65" t="str">
        <x:v>General Sale</x:v>
      </x:c>
      <x:c r="P65" t="n">
        <x:v>83</x:v>
      </x:c>
      <x:c r="Q65" t="n">
        <x:v>40</x:v>
      </x:c>
      <x:c r="R65" t="n">
        <x:v>23</x:v>
      </x:c>
      <x:c r="S65" s="12" t="n">
        <x:f>E65*Q65</x:f>
        <x:v>1679.6000000000001</x:v>
      </x:c>
      <x:c r="T65" s="12" t="n">
        <x:f>ROUND(S65*F65+0.000000001,2)</x:f>
        <x:v>522.36</x:v>
      </x:c>
      <x:c r="U65" s="12" t="n">
        <x:f>E65*R65</x:f>
        <x:v>965.7700000000001</x:v>
      </x:c>
      <x:c r="V65" t="str">
        <x:f>IF(AND(C65="Active",Q65=0),"Active Zero Sales","Not Zero Sales")</x:f>
        <x:v>Not Zero Sales</x:v>
      </x:c>
      <x:c r="W65" s="12" t="n">
        <x:f>IF(V65="Active Zero Sales",U65,0)</x:f>
        <x:v>0</x:v>
      </x:c>
      <x:c r="X65" t="str">
        <x:f>IF(E65&lt;25,"Low &lt; 25",IF(E65&lt;100,"Medium 25-99",IF(E65&lt;300,"High 100-299","Premium 300+")))</x:f>
        <x:v>Medium 25-99</x:v>
      </x:c>
      <x:c r="Y65" t="n">
        <x:f>IF(C65="Active",1,0)</x:f>
        <x:v>1</x:v>
      </x:c>
    </x:row>
    <x:row r="66">
      <x:c r="A66" t="str">
        <x:v>SKU00065</x:v>
      </x:c>
      <x:c r="B66" t="str">
        <x:v>Sample Product 00065</x:v>
      </x:c>
      <x:c r="C66" t="str">
        <x:v>Active</x:v>
      </x:c>
      <x:c r="D66" t="str">
        <x:v>2026-01</x:v>
      </x:c>
      <x:c r="E66" s="12" t="n">
        <x:v>15</x:v>
      </x:c>
      <x:c r="F66" s="10" t="n">
        <x:v>0.293</x:v>
      </x:c>
      <x:c r="G66" t="str">
        <x:v>General Merchandise</x:v>
      </x:c>
      <x:c r="H66" t="str">
        <x:v>Accessories</x:v>
      </x:c>
      <x:c r="I66" t="str">
        <x:v>MFG006</x:v>
      </x:c>
      <x:c r="J66" t="str">
        <x:v>Manufacturer 006</x:v>
      </x:c>
      <x:c r="K66" t="str">
        <x:v>SUP019</x:v>
      </x:c>
      <x:c r="L66" t="str">
        <x:v>Supplier 019</x:v>
      </x:c>
      <x:c r="M66" t="str">
        <x:v>REG-983832</x:v>
      </x:c>
      <x:c r="N66" t="str">
        <x:v>Generic Ingredient 047</x:v>
      </x:c>
      <x:c r="O66" t="str">
        <x:v>Pharmacy Only</x:v>
      </x:c>
      <x:c r="P66" t="n">
        <x:v>84</x:v>
      </x:c>
      <x:c r="Q66" t="n">
        <x:v>35</x:v>
      </x:c>
      <x:c r="R66" t="n">
        <x:v>0</x:v>
      </x:c>
      <x:c r="S66" s="12" t="n">
        <x:f>E66*Q66</x:f>
        <x:v>525</x:v>
      </x:c>
      <x:c r="T66" s="12" t="n">
        <x:f>ROUND(S66*F66+0.000000001,2)</x:f>
        <x:v>153.83</x:v>
      </x:c>
      <x:c r="U66" s="12" t="n">
        <x:f>E66*R66</x:f>
        <x:v>0</x:v>
      </x:c>
      <x:c r="V66" t="str">
        <x:f>IF(AND(C66="Active",Q66=0),"Active Zero Sales","Not Zero Sales")</x:f>
        <x:v>Not Zero Sales</x:v>
      </x:c>
      <x:c r="W66" s="12" t="n">
        <x:f>IF(V66="Active Zero Sales",U66,0)</x:f>
        <x:v>0</x:v>
      </x:c>
      <x:c r="X66" t="str">
        <x:f>IF(E66&lt;25,"Low &lt; 25",IF(E66&lt;100,"Medium 25-99",IF(E66&lt;300,"High 100-299","Premium 300+")))</x:f>
        <x:v>Low &lt; 25</x:v>
      </x:c>
      <x:c r="Y66" t="n">
        <x:f>IF(C66="Active",1,0)</x:f>
        <x:v>1</x:v>
      </x:c>
    </x:row>
    <x:row r="67">
      <x:c r="A67" t="str">
        <x:v>SKU00066</x:v>
      </x:c>
      <x:c r="B67" t="str">
        <x:v>Sample Product 00066</x:v>
      </x:c>
      <x:c r="C67" t="str">
        <x:v>Active</x:v>
      </x:c>
      <x:c r="D67" t="str">
        <x:v>2026-03</x:v>
      </x:c>
      <x:c r="E67" s="12" t="n">
        <x:v>111.25</x:v>
      </x:c>
      <x:c r="F67" s="10" t="n">
        <x:v>0.383</x:v>
      </x:c>
      <x:c r="G67" t="str">
        <x:v>General Merchandise</x:v>
      </x:c>
      <x:c r="H67" t="str">
        <x:v>Travel Health</x:v>
      </x:c>
      <x:c r="I67" t="str">
        <x:v>MFG009</x:v>
      </x:c>
      <x:c r="J67" t="str">
        <x:v>Manufacturer 009</x:v>
      </x:c>
      <x:c r="K67" t="str">
        <x:v>SUP019</x:v>
      </x:c>
      <x:c r="L67" t="str">
        <x:v>Supplier 019</x:v>
      </x:c>
      <x:c r="M67" t="str">
        <x:v>REG-861785</x:v>
      </x:c>
      <x:c r="N67" t="str">
        <x:v>Generic Ingredient 051</x:v>
      </x:c>
      <x:c r="O67" t="str">
        <x:v>General Sale</x:v>
      </x:c>
      <x:c r="P67" t="n">
        <x:v>23</x:v>
      </x:c>
      <x:c r="Q67" t="n">
        <x:v>17</x:v>
      </x:c>
      <x:c r="R67" t="n">
        <x:v>3</x:v>
      </x:c>
      <x:c r="S67" s="12" t="n">
        <x:f>E67*Q67</x:f>
        <x:v>1891.25</x:v>
      </x:c>
      <x:c r="T67" s="12" t="n">
        <x:f>ROUND(S67*F67+0.000000001,2)</x:f>
        <x:v>724.35</x:v>
      </x:c>
      <x:c r="U67" s="12" t="n">
        <x:f>E67*R67</x:f>
        <x:v>333.75</x:v>
      </x:c>
      <x:c r="V67" t="str">
        <x:f>IF(AND(C67="Active",Q67=0),"Active Zero Sales","Not Zero Sales")</x:f>
        <x:v>Not Zero Sales</x:v>
      </x:c>
      <x:c r="W67" s="12" t="n">
        <x:f>IF(V67="Active Zero Sales",U67,0)</x:f>
        <x:v>0</x:v>
      </x:c>
      <x:c r="X67" t="str">
        <x:f>IF(E67&lt;25,"Low &lt; 25",IF(E67&lt;100,"Medium 25-99",IF(E67&lt;300,"High 100-299","Premium 300+")))</x:f>
        <x:v>High 100-299</x:v>
      </x:c>
      <x:c r="Y67" t="n">
        <x:f>IF(C67="Active",1,0)</x:f>
        <x:v>1</x:v>
      </x:c>
    </x:row>
    <x:row r="68">
      <x:c r="A68" t="str">
        <x:v>SKU00067</x:v>
      </x:c>
      <x:c r="B68" t="str">
        <x:v>Sample Product 00067</x:v>
      </x:c>
      <x:c r="C68" t="str">
        <x:v>Active</x:v>
      </x:c>
      <x:c r="D68" t="str">
        <x:v>2026-06</x:v>
      </x:c>
      <x:c r="E68" s="12" t="n">
        <x:v>76.63</x:v>
      </x:c>
      <x:c r="F68" s="10" t="n">
        <x:v>0.295</x:v>
      </x:c>
      <x:c r="G68" t="str">
        <x:v>OTC &amp; Wellness</x:v>
      </x:c>
      <x:c r="H68" t="str">
        <x:v>Pain Relief</x:v>
      </x:c>
      <x:c r="I68" t="str">
        <x:v>MFG018</x:v>
      </x:c>
      <x:c r="J68" t="str">
        <x:v>Manufacturer 018</x:v>
      </x:c>
      <x:c r="K68" t="str">
        <x:v>SUP002</x:v>
      </x:c>
      <x:c r="L68" t="str">
        <x:v>Supplier 002</x:v>
      </x:c>
      <x:c r="M68" t="str">
        <x:v>REG-534525</x:v>
      </x:c>
      <x:c r="N68" t="str">
        <x:v>Generic Ingredient 001</x:v>
      </x:c>
      <x:c r="O68" t="str">
        <x:v>General Sale</x:v>
      </x:c>
      <x:c r="P68" t="n">
        <x:v>54</x:v>
      </x:c>
      <x:c r="Q68" t="n">
        <x:v>16</x:v>
      </x:c>
      <x:c r="R68" t="n">
        <x:v>0</x:v>
      </x:c>
      <x:c r="S68" s="12" t="n">
        <x:f>E68*Q68</x:f>
        <x:v>1226.08</x:v>
      </x:c>
      <x:c r="T68" s="12" t="n">
        <x:f>ROUND(S68*F68+0.000000001,2)</x:f>
        <x:v>361.69</x:v>
      </x:c>
      <x:c r="U68" s="12" t="n">
        <x:f>E68*R68</x:f>
        <x:v>0</x:v>
      </x:c>
      <x:c r="V68" t="str">
        <x:f>IF(AND(C68="Active",Q68=0),"Active Zero Sales","Not Zero Sales")</x:f>
        <x:v>Not Zero Sales</x:v>
      </x:c>
      <x:c r="W68" s="12" t="n">
        <x:f>IF(V68="Active Zero Sales",U68,0)</x:f>
        <x:v>0</x:v>
      </x:c>
      <x:c r="X68" t="str">
        <x:f>IF(E68&lt;25,"Low &lt; 25",IF(E68&lt;100,"Medium 25-99",IF(E68&lt;300,"High 100-299","Premium 300+")))</x:f>
        <x:v>Medium 25-99</x:v>
      </x:c>
      <x:c r="Y68" t="n">
        <x:f>IF(C68="Active",1,0)</x:f>
        <x:v>1</x:v>
      </x:c>
    </x:row>
    <x:row r="69">
      <x:c r="A69" t="str">
        <x:v>SKU00068</x:v>
      </x:c>
      <x:c r="B69" t="str">
        <x:v>Sample Product 00068</x:v>
      </x:c>
      <x:c r="C69" t="str">
        <x:v>Active</x:v>
      </x:c>
      <x:c r="D69" t="str">
        <x:v>2026-03</x:v>
      </x:c>
      <x:c r="E69" s="12" t="n">
        <x:v>185.31</x:v>
      </x:c>
      <x:c r="F69" s="10" t="n">
        <x:v>0.248</x:v>
      </x:c>
      <x:c r="G69" t="str">
        <x:v>OTC &amp; Wellness</x:v>
      </x:c>
      <x:c r="H69" t="str">
        <x:v>Digestive Care</x:v>
      </x:c>
      <x:c r="I69" t="str">
        <x:v>MFG014</x:v>
      </x:c>
      <x:c r="J69" t="str">
        <x:v>Manufacturer 014</x:v>
      </x:c>
      <x:c r="K69" t="str">
        <x:v>SUP006</x:v>
      </x:c>
      <x:c r="L69" t="str">
        <x:v>Supplier 006</x:v>
      </x:c>
      <x:c r="M69" t="str">
        <x:v>REG-452661</x:v>
      </x:c>
      <x:c r="N69" t="str">
        <x:v>Generic Ingredient 024</x:v>
      </x:c>
      <x:c r="O69" t="str">
        <x:v>General Sale</x:v>
      </x:c>
      <x:c r="P69" t="n">
        <x:v>93</x:v>
      </x:c>
      <x:c r="Q69" t="n">
        <x:v>51</x:v>
      </x:c>
      <x:c r="R69" t="n">
        <x:v>18</x:v>
      </x:c>
      <x:c r="S69" s="12" t="n">
        <x:f>E69*Q69</x:f>
        <x:v>9450.81</x:v>
      </x:c>
      <x:c r="T69" s="12" t="n">
        <x:f>ROUND(S69*F69+0.000000001,2)</x:f>
        <x:v>2343.8</x:v>
      </x:c>
      <x:c r="U69" s="12" t="n">
        <x:f>E69*R69</x:f>
        <x:v>3335.58</x:v>
      </x:c>
      <x:c r="V69" t="str">
        <x:f>IF(AND(C69="Active",Q69=0),"Active Zero Sales","Not Zero Sales")</x:f>
        <x:v>Not Zero Sales</x:v>
      </x:c>
      <x:c r="W69" s="12" t="n">
        <x:f>IF(V69="Active Zero Sales",U69,0)</x:f>
        <x:v>0</x:v>
      </x:c>
      <x:c r="X69" t="str">
        <x:f>IF(E69&lt;25,"Low &lt; 25",IF(E69&lt;100,"Medium 25-99",IF(E69&lt;300,"High 100-299","Premium 300+")))</x:f>
        <x:v>High 100-299</x:v>
      </x:c>
      <x:c r="Y69" t="n">
        <x:f>IF(C69="Active",1,0)</x:f>
        <x:v>1</x:v>
      </x:c>
    </x:row>
    <x:row r="70">
      <x:c r="A70" t="str">
        <x:v>SKU00069</x:v>
      </x:c>
      <x:c r="B70" t="str">
        <x:v>Sample Product 00069</x:v>
      </x:c>
      <x:c r="C70" t="str">
        <x:v>Active</x:v>
      </x:c>
      <x:c r="D70" t="str">
        <x:v>2026-05</x:v>
      </x:c>
      <x:c r="E70" s="12" t="n">
        <x:v>32.64</x:v>
      </x:c>
      <x:c r="F70" s="10" t="n">
        <x:v>0.299</x:v>
      </x:c>
      <x:c r="G70" t="str">
        <x:v>General Merchandise</x:v>
      </x:c>
      <x:c r="H70" t="str">
        <x:v>Baby Essentials</x:v>
      </x:c>
      <x:c r="I70" t="str">
        <x:v>MFG009</x:v>
      </x:c>
      <x:c r="J70" t="str">
        <x:v>Manufacturer 009</x:v>
      </x:c>
      <x:c r="K70" t="str">
        <x:v>SUP013</x:v>
      </x:c>
      <x:c r="L70" t="str">
        <x:v>Supplier 013</x:v>
      </x:c>
      <x:c r="M70" t="str">
        <x:v>REG-246889</x:v>
      </x:c>
      <x:c r="N70" t="str">
        <x:v>Generic Ingredient 054</x:v>
      </x:c>
      <x:c r="O70" t="str">
        <x:v>General Sale</x:v>
      </x:c>
      <x:c r="P70" t="n">
        <x:v>57</x:v>
      </x:c>
      <x:c r="Q70" t="n">
        <x:v>15</x:v>
      </x:c>
      <x:c r="R70" t="n">
        <x:v>12</x:v>
      </x:c>
      <x:c r="S70" s="12" t="n">
        <x:f>E70*Q70</x:f>
        <x:v>489.6</x:v>
      </x:c>
      <x:c r="T70" s="12" t="n">
        <x:f>ROUND(S70*F70+0.000000001,2)</x:f>
        <x:v>146.39</x:v>
      </x:c>
      <x:c r="U70" s="12" t="n">
        <x:f>E70*R70</x:f>
        <x:v>391.68</x:v>
      </x:c>
      <x:c r="V70" t="str">
        <x:f>IF(AND(C70="Active",Q70=0),"Active Zero Sales","Not Zero Sales")</x:f>
        <x:v>Not Zero Sales</x:v>
      </x:c>
      <x:c r="W70" s="12" t="n">
        <x:f>IF(V70="Active Zero Sales",U70,0)</x:f>
        <x:v>0</x:v>
      </x:c>
      <x:c r="X70" t="str">
        <x:f>IF(E70&lt;25,"Low &lt; 25",IF(E70&lt;100,"Medium 25-99",IF(E70&lt;300,"High 100-299","Premium 300+")))</x:f>
        <x:v>Medium 25-99</x:v>
      </x:c>
      <x:c r="Y70" t="n">
        <x:f>IF(C70="Active",1,0)</x:f>
        <x:v>1</x:v>
      </x:c>
    </x:row>
    <x:row r="71">
      <x:c r="A71" t="str">
        <x:v>SKU00070</x:v>
      </x:c>
      <x:c r="B71" t="str">
        <x:v>Sample Product 00070</x:v>
      </x:c>
      <x:c r="C71" t="str">
        <x:v>Active</x:v>
      </x:c>
      <x:c r="D71" t="str">
        <x:v>2026-05</x:v>
      </x:c>
      <x:c r="E71" s="12" t="n">
        <x:v>89.79</x:v>
      </x:c>
      <x:c r="F71" s="10" t="n">
        <x:v>0.302</x:v>
      </x:c>
      <x:c r="G71" t="str">
        <x:v>Medical Devices</x:v>
      </x:c>
      <x:c r="H71" t="str">
        <x:v>Mobility Aids</x:v>
      </x:c>
      <x:c r="I71" t="str">
        <x:v>MFG011</x:v>
      </x:c>
      <x:c r="J71" t="str">
        <x:v>Manufacturer 011</x:v>
      </x:c>
      <x:c r="K71" t="str">
        <x:v>SUP011</x:v>
      </x:c>
      <x:c r="L71" t="str">
        <x:v>Supplier 011</x:v>
      </x:c>
      <x:c r="M71" t="str">
        <x:v>REG-414765</x:v>
      </x:c>
      <x:c r="N71" t="str">
        <x:v>Generic Ingredient 071</x:v>
      </x:c>
      <x:c r="O71" t="str">
        <x:v>General Sale</x:v>
      </x:c>
      <x:c r="P71" t="n">
        <x:v>178</x:v>
      </x:c>
      <x:c r="Q71" t="n">
        <x:v>118</x:v>
      </x:c>
      <x:c r="R71" t="n">
        <x:v>42</x:v>
      </x:c>
      <x:c r="S71" s="12" t="n">
        <x:f>E71*Q71</x:f>
        <x:v>10595.220000000001</x:v>
      </x:c>
      <x:c r="T71" s="12" t="n">
        <x:f>ROUND(S71*F71+0.000000001,2)</x:f>
        <x:v>3199.76</x:v>
      </x:c>
      <x:c r="U71" s="12" t="n">
        <x:f>E71*R71</x:f>
        <x:v>3771.1800000000003</x:v>
      </x:c>
      <x:c r="V71" t="str">
        <x:f>IF(AND(C71="Active",Q71=0),"Active Zero Sales","Not Zero Sales")</x:f>
        <x:v>Not Zero Sales</x:v>
      </x:c>
      <x:c r="W71" s="12" t="n">
        <x:f>IF(V71="Active Zero Sales",U71,0)</x:f>
        <x:v>0</x:v>
      </x:c>
      <x:c r="X71" t="str">
        <x:f>IF(E71&lt;25,"Low &lt; 25",IF(E71&lt;100,"Medium 25-99",IF(E71&lt;300,"High 100-299","Premium 300+")))</x:f>
        <x:v>Medium 25-99</x:v>
      </x:c>
      <x:c r="Y71" t="n">
        <x:f>IF(C71="Active",1,0)</x:f>
        <x:v>1</x:v>
      </x:c>
    </x:row>
    <x:row r="72">
      <x:c r="A72" t="str">
        <x:v>SKU00071</x:v>
      </x:c>
      <x:c r="B72" t="str">
        <x:v>Sample Product 00071</x:v>
      </x:c>
      <x:c r="C72" t="str">
        <x:v>Active</x:v>
      </x:c>
      <x:c r="D72" t="str">
        <x:v>2026-01</x:v>
      </x:c>
      <x:c r="E72" s="12" t="n">
        <x:v>77.91</x:v>
      </x:c>
      <x:c r="F72" s="10" t="n">
        <x:v>0.362</x:v>
      </x:c>
      <x:c r="G72" t="str">
        <x:v>Personal Care</x:v>
      </x:c>
      <x:c r="H72" t="str">
        <x:v>Hair Care</x:v>
      </x:c>
      <x:c r="I72" t="str">
        <x:v>MFG007</x:v>
      </x:c>
      <x:c r="J72" t="str">
        <x:v>Manufacturer 007</x:v>
      </x:c>
      <x:c r="K72" t="str">
        <x:v>SUP010</x:v>
      </x:c>
      <x:c r="L72" t="str">
        <x:v>Supplier 010</x:v>
      </x:c>
      <x:c r="M72" t="str">
        <x:v>REG-418170</x:v>
      </x:c>
      <x:c r="N72" t="str">
        <x:v>Generic Ingredient 008</x:v>
      </x:c>
      <x:c r="O72" t="str">
        <x:v>General Sale</x:v>
      </x:c>
      <x:c r="P72" t="n">
        <x:v>61</x:v>
      </x:c>
      <x:c r="Q72" t="n">
        <x:v>11</x:v>
      </x:c>
      <x:c r="R72" t="n">
        <x:v>27</x:v>
      </x:c>
      <x:c r="S72" s="12" t="n">
        <x:f>E72*Q72</x:f>
        <x:v>857.01</x:v>
      </x:c>
      <x:c r="T72" s="12" t="n">
        <x:f>ROUND(S72*F72+0.000000001,2)</x:f>
        <x:v>310.24</x:v>
      </x:c>
      <x:c r="U72" s="12" t="n">
        <x:f>E72*R72</x:f>
        <x:v>2103.5699999999997</x:v>
      </x:c>
      <x:c r="V72" t="str">
        <x:f>IF(AND(C72="Active",Q72=0),"Active Zero Sales","Not Zero Sales")</x:f>
        <x:v>Not Zero Sales</x:v>
      </x:c>
      <x:c r="W72" s="12" t="n">
        <x:f>IF(V72="Active Zero Sales",U72,0)</x:f>
        <x:v>0</x:v>
      </x:c>
      <x:c r="X72" t="str">
        <x:f>IF(E72&lt;25,"Low &lt; 25",IF(E72&lt;100,"Medium 25-99",IF(E72&lt;300,"High 100-299","Premium 300+")))</x:f>
        <x:v>Medium 25-99</x:v>
      </x:c>
      <x:c r="Y72" t="n">
        <x:f>IF(C72="Active",1,0)</x:f>
        <x:v>1</x:v>
      </x:c>
    </x:row>
    <x:row r="73">
      <x:c r="A73" t="str">
        <x:v>SKU00072</x:v>
      </x:c>
      <x:c r="B73" t="str">
        <x:v>Sample Product 00072</x:v>
      </x:c>
      <x:c r="C73" t="str">
        <x:v>Active</x:v>
      </x:c>
      <x:c r="D73" t="str">
        <x:v>2026-05</x:v>
      </x:c>
      <x:c r="E73" s="12" t="n">
        <x:v>52.31</x:v>
      </x:c>
      <x:c r="F73" s="10" t="n">
        <x:v>0.484</x:v>
      </x:c>
      <x:c r="G73" t="str">
        <x:v>Nutrition</x:v>
      </x:c>
      <x:c r="H73" t="str">
        <x:v>Sports Nutrition</x:v>
      </x:c>
      <x:c r="I73" t="str">
        <x:v>MFG003</x:v>
      </x:c>
      <x:c r="J73" t="str">
        <x:v>Manufacturer 003</x:v>
      </x:c>
      <x:c r="K73" t="str">
        <x:v>SUP027</x:v>
      </x:c>
      <x:c r="L73" t="str">
        <x:v>Supplier 027</x:v>
      </x:c>
      <x:c r="M73" t="str">
        <x:v>REG-685177</x:v>
      </x:c>
      <x:c r="N73" t="str">
        <x:v>Generic Ingredient 164</x:v>
      </x:c>
      <x:c r="O73" t="str">
        <x:v>General Sale</x:v>
      </x:c>
      <x:c r="P73" t="n">
        <x:v>65</x:v>
      </x:c>
      <x:c r="Q73" t="n">
        <x:v>31</x:v>
      </x:c>
      <x:c r="R73" t="n">
        <x:v>8</x:v>
      </x:c>
      <x:c r="S73" s="12" t="n">
        <x:f>E73*Q73</x:f>
        <x:v>1621.6100000000001</x:v>
      </x:c>
      <x:c r="T73" s="12" t="n">
        <x:f>ROUND(S73*F73+0.000000001,2)</x:f>
        <x:v>784.86</x:v>
      </x:c>
      <x:c r="U73" s="12" t="n">
        <x:f>E73*R73</x:f>
        <x:v>418.48</x:v>
      </x:c>
      <x:c r="V73" t="str">
        <x:f>IF(AND(C73="Active",Q73=0),"Active Zero Sales","Not Zero Sales")</x:f>
        <x:v>Not Zero Sales</x:v>
      </x:c>
      <x:c r="W73" s="12" t="n">
        <x:f>IF(V73="Active Zero Sales",U73,0)</x:f>
        <x:v>0</x:v>
      </x:c>
      <x:c r="X73" t="str">
        <x:f>IF(E73&lt;25,"Low &lt; 25",IF(E73&lt;100,"Medium 25-99",IF(E73&lt;300,"High 100-299","Premium 300+")))</x:f>
        <x:v>Medium 25-99</x:v>
      </x:c>
      <x:c r="Y73" t="n">
        <x:f>IF(C73="Active",1,0)</x:f>
        <x:v>1</x:v>
      </x:c>
    </x:row>
    <x:row r="74">
      <x:c r="A74" t="str">
        <x:v>SKU00073</x:v>
      </x:c>
      <x:c r="B74" t="str">
        <x:v>Sample Product 00073</x:v>
      </x:c>
      <x:c r="C74" t="str">
        <x:v>Active</x:v>
      </x:c>
      <x:c r="D74" t="str">
        <x:v>2026-06</x:v>
      </x:c>
      <x:c r="E74" s="12" t="n">
        <x:v>9.63</x:v>
      </x:c>
      <x:c r="F74" s="10" t="n">
        <x:v>0.473</x:v>
      </x:c>
      <x:c r="G74" t="str">
        <x:v>Personal Care</x:v>
      </x:c>
      <x:c r="H74" t="str">
        <x:v>Hair Care</x:v>
      </x:c>
      <x:c r="I74" t="str">
        <x:v>MFG017</x:v>
      </x:c>
      <x:c r="J74" t="str">
        <x:v>Manufacturer 017</x:v>
      </x:c>
      <x:c r="K74" t="str">
        <x:v>SUP021</x:v>
      </x:c>
      <x:c r="L74" t="str">
        <x:v>Supplier 021</x:v>
      </x:c>
      <x:c r="M74" t="str">
        <x:v>REG-167839</x:v>
      </x:c>
      <x:c r="N74" t="str">
        <x:v>Generic Ingredient 090</x:v>
      </x:c>
      <x:c r="O74" t="str">
        <x:v>Pharmacy Only</x:v>
      </x:c>
      <x:c r="P74" t="n">
        <x:v>82</x:v>
      </x:c>
      <x:c r="Q74" t="n">
        <x:v>19</x:v>
      </x:c>
      <x:c r="R74" t="n">
        <x:v>14</x:v>
      </x:c>
      <x:c r="S74" s="12" t="n">
        <x:f>E74*Q74</x:f>
        <x:v>182.97000000000003</x:v>
      </x:c>
      <x:c r="T74" s="12" t="n">
        <x:f>ROUND(S74*F74+0.000000001,2)</x:f>
        <x:v>86.54</x:v>
      </x:c>
      <x:c r="U74" s="12" t="n">
        <x:f>E74*R74</x:f>
        <x:v>134.82000000000002</x:v>
      </x:c>
      <x:c r="V74" t="str">
        <x:f>IF(AND(C74="Active",Q74=0),"Active Zero Sales","Not Zero Sales")</x:f>
        <x:v>Not Zero Sales</x:v>
      </x:c>
      <x:c r="W74" s="12" t="n">
        <x:f>IF(V74="Active Zero Sales",U74,0)</x:f>
        <x:v>0</x:v>
      </x:c>
      <x:c r="X74" t="str">
        <x:f>IF(E74&lt;25,"Low &lt; 25",IF(E74&lt;100,"Medium 25-99",IF(E74&lt;300,"High 100-299","Premium 300+")))</x:f>
        <x:v>Low &lt; 25</x:v>
      </x:c>
      <x:c r="Y74" t="n">
        <x:f>IF(C74="Active",1,0)</x:f>
        <x:v>1</x:v>
      </x:c>
    </x:row>
    <x:row r="75">
      <x:c r="A75" t="str">
        <x:v>SKU00074</x:v>
      </x:c>
      <x:c r="B75" t="str">
        <x:v>Sample Product 00074</x:v>
      </x:c>
      <x:c r="C75" t="str">
        <x:v>Active</x:v>
      </x:c>
      <x:c r="D75" t="str">
        <x:v>2026-02</x:v>
      </x:c>
      <x:c r="E75" s="12" t="n">
        <x:v>295.2</x:v>
      </x:c>
      <x:c r="F75" s="10" t="n">
        <x:v>0.357</x:v>
      </x:c>
      <x:c r="G75" t="str">
        <x:v>Medical Devices</x:v>
      </x:c>
      <x:c r="H75" t="str">
        <x:v>Monitoring Supplies</x:v>
      </x:c>
      <x:c r="I75" t="str">
        <x:v>MFG012</x:v>
      </x:c>
      <x:c r="J75" t="str">
        <x:v>Manufacturer 012</x:v>
      </x:c>
      <x:c r="K75" t="str">
        <x:v>SUP002</x:v>
      </x:c>
      <x:c r="L75" t="str">
        <x:v>Supplier 002</x:v>
      </x:c>
      <x:c r="M75" t="str">
        <x:v>REG-624770</x:v>
      </x:c>
      <x:c r="N75" t="str">
        <x:v>Generic Ingredient 021</x:v>
      </x:c>
      <x:c r="O75" t="str">
        <x:v>Pharmacy Only</x:v>
      </x:c>
      <x:c r="P75" t="n">
        <x:v>29</x:v>
      </x:c>
      <x:c r="Q75" t="n">
        <x:v>17</x:v>
      </x:c>
      <x:c r="R75" t="n">
        <x:v>4</x:v>
      </x:c>
      <x:c r="S75" s="12" t="n">
        <x:f>E75*Q75</x:f>
        <x:v>5018.4</x:v>
      </x:c>
      <x:c r="T75" s="12" t="n">
        <x:f>ROUND(S75*F75+0.000000001,2)</x:f>
        <x:v>1791.57</x:v>
      </x:c>
      <x:c r="U75" s="12" t="n">
        <x:f>E75*R75</x:f>
        <x:v>1180.8</x:v>
      </x:c>
      <x:c r="V75" t="str">
        <x:f>IF(AND(C75="Active",Q75=0),"Active Zero Sales","Not Zero Sales")</x:f>
        <x:v>Not Zero Sales</x:v>
      </x:c>
      <x:c r="W75" s="12" t="n">
        <x:f>IF(V75="Active Zero Sales",U75,0)</x:f>
        <x:v>0</x:v>
      </x:c>
      <x:c r="X75" t="str">
        <x:f>IF(E75&lt;25,"Low &lt; 25",IF(E75&lt;100,"Medium 25-99",IF(E75&lt;300,"High 100-299","Premium 300+")))</x:f>
        <x:v>High 100-299</x:v>
      </x:c>
      <x:c r="Y75" t="n">
        <x:f>IF(C75="Active",1,0)</x:f>
        <x:v>1</x:v>
      </x:c>
    </x:row>
    <x:row r="76">
      <x:c r="A76" t="str">
        <x:v>SKU00075</x:v>
      </x:c>
      <x:c r="B76" t="str">
        <x:v>Sample Product 00075</x:v>
      </x:c>
      <x:c r="C76" t="str">
        <x:v>Blocked</x:v>
      </x:c>
      <x:c r="D76" t="str">
        <x:v>2026-03</x:v>
      </x:c>
      <x:c r="E76" s="12" t="n">
        <x:v>4.29</x:v>
      </x:c>
      <x:c r="F76" s="10" t="n">
        <x:v>0.341</x:v>
      </x:c>
      <x:c r="G76" t="str">
        <x:v>Nutrition</x:v>
      </x:c>
      <x:c r="H76" t="str">
        <x:v>Hydration</x:v>
      </x:c>
      <x:c r="I76" t="str">
        <x:v>MFG018</x:v>
      </x:c>
      <x:c r="J76" t="str">
        <x:v>Manufacturer 018</x:v>
      </x:c>
      <x:c r="K76" t="str">
        <x:v>SUP025</x:v>
      </x:c>
      <x:c r="L76" t="str">
        <x:v>Supplier 025</x:v>
      </x:c>
      <x:c r="M76" t="str">
        <x:v>REG-990217</x:v>
      </x:c>
      <x:c r="N76" t="str">
        <x:v>Generic Ingredient 164</x:v>
      </x:c>
      <x:c r="O76" t="str">
        <x:v>General Sale</x:v>
      </x:c>
      <x:c r="P76" t="n">
        <x:v>4</x:v>
      </x:c>
      <x:c r="Q76" t="n">
        <x:v>0</x:v>
      </x:c>
      <x:c r="R76" t="n">
        <x:v>0</x:v>
      </x:c>
      <x:c r="S76" s="12" t="n">
        <x:f>E76*Q76</x:f>
        <x:v>0</x:v>
      </x:c>
      <x:c r="T76" s="12" t="n">
        <x:f>ROUND(S76*F76+0.000000001,2)</x:f>
        <x:v>0</x:v>
      </x:c>
      <x:c r="U76" s="12" t="n">
        <x:f>E76*R76</x:f>
        <x:v>0</x:v>
      </x:c>
      <x:c r="V76" t="str">
        <x:f>IF(AND(C76="Active",Q76=0),"Active Zero Sales","Not Zero Sales")</x:f>
        <x:v>Not Zero Sales</x:v>
      </x:c>
      <x:c r="W76" s="12" t="n">
        <x:f>IF(V76="Active Zero Sales",U76,0)</x:f>
        <x:v>0</x:v>
      </x:c>
      <x:c r="X76" t="str">
        <x:f>IF(E76&lt;25,"Low &lt; 25",IF(E76&lt;100,"Medium 25-99",IF(E76&lt;300,"High 100-299","Premium 300+")))</x:f>
        <x:v>Low &lt; 25</x:v>
      </x:c>
      <x:c r="Y76" t="n">
        <x:f>IF(C76="Active",1,0)</x:f>
        <x:v>0</x:v>
      </x:c>
    </x:row>
    <x:row r="77">
      <x:c r="A77" t="str">
        <x:v>SKU00076</x:v>
      </x:c>
      <x:c r="B77" t="str">
        <x:v>Sample Product 00076</x:v>
      </x:c>
      <x:c r="C77" t="str">
        <x:v>Active</x:v>
      </x:c>
      <x:c r="D77" t="str">
        <x:v>2026-03</x:v>
      </x:c>
      <x:c r="E77" s="12" t="n">
        <x:v>127.22</x:v>
      </x:c>
      <x:c r="F77" s="10" t="n">
        <x:v>0.29</x:v>
      </x:c>
      <x:c r="G77" t="str">
        <x:v>Nutrition</x:v>
      </x:c>
      <x:c r="H77" t="str">
        <x:v>Healthy Snacks</x:v>
      </x:c>
      <x:c r="I77" t="str">
        <x:v>MFG013</x:v>
      </x:c>
      <x:c r="J77" t="str">
        <x:v>Manufacturer 013</x:v>
      </x:c>
      <x:c r="K77" t="str">
        <x:v>SUP007</x:v>
      </x:c>
      <x:c r="L77" t="str">
        <x:v>Supplier 007</x:v>
      </x:c>
      <x:c r="M77" t="str">
        <x:v>REG-765961</x:v>
      </x:c>
      <x:c r="N77" t="str">
        <x:v>Generic Ingredient 126</x:v>
      </x:c>
      <x:c r="O77" t="str">
        <x:v>General Sale</x:v>
      </x:c>
      <x:c r="P77" t="n">
        <x:v>28</x:v>
      </x:c>
      <x:c r="Q77" t="n">
        <x:v>14</x:v>
      </x:c>
      <x:c r="R77" t="n">
        <x:v>0</x:v>
      </x:c>
      <x:c r="S77" s="12" t="n">
        <x:f>E77*Q77</x:f>
        <x:v>1781.08</x:v>
      </x:c>
      <x:c r="T77" s="12" t="n">
        <x:f>ROUND(S77*F77+0.000000001,2)</x:f>
        <x:v>516.51</x:v>
      </x:c>
      <x:c r="U77" s="12" t="n">
        <x:f>E77*R77</x:f>
        <x:v>0</x:v>
      </x:c>
      <x:c r="V77" t="str">
        <x:f>IF(AND(C77="Active",Q77=0),"Active Zero Sales","Not Zero Sales")</x:f>
        <x:v>Not Zero Sales</x:v>
      </x:c>
      <x:c r="W77" s="12" t="n">
        <x:f>IF(V77="Active Zero Sales",U77,0)</x:f>
        <x:v>0</x:v>
      </x:c>
      <x:c r="X77" t="str">
        <x:f>IF(E77&lt;25,"Low &lt; 25",IF(E77&lt;100,"Medium 25-99",IF(E77&lt;300,"High 100-299","Premium 300+")))</x:f>
        <x:v>High 100-299</x:v>
      </x:c>
      <x:c r="Y77" t="n">
        <x:f>IF(C77="Active",1,0)</x:f>
        <x:v>1</x:v>
      </x:c>
    </x:row>
    <x:row r="78">
      <x:c r="A78" t="str">
        <x:v>SKU00077</x:v>
      </x:c>
      <x:c r="B78" t="str">
        <x:v>Sample Product 00077</x:v>
      </x:c>
      <x:c r="C78" t="str">
        <x:v>Active</x:v>
      </x:c>
      <x:c r="D78" t="str">
        <x:v>2026-01</x:v>
      </x:c>
      <x:c r="E78" s="12" t="n">
        <x:v>60.48</x:v>
      </x:c>
      <x:c r="F78" s="10" t="n">
        <x:v>0.43</x:v>
      </x:c>
      <x:c r="G78" t="str">
        <x:v>Personal Care</x:v>
      </x:c>
      <x:c r="H78" t="str">
        <x:v>Oral Care</x:v>
      </x:c>
      <x:c r="I78" t="str">
        <x:v>MFG003</x:v>
      </x:c>
      <x:c r="J78" t="str">
        <x:v>Manufacturer 003</x:v>
      </x:c>
      <x:c r="K78" t="str">
        <x:v>SUP012</x:v>
      </x:c>
      <x:c r="L78" t="str">
        <x:v>Supplier 012</x:v>
      </x:c>
      <x:c r="M78" t="str">
        <x:v>REG-433926</x:v>
      </x:c>
      <x:c r="N78" t="str">
        <x:v>Generic Ingredient 037</x:v>
      </x:c>
      <x:c r="O78" t="str">
        <x:v>General Sale</x:v>
      </x:c>
      <x:c r="P78" t="n">
        <x:v>65</x:v>
      </x:c>
      <x:c r="Q78" t="n">
        <x:v>37</x:v>
      </x:c>
      <x:c r="R78" t="n">
        <x:v>0</x:v>
      </x:c>
      <x:c r="S78" s="12" t="n">
        <x:f>E78*Q78</x:f>
        <x:v>2237.7599999999998</x:v>
      </x:c>
      <x:c r="T78" s="12" t="n">
        <x:f>ROUND(S78*F78+0.000000001,2)</x:f>
        <x:v>962.24</x:v>
      </x:c>
      <x:c r="U78" s="12" t="n">
        <x:f>E78*R78</x:f>
        <x:v>0</x:v>
      </x:c>
      <x:c r="V78" t="str">
        <x:f>IF(AND(C78="Active",Q78=0),"Active Zero Sales","Not Zero Sales")</x:f>
        <x:v>Not Zero Sales</x:v>
      </x:c>
      <x:c r="W78" s="12" t="n">
        <x:f>IF(V78="Active Zero Sales",U78,0)</x:f>
        <x:v>0</x:v>
      </x:c>
      <x:c r="X78" t="str">
        <x:f>IF(E78&lt;25,"Low &lt; 25",IF(E78&lt;100,"Medium 25-99",IF(E78&lt;300,"High 100-299","Premium 300+")))</x:f>
        <x:v>Medium 25-99</x:v>
      </x:c>
      <x:c r="Y78" t="n">
        <x:f>IF(C78="Active",1,0)</x:f>
        <x:v>1</x:v>
      </x:c>
    </x:row>
    <x:row r="79">
      <x:c r="A79" t="str">
        <x:v>SKU00078</x:v>
      </x:c>
      <x:c r="B79" t="str">
        <x:v>Sample Product 00078</x:v>
      </x:c>
      <x:c r="C79" t="str">
        <x:v>Blocked</x:v>
      </x:c>
      <x:c r="D79" t="str">
        <x:v>2026-04</x:v>
      </x:c>
      <x:c r="E79" s="12" t="n">
        <x:v>10.68</x:v>
      </x:c>
      <x:c r="F79" s="10" t="n">
        <x:v>0.414</x:v>
      </x:c>
      <x:c r="G79" t="str">
        <x:v>Personal Care</x:v>
      </x:c>
      <x:c r="H79" t="str">
        <x:v>Hair Care</x:v>
      </x:c>
      <x:c r="I79" t="str">
        <x:v>MFG004</x:v>
      </x:c>
      <x:c r="J79" t="str">
        <x:v>Manufacturer 004</x:v>
      </x:c>
      <x:c r="K79" t="str">
        <x:v>SUP017</x:v>
      </x:c>
      <x:c r="L79" t="str">
        <x:v>Supplier 017</x:v>
      </x:c>
      <x:c r="M79" t="str">
        <x:v>REG-195967</x:v>
      </x:c>
      <x:c r="N79" t="str">
        <x:v>Generic Ingredient 033</x:v>
      </x:c>
      <x:c r="O79" t="str">
        <x:v>Pharmacy Only</x:v>
      </x:c>
      <x:c r="P79" t="n">
        <x:v>41</x:v>
      </x:c>
      <x:c r="Q79" t="n">
        <x:v>0</x:v>
      </x:c>
      <x:c r="R79" t="n">
        <x:v>0</x:v>
      </x:c>
      <x:c r="S79" s="12" t="n">
        <x:f>E79*Q79</x:f>
        <x:v>0</x:v>
      </x:c>
      <x:c r="T79" s="12" t="n">
        <x:f>ROUND(S79*F79+0.000000001,2)</x:f>
        <x:v>0</x:v>
      </x:c>
      <x:c r="U79" s="12" t="n">
        <x:f>E79*R79</x:f>
        <x:v>0</x:v>
      </x:c>
      <x:c r="V79" t="str">
        <x:f>IF(AND(C79="Active",Q79=0),"Active Zero Sales","Not Zero Sales")</x:f>
        <x:v>Not Zero Sales</x:v>
      </x:c>
      <x:c r="W79" s="12" t="n">
        <x:f>IF(V79="Active Zero Sales",U79,0)</x:f>
        <x:v>0</x:v>
      </x:c>
      <x:c r="X79" t="str">
        <x:f>IF(E79&lt;25,"Low &lt; 25",IF(E79&lt;100,"Medium 25-99",IF(E79&lt;300,"High 100-299","Premium 300+")))</x:f>
        <x:v>Low &lt; 25</x:v>
      </x:c>
      <x:c r="Y79" t="n">
        <x:f>IF(C79="Active",1,0)</x:f>
        <x:v>0</x:v>
      </x:c>
    </x:row>
    <x:row r="80">
      <x:c r="A80" t="str">
        <x:v>SKU00079</x:v>
      </x:c>
      <x:c r="B80" t="str">
        <x:v>Sample Product 00079</x:v>
      </x:c>
      <x:c r="C80" t="str">
        <x:v>Blocked</x:v>
      </x:c>
      <x:c r="D80" t="str">
        <x:v>2026-01</x:v>
      </x:c>
      <x:c r="E80" s="12" t="n">
        <x:v>70.07</x:v>
      </x:c>
      <x:c r="F80" s="10" t="n">
        <x:v>0.265</x:v>
      </x:c>
      <x:c r="G80" t="str">
        <x:v>Nutrition</x:v>
      </x:c>
      <x:c r="H80" t="str">
        <x:v>Hydration</x:v>
      </x:c>
      <x:c r="I80" t="str">
        <x:v>MFG017</x:v>
      </x:c>
      <x:c r="J80" t="str">
        <x:v>Manufacturer 017</x:v>
      </x:c>
      <x:c r="K80" t="str">
        <x:v>SUP008</x:v>
      </x:c>
      <x:c r="L80" t="str">
        <x:v>Supplier 008</x:v>
      </x:c>
      <x:c r="M80" t="str">
        <x:v>REG-985779</x:v>
      </x:c>
      <x:c r="N80" t="str">
        <x:v>Generic Ingredient 159</x:v>
      </x:c>
      <x:c r="O80" t="str">
        <x:v>General Sale</x:v>
      </x:c>
      <x:c r="P80" t="n">
        <x:v>16</x:v>
      </x:c>
      <x:c r="Q80" t="n">
        <x:v>0</x:v>
      </x:c>
      <x:c r="R80" t="n">
        <x:v>3</x:v>
      </x:c>
      <x:c r="S80" s="12" t="n">
        <x:f>E80*Q80</x:f>
        <x:v>0</x:v>
      </x:c>
      <x:c r="T80" s="12" t="n">
        <x:f>ROUND(S80*F80+0.000000001,2)</x:f>
        <x:v>0</x:v>
      </x:c>
      <x:c r="U80" s="12" t="n">
        <x:f>E80*R80</x:f>
        <x:v>210.20999999999998</x:v>
      </x:c>
      <x:c r="V80" t="str">
        <x:f>IF(AND(C80="Active",Q80=0),"Active Zero Sales","Not Zero Sales")</x:f>
        <x:v>Not Zero Sales</x:v>
      </x:c>
      <x:c r="W80" s="12" t="n">
        <x:f>IF(V80="Active Zero Sales",U80,0)</x:f>
        <x:v>0</x:v>
      </x:c>
      <x:c r="X80" t="str">
        <x:f>IF(E80&lt;25,"Low &lt; 25",IF(E80&lt;100,"Medium 25-99",IF(E80&lt;300,"High 100-299","Premium 300+")))</x:f>
        <x:v>Medium 25-99</x:v>
      </x:c>
      <x:c r="Y80" t="n">
        <x:f>IF(C80="Active",1,0)</x:f>
        <x:v>0</x:v>
      </x:c>
    </x:row>
    <x:row r="81">
      <x:c r="A81" t="str">
        <x:v>SKU00080</x:v>
      </x:c>
      <x:c r="B81" t="str">
        <x:v>Sample Product 00080</x:v>
      </x:c>
      <x:c r="C81" t="str">
        <x:v>Active</x:v>
      </x:c>
      <x:c r="D81" t="str">
        <x:v>2026-01</x:v>
      </x:c>
      <x:c r="E81" s="12" t="n">
        <x:v>22.07</x:v>
      </x:c>
      <x:c r="F81" s="10" t="n">
        <x:v>0.481</x:v>
      </x:c>
      <x:c r="G81" t="str">
        <x:v>General Merchandise</x:v>
      </x:c>
      <x:c r="H81" t="str">
        <x:v>Accessories</x:v>
      </x:c>
      <x:c r="I81" t="str">
        <x:v>MFG006</x:v>
      </x:c>
      <x:c r="J81" t="str">
        <x:v>Manufacturer 006</x:v>
      </x:c>
      <x:c r="K81" t="str">
        <x:v>SUP013</x:v>
      </x:c>
      <x:c r="L81" t="str">
        <x:v>Supplier 013</x:v>
      </x:c>
      <x:c r="M81" t="str">
        <x:v>REG-327151</x:v>
      </x:c>
      <x:c r="N81" t="str">
        <x:v>Generic Ingredient 058</x:v>
      </x:c>
      <x:c r="O81" t="str">
        <x:v>General Sale</x:v>
      </x:c>
      <x:c r="P81" t="n">
        <x:v>54</x:v>
      </x:c>
      <x:c r="Q81" t="n">
        <x:v>0</x:v>
      </x:c>
      <x:c r="R81" t="n">
        <x:v>61</x:v>
      </x:c>
      <x:c r="S81" s="12" t="n">
        <x:f>E81*Q81</x:f>
        <x:v>0</x:v>
      </x:c>
      <x:c r="T81" s="12" t="n">
        <x:f>ROUND(S81*F81+0.000000001,2)</x:f>
        <x:v>0</x:v>
      </x:c>
      <x:c r="U81" s="12" t="n">
        <x:f>E81*R81</x:f>
        <x:v>1346.27</x:v>
      </x:c>
      <x:c r="V81" t="str">
        <x:f>IF(AND(C81="Active",Q81=0),"Active Zero Sales","Not Zero Sales")</x:f>
        <x:v>Active Zero Sales</x:v>
      </x:c>
      <x:c r="W81" s="12" t="n">
        <x:f>IF(V81="Active Zero Sales",U81,0)</x:f>
        <x:v>1346.27</x:v>
      </x:c>
      <x:c r="X81" t="str">
        <x:f>IF(E81&lt;25,"Low &lt; 25",IF(E81&lt;100,"Medium 25-99",IF(E81&lt;300,"High 100-299","Premium 300+")))</x:f>
        <x:v>Low &lt; 25</x:v>
      </x:c>
      <x:c r="Y81" t="n">
        <x:f>IF(C81="Active",1,0)</x:f>
        <x:v>1</x:v>
      </x:c>
    </x:row>
    <x:row r="82">
      <x:c r="A82" t="str">
        <x:v>SKU00081</x:v>
      </x:c>
      <x:c r="B82" t="str">
        <x:v>Sample Product 00081</x:v>
      </x:c>
      <x:c r="C82" t="str">
        <x:v>Active</x:v>
      </x:c>
      <x:c r="D82" t="str">
        <x:v>2026-01</x:v>
      </x:c>
      <x:c r="E82" s="12" t="n">
        <x:v>44.88</x:v>
      </x:c>
      <x:c r="F82" s="10" t="n">
        <x:v>0.386</x:v>
      </x:c>
      <x:c r="G82" t="str">
        <x:v>Nutrition</x:v>
      </x:c>
      <x:c r="H82" t="str">
        <x:v>Adult Nutrition</x:v>
      </x:c>
      <x:c r="I82" t="str">
        <x:v>MFG001</x:v>
      </x:c>
      <x:c r="J82" t="str">
        <x:v>Manufacturer 001</x:v>
      </x:c>
      <x:c r="K82" t="str">
        <x:v>SUP021</x:v>
      </x:c>
      <x:c r="L82" t="str">
        <x:v>Supplier 021</x:v>
      </x:c>
      <x:c r="M82" t="str">
        <x:v>REG-852761</x:v>
      </x:c>
      <x:c r="N82" t="str">
        <x:v>Generic Ingredient 020</x:v>
      </x:c>
      <x:c r="O82" t="str">
        <x:v>General Sale</x:v>
      </x:c>
      <x:c r="P82" t="n">
        <x:v>158</x:v>
      </x:c>
      <x:c r="Q82" t="n">
        <x:v>110</x:v>
      </x:c>
      <x:c r="R82" t="n">
        <x:v>47</x:v>
      </x:c>
      <x:c r="S82" s="12" t="n">
        <x:f>E82*Q82</x:f>
        <x:v>4936.8</x:v>
      </x:c>
      <x:c r="T82" s="12" t="n">
        <x:f>ROUND(S82*F82+0.000000001,2)</x:f>
        <x:v>1905.6</x:v>
      </x:c>
      <x:c r="U82" s="12" t="n">
        <x:f>E82*R82</x:f>
        <x:v>2109.36</x:v>
      </x:c>
      <x:c r="V82" t="str">
        <x:f>IF(AND(C82="Active",Q82=0),"Active Zero Sales","Not Zero Sales")</x:f>
        <x:v>Not Zero Sales</x:v>
      </x:c>
      <x:c r="W82" s="12" t="n">
        <x:f>IF(V82="Active Zero Sales",U82,0)</x:f>
        <x:v>0</x:v>
      </x:c>
      <x:c r="X82" t="str">
        <x:f>IF(E82&lt;25,"Low &lt; 25",IF(E82&lt;100,"Medium 25-99",IF(E82&lt;300,"High 100-299","Premium 300+")))</x:f>
        <x:v>Medium 25-99</x:v>
      </x:c>
      <x:c r="Y82" t="n">
        <x:f>IF(C82="Active",1,0)</x:f>
        <x:v>1</x:v>
      </x:c>
    </x:row>
    <x:row r="83">
      <x:c r="A83" t="str">
        <x:v>SKU00082</x:v>
      </x:c>
      <x:c r="B83" t="str">
        <x:v>Sample Product 00082</x:v>
      </x:c>
      <x:c r="C83" t="str">
        <x:v>Active</x:v>
      </x:c>
      <x:c r="D83" t="str">
        <x:v>2026-04</x:v>
      </x:c>
      <x:c r="E83" s="12" t="n">
        <x:v>16.02</x:v>
      </x:c>
      <x:c r="F83" s="10" t="n">
        <x:v>0.403</x:v>
      </x:c>
      <x:c r="G83" t="str">
        <x:v>Medical Devices</x:v>
      </x:c>
      <x:c r="H83" t="str">
        <x:v>Home Diagnostics</x:v>
      </x:c>
      <x:c r="I83" t="str">
        <x:v>MFG003</x:v>
      </x:c>
      <x:c r="J83" t="str">
        <x:v>Manufacturer 003</x:v>
      </x:c>
      <x:c r="K83" t="str">
        <x:v>SUP003</x:v>
      </x:c>
      <x:c r="L83" t="str">
        <x:v>Supplier 003</x:v>
      </x:c>
      <x:c r="M83" t="str">
        <x:v>REG-846906</x:v>
      </x:c>
      <x:c r="N83" t="str">
        <x:v>Generic Ingredient 130</x:v>
      </x:c>
      <x:c r="O83" t="str">
        <x:v>Pharmacy Only</x:v>
      </x:c>
      <x:c r="P83" t="n">
        <x:v>108</x:v>
      </x:c>
      <x:c r="Q83" t="n">
        <x:v>49</x:v>
      </x:c>
      <x:c r="R83" t="n">
        <x:v>19</x:v>
      </x:c>
      <x:c r="S83" s="12" t="n">
        <x:f>E83*Q83</x:f>
        <x:v>784.98</x:v>
      </x:c>
      <x:c r="T83" s="12" t="n">
        <x:f>ROUND(S83*F83+0.000000001,2)</x:f>
        <x:v>316.35</x:v>
      </x:c>
      <x:c r="U83" s="12" t="n">
        <x:f>E83*R83</x:f>
        <x:v>304.38</x:v>
      </x:c>
      <x:c r="V83" t="str">
        <x:f>IF(AND(C83="Active",Q83=0),"Active Zero Sales","Not Zero Sales")</x:f>
        <x:v>Not Zero Sales</x:v>
      </x:c>
      <x:c r="W83" s="12" t="n">
        <x:f>IF(V83="Active Zero Sales",U83,0)</x:f>
        <x:v>0</x:v>
      </x:c>
      <x:c r="X83" t="str">
        <x:f>IF(E83&lt;25,"Low &lt; 25",IF(E83&lt;100,"Medium 25-99",IF(E83&lt;300,"High 100-299","Premium 300+")))</x:f>
        <x:v>Low &lt; 25</x:v>
      </x:c>
      <x:c r="Y83" t="n">
        <x:f>IF(C83="Active",1,0)</x:f>
        <x:v>1</x:v>
      </x:c>
    </x:row>
    <x:row r="84">
      <x:c r="A84" t="str">
        <x:v>SKU00083</x:v>
      </x:c>
      <x:c r="B84" t="str">
        <x:v>Sample Product 00083</x:v>
      </x:c>
      <x:c r="C84" t="str">
        <x:v>Active</x:v>
      </x:c>
      <x:c r="D84" t="str">
        <x:v>2026-01</x:v>
      </x:c>
      <x:c r="E84" s="12" t="n">
        <x:v>38.72</x:v>
      </x:c>
      <x:c r="F84" s="10" t="n">
        <x:v>0.348</x:v>
      </x:c>
      <x:c r="G84" t="str">
        <x:v>Medical Devices</x:v>
      </x:c>
      <x:c r="H84" t="str">
        <x:v>First Aid</x:v>
      </x:c>
      <x:c r="I84" t="str">
        <x:v>MFG013</x:v>
      </x:c>
      <x:c r="J84" t="str">
        <x:v>Manufacturer 013</x:v>
      </x:c>
      <x:c r="K84" t="str">
        <x:v>SUP023</x:v>
      </x:c>
      <x:c r="L84" t="str">
        <x:v>Supplier 023</x:v>
      </x:c>
      <x:c r="M84" t="str">
        <x:v>REG-283991</x:v>
      </x:c>
      <x:c r="N84" t="str">
        <x:v>Generic Ingredient 051</x:v>
      </x:c>
      <x:c r="O84" t="str">
        <x:v>General Sale</x:v>
      </x:c>
      <x:c r="P84" t="n">
        <x:v>69</x:v>
      </x:c>
      <x:c r="Q84" t="n">
        <x:v>20</x:v>
      </x:c>
      <x:c r="R84" t="n">
        <x:v>15</x:v>
      </x:c>
      <x:c r="S84" s="12" t="n">
        <x:f>E84*Q84</x:f>
        <x:v>774.4</x:v>
      </x:c>
      <x:c r="T84" s="12" t="n">
        <x:f>ROUND(S84*F84+0.000000001,2)</x:f>
        <x:v>269.49</x:v>
      </x:c>
      <x:c r="U84" s="12" t="n">
        <x:f>E84*R84</x:f>
        <x:v>580.8</x:v>
      </x:c>
      <x:c r="V84" t="str">
        <x:f>IF(AND(C84="Active",Q84=0),"Active Zero Sales","Not Zero Sales")</x:f>
        <x:v>Not Zero Sales</x:v>
      </x:c>
      <x:c r="W84" s="12" t="n">
        <x:f>IF(V84="Active Zero Sales",U84,0)</x:f>
        <x:v>0</x:v>
      </x:c>
      <x:c r="X84" t="str">
        <x:f>IF(E84&lt;25,"Low &lt; 25",IF(E84&lt;100,"Medium 25-99",IF(E84&lt;300,"High 100-299","Premium 300+")))</x:f>
        <x:v>Medium 25-99</x:v>
      </x:c>
      <x:c r="Y84" t="n">
        <x:f>IF(C84="Active",1,0)</x:f>
        <x:v>1</x:v>
      </x:c>
    </x:row>
    <x:row r="85">
      <x:c r="A85" t="str">
        <x:v>SKU00084</x:v>
      </x:c>
      <x:c r="B85" t="str">
        <x:v>Sample Product 00084</x:v>
      </x:c>
      <x:c r="C85" t="str">
        <x:v>Active</x:v>
      </x:c>
      <x:c r="D85" t="str">
        <x:v>2026-01</x:v>
      </x:c>
      <x:c r="E85" s="12" t="n">
        <x:v>62.11</x:v>
      </x:c>
      <x:c r="F85" s="10" t="n">
        <x:v>0.366</x:v>
      </x:c>
      <x:c r="G85" t="str">
        <x:v>Personal Care</x:v>
      </x:c>
      <x:c r="H85" t="str">
        <x:v>Skin Care</x:v>
      </x:c>
      <x:c r="I85" t="str">
        <x:v>MFG006</x:v>
      </x:c>
      <x:c r="J85" t="str">
        <x:v>Manufacturer 006</x:v>
      </x:c>
      <x:c r="K85" t="str">
        <x:v>SUP005</x:v>
      </x:c>
      <x:c r="L85" t="str">
        <x:v>Supplier 005</x:v>
      </x:c>
      <x:c r="M85" t="str">
        <x:v>REG-264915</x:v>
      </x:c>
      <x:c r="N85" t="str">
        <x:v>Generic Ingredient 011</x:v>
      </x:c>
      <x:c r="O85" t="str">
        <x:v>General Sale</x:v>
      </x:c>
      <x:c r="P85" t="n">
        <x:v>64</x:v>
      </x:c>
      <x:c r="Q85" t="n">
        <x:v>50</x:v>
      </x:c>
      <x:c r="R85" t="n">
        <x:v>12</x:v>
      </x:c>
      <x:c r="S85" s="12" t="n">
        <x:f>E85*Q85</x:f>
        <x:v>3105.5</x:v>
      </x:c>
      <x:c r="T85" s="12" t="n">
        <x:f>ROUND(S85*F85+0.000000001,2)</x:f>
        <x:v>1136.61</x:v>
      </x:c>
      <x:c r="U85" s="12" t="n">
        <x:f>E85*R85</x:f>
        <x:v>745.3199999999999</x:v>
      </x:c>
      <x:c r="V85" t="str">
        <x:f>IF(AND(C85="Active",Q85=0),"Active Zero Sales","Not Zero Sales")</x:f>
        <x:v>Not Zero Sales</x:v>
      </x:c>
      <x:c r="W85" s="12" t="n">
        <x:f>IF(V85="Active Zero Sales",U85,0)</x:f>
        <x:v>0</x:v>
      </x:c>
      <x:c r="X85" t="str">
        <x:f>IF(E85&lt;25,"Low &lt; 25",IF(E85&lt;100,"Medium 25-99",IF(E85&lt;300,"High 100-299","Premium 300+")))</x:f>
        <x:v>Medium 25-99</x:v>
      </x:c>
      <x:c r="Y85" t="n">
        <x:f>IF(C85="Active",1,0)</x:f>
        <x:v>1</x:v>
      </x:c>
    </x:row>
    <x:row r="86">
      <x:c r="A86" t="str">
        <x:v>SKU00085</x:v>
      </x:c>
      <x:c r="B86" t="str">
        <x:v>Sample Product 00085</x:v>
      </x:c>
      <x:c r="C86" t="str">
        <x:v>Blocked</x:v>
      </x:c>
      <x:c r="D86" t="str">
        <x:v>2026-06</x:v>
      </x:c>
      <x:c r="E86" s="12" t="n">
        <x:v>15.74</x:v>
      </x:c>
      <x:c r="F86" s="10" t="n">
        <x:v>0.087</x:v>
      </x:c>
      <x:c r="G86" t="str">
        <x:v>Medical Devices</x:v>
      </x:c>
      <x:c r="H86" t="str">
        <x:v>Home Diagnostics</x:v>
      </x:c>
      <x:c r="I86" t="str">
        <x:v>MFG019</x:v>
      </x:c>
      <x:c r="J86" t="str">
        <x:v>Manufacturer 019</x:v>
      </x:c>
      <x:c r="K86" t="str">
        <x:v>SUP003</x:v>
      </x:c>
      <x:c r="L86" t="str">
        <x:v>Supplier 003</x:v>
      </x:c>
      <x:c r="M86" t="str">
        <x:v>REG-539589</x:v>
      </x:c>
      <x:c r="N86" t="str">
        <x:v>Generic Ingredient 156</x:v>
      </x:c>
      <x:c r="O86" t="str">
        <x:v>General Sale</x:v>
      </x:c>
      <x:c r="P86" t="n">
        <x:v>33</x:v>
      </x:c>
      <x:c r="Q86" t="n">
        <x:v>0</x:v>
      </x:c>
      <x:c r="R86" t="n">
        <x:v>0</x:v>
      </x:c>
      <x:c r="S86" s="12" t="n">
        <x:f>E86*Q86</x:f>
        <x:v>0</x:v>
      </x:c>
      <x:c r="T86" s="12" t="n">
        <x:f>ROUND(S86*F86+0.000000001,2)</x:f>
        <x:v>0</x:v>
      </x:c>
      <x:c r="U86" s="12" t="n">
        <x:f>E86*R86</x:f>
        <x:v>0</x:v>
      </x:c>
      <x:c r="V86" t="str">
        <x:f>IF(AND(C86="Active",Q86=0),"Active Zero Sales","Not Zero Sales")</x:f>
        <x:v>Not Zero Sales</x:v>
      </x:c>
      <x:c r="W86" s="12" t="n">
        <x:f>IF(V86="Active Zero Sales",U86,0)</x:f>
        <x:v>0</x:v>
      </x:c>
      <x:c r="X86" t="str">
        <x:f>IF(E86&lt;25,"Low &lt; 25",IF(E86&lt;100,"Medium 25-99",IF(E86&lt;300,"High 100-299","Premium 300+")))</x:f>
        <x:v>Low &lt; 25</x:v>
      </x:c>
      <x:c r="Y86" t="n">
        <x:f>IF(C86="Active",1,0)</x:f>
        <x:v>0</x:v>
      </x:c>
    </x:row>
    <x:row r="87">
      <x:c r="A87" t="str">
        <x:v>SKU00086</x:v>
      </x:c>
      <x:c r="B87" t="str">
        <x:v>Sample Product 00086</x:v>
      </x:c>
      <x:c r="C87" t="str">
        <x:v>Active</x:v>
      </x:c>
      <x:c r="D87" t="str">
        <x:v>2026-06</x:v>
      </x:c>
      <x:c r="E87" s="12" t="n">
        <x:v>24.16</x:v>
      </x:c>
      <x:c r="F87" s="10" t="n">
        <x:v>0.318</x:v>
      </x:c>
      <x:c r="G87" t="str">
        <x:v>General Merchandise</x:v>
      </x:c>
      <x:c r="H87" t="str">
        <x:v>Travel Health</x:v>
      </x:c>
      <x:c r="I87" t="str">
        <x:v>MFG020</x:v>
      </x:c>
      <x:c r="J87" t="str">
        <x:v>Manufacturer 020</x:v>
      </x:c>
      <x:c r="K87" t="str">
        <x:v>SUP019</x:v>
      </x:c>
      <x:c r="L87" t="str">
        <x:v>Supplier 019</x:v>
      </x:c>
      <x:c r="M87" t="str">
        <x:v>REG-505616</x:v>
      </x:c>
      <x:c r="N87" t="str">
        <x:v>Generic Ingredient 012</x:v>
      </x:c>
      <x:c r="O87" t="str">
        <x:v>General Sale</x:v>
      </x:c>
      <x:c r="P87" t="n">
        <x:v>49</x:v>
      </x:c>
      <x:c r="Q87" t="n">
        <x:v>16</x:v>
      </x:c>
      <x:c r="R87" t="n">
        <x:v>10</x:v>
      </x:c>
      <x:c r="S87" s="12" t="n">
        <x:f>E87*Q87</x:f>
        <x:v>386.56</x:v>
      </x:c>
      <x:c r="T87" s="12" t="n">
        <x:f>ROUND(S87*F87+0.000000001,2)</x:f>
        <x:v>122.93</x:v>
      </x:c>
      <x:c r="U87" s="12" t="n">
        <x:f>E87*R87</x:f>
        <x:v>241.6</x:v>
      </x:c>
      <x:c r="V87" t="str">
        <x:f>IF(AND(C87="Active",Q87=0),"Active Zero Sales","Not Zero Sales")</x:f>
        <x:v>Not Zero Sales</x:v>
      </x:c>
      <x:c r="W87" s="12" t="n">
        <x:f>IF(V87="Active Zero Sales",U87,0)</x:f>
        <x:v>0</x:v>
      </x:c>
      <x:c r="X87" t="str">
        <x:f>IF(E87&lt;25,"Low &lt; 25",IF(E87&lt;100,"Medium 25-99",IF(E87&lt;300,"High 100-299","Premium 300+")))</x:f>
        <x:v>Low &lt; 25</x:v>
      </x:c>
      <x:c r="Y87" t="n">
        <x:f>IF(C87="Active",1,0)</x:f>
        <x:v>1</x:v>
      </x:c>
    </x:row>
    <x:row r="88">
      <x:c r="A88" t="str">
        <x:v>SKU00087</x:v>
      </x:c>
      <x:c r="B88" t="str">
        <x:v>Sample Product 00087</x:v>
      </x:c>
      <x:c r="C88" t="str">
        <x:v>Active</x:v>
      </x:c>
      <x:c r="D88" t="str">
        <x:v>2026-05</x:v>
      </x:c>
      <x:c r="E88" s="12" t="n">
        <x:v>292.86</x:v>
      </x:c>
      <x:c r="F88" s="10" t="n">
        <x:v>0.311</x:v>
      </x:c>
      <x:c r="G88" t="str">
        <x:v>Medical Devices</x:v>
      </x:c>
      <x:c r="H88" t="str">
        <x:v>First Aid</x:v>
      </x:c>
      <x:c r="I88" t="str">
        <x:v>MFG018</x:v>
      </x:c>
      <x:c r="J88" t="str">
        <x:v>Manufacturer 018</x:v>
      </x:c>
      <x:c r="K88" t="str">
        <x:v>SUP004</x:v>
      </x:c>
      <x:c r="L88" t="str">
        <x:v>Supplier 004</x:v>
      </x:c>
      <x:c r="M88" t="str">
        <x:v>REG-657113</x:v>
      </x:c>
      <x:c r="N88" t="str">
        <x:v>Generic Ingredient 155</x:v>
      </x:c>
      <x:c r="O88" t="str">
        <x:v>General Sale</x:v>
      </x:c>
      <x:c r="P88" t="n">
        <x:v>91</x:v>
      </x:c>
      <x:c r="Q88" t="n">
        <x:v>34</x:v>
      </x:c>
      <x:c r="R88" t="n">
        <x:v>14</x:v>
      </x:c>
      <x:c r="S88" s="12" t="n">
        <x:f>E88*Q88</x:f>
        <x:v>9957.24</x:v>
      </x:c>
      <x:c r="T88" s="12" t="n">
        <x:f>ROUND(S88*F88+0.000000001,2)</x:f>
        <x:v>3096.7</x:v>
      </x:c>
      <x:c r="U88" s="12" t="n">
        <x:f>E88*R88</x:f>
        <x:v>4100.04</x:v>
      </x:c>
      <x:c r="V88" t="str">
        <x:f>IF(AND(C88="Active",Q88=0),"Active Zero Sales","Not Zero Sales")</x:f>
        <x:v>Not Zero Sales</x:v>
      </x:c>
      <x:c r="W88" s="12" t="n">
        <x:f>IF(V88="Active Zero Sales",U88,0)</x:f>
        <x:v>0</x:v>
      </x:c>
      <x:c r="X88" t="str">
        <x:f>IF(E88&lt;25,"Low &lt; 25",IF(E88&lt;100,"Medium 25-99",IF(E88&lt;300,"High 100-299","Premium 300+")))</x:f>
        <x:v>High 100-299</x:v>
      </x:c>
      <x:c r="Y88" t="n">
        <x:f>IF(C88="Active",1,0)</x:f>
        <x:v>1</x:v>
      </x:c>
    </x:row>
    <x:row r="89">
      <x:c r="A89" t="str">
        <x:v>SKU00088</x:v>
      </x:c>
      <x:c r="B89" t="str">
        <x:v>Sample Product 00088</x:v>
      </x:c>
      <x:c r="C89" t="str">
        <x:v>Active</x:v>
      </x:c>
      <x:c r="D89" t="str">
        <x:v>2026-02</x:v>
      </x:c>
      <x:c r="E89" s="12" t="n">
        <x:v>58.86</x:v>
      </x:c>
      <x:c r="F89" s="10" t="n">
        <x:v>0.404</x:v>
      </x:c>
      <x:c r="G89" t="str">
        <x:v>Personal Care</x:v>
      </x:c>
      <x:c r="H89" t="str">
        <x:v>Hygiene</x:v>
      </x:c>
      <x:c r="I89" t="str">
        <x:v>MFG001</x:v>
      </x:c>
      <x:c r="J89" t="str">
        <x:v>Manufacturer 001</x:v>
      </x:c>
      <x:c r="K89" t="str">
        <x:v>SUP029</x:v>
      </x:c>
      <x:c r="L89" t="str">
        <x:v>Supplier 029</x:v>
      </x:c>
      <x:c r="M89" t="str">
        <x:v>REG-153780</x:v>
      </x:c>
      <x:c r="N89" t="str">
        <x:v>Generic Ingredient 167</x:v>
      </x:c>
      <x:c r="O89" t="str">
        <x:v>General Sale</x:v>
      </x:c>
      <x:c r="P89" t="n">
        <x:v>91</x:v>
      </x:c>
      <x:c r="Q89" t="n">
        <x:v>61</x:v>
      </x:c>
      <x:c r="R89" t="n">
        <x:v>26</x:v>
      </x:c>
      <x:c r="S89" s="12" t="n">
        <x:f>E89*Q89</x:f>
        <x:v>3590.46</x:v>
      </x:c>
      <x:c r="T89" s="12" t="n">
        <x:f>ROUND(S89*F89+0.000000001,2)</x:f>
        <x:v>1450.55</x:v>
      </x:c>
      <x:c r="U89" s="12" t="n">
        <x:f>E89*R89</x:f>
        <x:v>1530.36</x:v>
      </x:c>
      <x:c r="V89" t="str">
        <x:f>IF(AND(C89="Active",Q89=0),"Active Zero Sales","Not Zero Sales")</x:f>
        <x:v>Not Zero Sales</x:v>
      </x:c>
      <x:c r="W89" s="12" t="n">
        <x:f>IF(V89="Active Zero Sales",U89,0)</x:f>
        <x:v>0</x:v>
      </x:c>
      <x:c r="X89" t="str">
        <x:f>IF(E89&lt;25,"Low &lt; 25",IF(E89&lt;100,"Medium 25-99",IF(E89&lt;300,"High 100-299","Premium 300+")))</x:f>
        <x:v>Medium 25-99</x:v>
      </x:c>
      <x:c r="Y89" t="n">
        <x:f>IF(C89="Active",1,0)</x:f>
        <x:v>1</x:v>
      </x:c>
    </x:row>
    <x:row r="90">
      <x:c r="A90" t="str">
        <x:v>SKU00089</x:v>
      </x:c>
      <x:c r="B90" t="str">
        <x:v>Sample Product 00089</x:v>
      </x:c>
      <x:c r="C90" t="str">
        <x:v>Blocked</x:v>
      </x:c>
      <x:c r="D90" t="str">
        <x:v>2026-06</x:v>
      </x:c>
      <x:c r="E90" s="12" t="n">
        <x:v>16.13</x:v>
      </x:c>
      <x:c r="F90" s="10" t="n">
        <x:v>0.387</x:v>
      </x:c>
      <x:c r="G90" t="str">
        <x:v>General Merchandise</x:v>
      </x:c>
      <x:c r="H90" t="str">
        <x:v>Accessories</x:v>
      </x:c>
      <x:c r="I90" t="str">
        <x:v>MFG005</x:v>
      </x:c>
      <x:c r="J90" t="str">
        <x:v>Manufacturer 005</x:v>
      </x:c>
      <x:c r="K90" t="str">
        <x:v>SUP016</x:v>
      </x:c>
      <x:c r="L90" t="str">
        <x:v>Supplier 016</x:v>
      </x:c>
      <x:c r="M90" t="str">
        <x:v>REG-739218</x:v>
      </x:c>
      <x:c r="N90" t="str">
        <x:v>Generic Ingredient 167</x:v>
      </x:c>
      <x:c r="O90" t="str">
        <x:v>Pharmacy Only</x:v>
      </x:c>
      <x:c r="P90" t="n">
        <x:v>10</x:v>
      </x:c>
      <x:c r="Q90" t="n">
        <x:v>0</x:v>
      </x:c>
      <x:c r="R90" t="n">
        <x:v>0</x:v>
      </x:c>
      <x:c r="S90" s="12" t="n">
        <x:f>E90*Q90</x:f>
        <x:v>0</x:v>
      </x:c>
      <x:c r="T90" s="12" t="n">
        <x:f>ROUND(S90*F90+0.000000001,2)</x:f>
        <x:v>0</x:v>
      </x:c>
      <x:c r="U90" s="12" t="n">
        <x:f>E90*R90</x:f>
        <x:v>0</x:v>
      </x:c>
      <x:c r="V90" t="str">
        <x:f>IF(AND(C90="Active",Q90=0),"Active Zero Sales","Not Zero Sales")</x:f>
        <x:v>Not Zero Sales</x:v>
      </x:c>
      <x:c r="W90" s="12" t="n">
        <x:f>IF(V90="Active Zero Sales",U90,0)</x:f>
        <x:v>0</x:v>
      </x:c>
      <x:c r="X90" t="str">
        <x:f>IF(E90&lt;25,"Low &lt; 25",IF(E90&lt;100,"Medium 25-99",IF(E90&lt;300,"High 100-299","Premium 300+")))</x:f>
        <x:v>Low &lt; 25</x:v>
      </x:c>
      <x:c r="Y90" t="n">
        <x:f>IF(C90="Active",1,0)</x:f>
        <x:v>0</x:v>
      </x:c>
    </x:row>
    <x:row r="91">
      <x:c r="A91" t="str">
        <x:v>SKU00090</x:v>
      </x:c>
      <x:c r="B91" t="str">
        <x:v>Sample Product 00090</x:v>
      </x:c>
      <x:c r="C91" t="str">
        <x:v>Active</x:v>
      </x:c>
      <x:c r="D91" t="str">
        <x:v>2026-06</x:v>
      </x:c>
      <x:c r="E91" s="12" t="n">
        <x:v>46.06</x:v>
      </x:c>
      <x:c r="F91" s="10" t="n">
        <x:v>0.312</x:v>
      </x:c>
      <x:c r="G91" t="str">
        <x:v>General Merchandise</x:v>
      </x:c>
      <x:c r="H91" t="str">
        <x:v>Baby Essentials</x:v>
      </x:c>
      <x:c r="I91" t="str">
        <x:v>MFG017</x:v>
      </x:c>
      <x:c r="J91" t="str">
        <x:v>Manufacturer 017</x:v>
      </x:c>
      <x:c r="K91" t="str">
        <x:v>SUP013</x:v>
      </x:c>
      <x:c r="L91" t="str">
        <x:v>Supplier 013</x:v>
      </x:c>
      <x:c r="M91" t="str">
        <x:v>REG-186386</x:v>
      </x:c>
      <x:c r="N91" t="str">
        <x:v>Generic Ingredient 065</x:v>
      </x:c>
      <x:c r="O91" t="str">
        <x:v>Pharmacy Only</x:v>
      </x:c>
      <x:c r="P91" t="n">
        <x:v>33</x:v>
      </x:c>
      <x:c r="Q91" t="n">
        <x:v>26</x:v>
      </x:c>
      <x:c r="R91" t="n">
        <x:v>0</x:v>
      </x:c>
      <x:c r="S91" s="12" t="n">
        <x:f>E91*Q91</x:f>
        <x:v>1197.56</x:v>
      </x:c>
      <x:c r="T91" s="12" t="n">
        <x:f>ROUND(S91*F91+0.000000001,2)</x:f>
        <x:v>373.64</x:v>
      </x:c>
      <x:c r="U91" s="12" t="n">
        <x:f>E91*R91</x:f>
        <x:v>0</x:v>
      </x:c>
      <x:c r="V91" t="str">
        <x:f>IF(AND(C91="Active",Q91=0),"Active Zero Sales","Not Zero Sales")</x:f>
        <x:v>Not Zero Sales</x:v>
      </x:c>
      <x:c r="W91" s="12" t="n">
        <x:f>IF(V91="Active Zero Sales",U91,0)</x:f>
        <x:v>0</x:v>
      </x:c>
      <x:c r="X91" t="str">
        <x:f>IF(E91&lt;25,"Low &lt; 25",IF(E91&lt;100,"Medium 25-99",IF(E91&lt;300,"High 100-299","Premium 300+")))</x:f>
        <x:v>Medium 25-99</x:v>
      </x:c>
      <x:c r="Y91" t="n">
        <x:f>IF(C91="Active",1,0)</x:f>
        <x:v>1</x:v>
      </x:c>
    </x:row>
    <x:row r="92">
      <x:c r="A92" t="str">
        <x:v>SKU00091</x:v>
      </x:c>
      <x:c r="B92" t="str">
        <x:v>Sample Product 00091</x:v>
      </x:c>
      <x:c r="C92" t="str">
        <x:v>Blocked</x:v>
      </x:c>
      <x:c r="D92" t="str">
        <x:v>2026-03</x:v>
      </x:c>
      <x:c r="E92" s="12" t="n">
        <x:v>74.5</x:v>
      </x:c>
      <x:c r="F92" s="10" t="n">
        <x:v>0.225</x:v>
      </x:c>
      <x:c r="G92" t="str">
        <x:v>OTC &amp; Wellness</x:v>
      </x:c>
      <x:c r="H92" t="str">
        <x:v>Cold &amp; Allergy</x:v>
      </x:c>
      <x:c r="I92" t="str">
        <x:v>MFG019</x:v>
      </x:c>
      <x:c r="J92" t="str">
        <x:v>Manufacturer 019</x:v>
      </x:c>
      <x:c r="K92" t="str">
        <x:v>SUP011</x:v>
      </x:c>
      <x:c r="L92" t="str">
        <x:v>Supplier 011</x:v>
      </x:c>
      <x:c r="M92" t="str">
        <x:v>REG-278007</x:v>
      </x:c>
      <x:c r="N92" t="str">
        <x:v>Generic Ingredient 170</x:v>
      </x:c>
      <x:c r="O92" t="str">
        <x:v>General Sale</x:v>
      </x:c>
      <x:c r="P92" t="n">
        <x:v>23</x:v>
      </x:c>
      <x:c r="Q92" t="n">
        <x:v>0</x:v>
      </x:c>
      <x:c r="R92" t="n">
        <x:v>0</x:v>
      </x:c>
      <x:c r="S92" s="12" t="n">
        <x:f>E92*Q92</x:f>
        <x:v>0</x:v>
      </x:c>
      <x:c r="T92" s="12" t="n">
        <x:f>ROUND(S92*F92+0.000000001,2)</x:f>
        <x:v>0</x:v>
      </x:c>
      <x:c r="U92" s="12" t="n">
        <x:f>E92*R92</x:f>
        <x:v>0</x:v>
      </x:c>
      <x:c r="V92" t="str">
        <x:f>IF(AND(C92="Active",Q92=0),"Active Zero Sales","Not Zero Sales")</x:f>
        <x:v>Not Zero Sales</x:v>
      </x:c>
      <x:c r="W92" s="12" t="n">
        <x:f>IF(V92="Active Zero Sales",U92,0)</x:f>
        <x:v>0</x:v>
      </x:c>
      <x:c r="X92" t="str">
        <x:f>IF(E92&lt;25,"Low &lt; 25",IF(E92&lt;100,"Medium 25-99",IF(E92&lt;300,"High 100-299","Premium 300+")))</x:f>
        <x:v>Medium 25-99</x:v>
      </x:c>
      <x:c r="Y92" t="n">
        <x:f>IF(C92="Active",1,0)</x:f>
        <x:v>0</x:v>
      </x:c>
    </x:row>
    <x:row r="93">
      <x:c r="A93" t="str">
        <x:v>SKU00092</x:v>
      </x:c>
      <x:c r="B93" t="str">
        <x:v>Sample Product 00092</x:v>
      </x:c>
      <x:c r="C93" t="str">
        <x:v>Active</x:v>
      </x:c>
      <x:c r="D93" t="str">
        <x:v>2026-02</x:v>
      </x:c>
      <x:c r="E93" s="12" t="n">
        <x:v>22.65</x:v>
      </x:c>
      <x:c r="F93" s="10" t="n">
        <x:v>0.196</x:v>
      </x:c>
      <x:c r="G93" t="str">
        <x:v>OTC &amp; Wellness</x:v>
      </x:c>
      <x:c r="H93" t="str">
        <x:v>Vitamins</x:v>
      </x:c>
      <x:c r="I93" t="str">
        <x:v>MFG007</x:v>
      </x:c>
      <x:c r="J93" t="str">
        <x:v>Manufacturer 007</x:v>
      </x:c>
      <x:c r="K93" t="str">
        <x:v>SUP009</x:v>
      </x:c>
      <x:c r="L93" t="str">
        <x:v>Supplier 009</x:v>
      </x:c>
      <x:c r="M93" t="str">
        <x:v>REG-320202</x:v>
      </x:c>
      <x:c r="N93" t="str">
        <x:v>Generic Ingredient 173</x:v>
      </x:c>
      <x:c r="O93" t="str">
        <x:v>General Sale</x:v>
      </x:c>
      <x:c r="P93" t="n">
        <x:v>122</x:v>
      </x:c>
      <x:c r="Q93" t="n">
        <x:v>67</x:v>
      </x:c>
      <x:c r="R93" t="n">
        <x:v>25</x:v>
      </x:c>
      <x:c r="S93" s="12" t="n">
        <x:f>E93*Q93</x:f>
        <x:v>1517.55</x:v>
      </x:c>
      <x:c r="T93" s="12" t="n">
        <x:f>ROUND(S93*F93+0.000000001,2)</x:f>
        <x:v>297.44</x:v>
      </x:c>
      <x:c r="U93" s="12" t="n">
        <x:f>E93*R93</x:f>
        <x:v>566.25</x:v>
      </x:c>
      <x:c r="V93" t="str">
        <x:f>IF(AND(C93="Active",Q93=0),"Active Zero Sales","Not Zero Sales")</x:f>
        <x:v>Not Zero Sales</x:v>
      </x:c>
      <x:c r="W93" s="12" t="n">
        <x:f>IF(V93="Active Zero Sales",U93,0)</x:f>
        <x:v>0</x:v>
      </x:c>
      <x:c r="X93" t="str">
        <x:f>IF(E93&lt;25,"Low &lt; 25",IF(E93&lt;100,"Medium 25-99",IF(E93&lt;300,"High 100-299","Premium 300+")))</x:f>
        <x:v>Low &lt; 25</x:v>
      </x:c>
      <x:c r="Y93" t="n">
        <x:f>IF(C93="Active",1,0)</x:f>
        <x:v>1</x:v>
      </x:c>
    </x:row>
    <x:row r="94">
      <x:c r="A94" t="str">
        <x:v>SKU00093</x:v>
      </x:c>
      <x:c r="B94" t="str">
        <x:v>Sample Product 00093</x:v>
      </x:c>
      <x:c r="C94" t="str">
        <x:v>Active</x:v>
      </x:c>
      <x:c r="D94" t="str">
        <x:v>2026-02</x:v>
      </x:c>
      <x:c r="E94" s="12" t="n">
        <x:v>9.03</x:v>
      </x:c>
      <x:c r="F94" s="10" t="n">
        <x:v>0.393</x:v>
      </x:c>
      <x:c r="G94" t="str">
        <x:v>OTC &amp; Wellness</x:v>
      </x:c>
      <x:c r="H94" t="str">
        <x:v>Digestive Care</x:v>
      </x:c>
      <x:c r="I94" t="str">
        <x:v>MFG017</x:v>
      </x:c>
      <x:c r="J94" t="str">
        <x:v>Manufacturer 017</x:v>
      </x:c>
      <x:c r="K94" t="str">
        <x:v>SUP019</x:v>
      </x:c>
      <x:c r="L94" t="str">
        <x:v>Supplier 019</x:v>
      </x:c>
      <x:c r="M94" t="str">
        <x:v>REG-302616</x:v>
      </x:c>
      <x:c r="N94" t="str">
        <x:v>Generic Ingredient 108</x:v>
      </x:c>
      <x:c r="O94" t="str">
        <x:v>General Sale</x:v>
      </x:c>
      <x:c r="P94" t="n">
        <x:v>35</x:v>
      </x:c>
      <x:c r="Q94" t="n">
        <x:v>27</x:v>
      </x:c>
      <x:c r="R94" t="n">
        <x:v>2</x:v>
      </x:c>
      <x:c r="S94" s="12" t="n">
        <x:f>E94*Q94</x:f>
        <x:v>243.80999999999997</x:v>
      </x:c>
      <x:c r="T94" s="12" t="n">
        <x:f>ROUND(S94*F94+0.000000001,2)</x:f>
        <x:v>95.82</x:v>
      </x:c>
      <x:c r="U94" s="12" t="n">
        <x:f>E94*R94</x:f>
        <x:v>18.06</x:v>
      </x:c>
      <x:c r="V94" t="str">
        <x:f>IF(AND(C94="Active",Q94=0),"Active Zero Sales","Not Zero Sales")</x:f>
        <x:v>Not Zero Sales</x:v>
      </x:c>
      <x:c r="W94" s="12" t="n">
        <x:f>IF(V94="Active Zero Sales",U94,0)</x:f>
        <x:v>0</x:v>
      </x:c>
      <x:c r="X94" t="str">
        <x:f>IF(E94&lt;25,"Low &lt; 25",IF(E94&lt;100,"Medium 25-99",IF(E94&lt;300,"High 100-299","Premium 300+")))</x:f>
        <x:v>Low &lt; 25</x:v>
      </x:c>
      <x:c r="Y94" t="n">
        <x:f>IF(C94="Active",1,0)</x:f>
        <x:v>1</x:v>
      </x:c>
    </x:row>
    <x:row r="95">
      <x:c r="A95" t="str">
        <x:v>SKU00094</x:v>
      </x:c>
      <x:c r="B95" t="str">
        <x:v>Sample Product 00094</x:v>
      </x:c>
      <x:c r="C95" t="str">
        <x:v>Active</x:v>
      </x:c>
      <x:c r="D95" t="str">
        <x:v>2026-05</x:v>
      </x:c>
      <x:c r="E95" s="12" t="n">
        <x:v>39.18</x:v>
      </x:c>
      <x:c r="F95" s="10" t="n">
        <x:v>0.274</x:v>
      </x:c>
      <x:c r="G95" t="str">
        <x:v>Medical Devices</x:v>
      </x:c>
      <x:c r="H95" t="str">
        <x:v>First Aid</x:v>
      </x:c>
      <x:c r="I95" t="str">
        <x:v>MFG008</x:v>
      </x:c>
      <x:c r="J95" t="str">
        <x:v>Manufacturer 008</x:v>
      </x:c>
      <x:c r="K95" t="str">
        <x:v>SUP012</x:v>
      </x:c>
      <x:c r="L95" t="str">
        <x:v>Supplier 012</x:v>
      </x:c>
      <x:c r="M95" t="str">
        <x:v>REG-942776</x:v>
      </x:c>
      <x:c r="N95" t="str">
        <x:v>Generic Ingredient 015</x:v>
      </x:c>
      <x:c r="O95" t="str">
        <x:v>Pharmacy Only</x:v>
      </x:c>
      <x:c r="P95" t="n">
        <x:v>75</x:v>
      </x:c>
      <x:c r="Q95" t="n">
        <x:v>23</x:v>
      </x:c>
      <x:c r="R95" t="n">
        <x:v>23</x:v>
      </x:c>
      <x:c r="S95" s="12" t="n">
        <x:f>E95*Q95</x:f>
        <x:v>901.14</x:v>
      </x:c>
      <x:c r="T95" s="12" t="n">
        <x:f>ROUND(S95*F95+0.000000001,2)</x:f>
        <x:v>246.91</x:v>
      </x:c>
      <x:c r="U95" s="12" t="n">
        <x:f>E95*R95</x:f>
        <x:v>901.14</x:v>
      </x:c>
      <x:c r="V95" t="str">
        <x:f>IF(AND(C95="Active",Q95=0),"Active Zero Sales","Not Zero Sales")</x:f>
        <x:v>Not Zero Sales</x:v>
      </x:c>
      <x:c r="W95" s="12" t="n">
        <x:f>IF(V95="Active Zero Sales",U95,0)</x:f>
        <x:v>0</x:v>
      </x:c>
      <x:c r="X95" t="str">
        <x:f>IF(E95&lt;25,"Low &lt; 25",IF(E95&lt;100,"Medium 25-99",IF(E95&lt;300,"High 100-299","Premium 300+")))</x:f>
        <x:v>Medium 25-99</x:v>
      </x:c>
      <x:c r="Y95" t="n">
        <x:f>IF(C95="Active",1,0)</x:f>
        <x:v>1</x:v>
      </x:c>
    </x:row>
    <x:row r="96">
      <x:c r="A96" t="str">
        <x:v>SKU00095</x:v>
      </x:c>
      <x:c r="B96" t="str">
        <x:v>Sample Product 00095</x:v>
      </x:c>
      <x:c r="C96" t="str">
        <x:v>Active</x:v>
      </x:c>
      <x:c r="D96" t="str">
        <x:v>2026-01</x:v>
      </x:c>
      <x:c r="E96" s="12" t="n">
        <x:v>17.47</x:v>
      </x:c>
      <x:c r="F96" s="10" t="n">
        <x:v>0.279</x:v>
      </x:c>
      <x:c r="G96" t="str">
        <x:v>General Merchandise</x:v>
      </x:c>
      <x:c r="H96" t="str">
        <x:v>Travel Health</x:v>
      </x:c>
      <x:c r="I96" t="str">
        <x:v>MFG005</x:v>
      </x:c>
      <x:c r="J96" t="str">
        <x:v>Manufacturer 005</x:v>
      </x:c>
      <x:c r="K96" t="str">
        <x:v>SUP019</x:v>
      </x:c>
      <x:c r="L96" t="str">
        <x:v>Supplier 019</x:v>
      </x:c>
      <x:c r="M96" t="str">
        <x:v>REG-290635</x:v>
      </x:c>
      <x:c r="N96" t="str">
        <x:v>Generic Ingredient 117</x:v>
      </x:c>
      <x:c r="O96" t="str">
        <x:v>General Sale</x:v>
      </x:c>
      <x:c r="P96" t="n">
        <x:v>24</x:v>
      </x:c>
      <x:c r="Q96" t="n">
        <x:v>5</x:v>
      </x:c>
      <x:c r="R96" t="n">
        <x:v>0</x:v>
      </x:c>
      <x:c r="S96" s="12" t="n">
        <x:f>E96*Q96</x:f>
        <x:v>87.35</x:v>
      </x:c>
      <x:c r="T96" s="12" t="n">
        <x:f>ROUND(S96*F96+0.000000001,2)</x:f>
        <x:v>24.37</x:v>
      </x:c>
      <x:c r="U96" s="12" t="n">
        <x:f>E96*R96</x:f>
        <x:v>0</x:v>
      </x:c>
      <x:c r="V96" t="str">
        <x:f>IF(AND(C96="Active",Q96=0),"Active Zero Sales","Not Zero Sales")</x:f>
        <x:v>Not Zero Sales</x:v>
      </x:c>
      <x:c r="W96" s="12" t="n">
        <x:f>IF(V96="Active Zero Sales",U96,0)</x:f>
        <x:v>0</x:v>
      </x:c>
      <x:c r="X96" t="str">
        <x:f>IF(E96&lt;25,"Low &lt; 25",IF(E96&lt;100,"Medium 25-99",IF(E96&lt;300,"High 100-299","Premium 300+")))</x:f>
        <x:v>Low &lt; 25</x:v>
      </x:c>
      <x:c r="Y96" t="n">
        <x:f>IF(C96="Active",1,0)</x:f>
        <x:v>1</x:v>
      </x:c>
    </x:row>
    <x:row r="97">
      <x:c r="A97" t="str">
        <x:v>SKU00096</x:v>
      </x:c>
      <x:c r="B97" t="str">
        <x:v>Sample Product 00096</x:v>
      </x:c>
      <x:c r="C97" t="str">
        <x:v>Active</x:v>
      </x:c>
      <x:c r="D97" t="str">
        <x:v>2026-03</x:v>
      </x:c>
      <x:c r="E97" s="12" t="n">
        <x:v>72.54</x:v>
      </x:c>
      <x:c r="F97" s="10" t="n">
        <x:v>0.277</x:v>
      </x:c>
      <x:c r="G97" t="str">
        <x:v>OTC &amp; Wellness</x:v>
      </x:c>
      <x:c r="H97" t="str">
        <x:v>Vitamins</x:v>
      </x:c>
      <x:c r="I97" t="str">
        <x:v>MFG004</x:v>
      </x:c>
      <x:c r="J97" t="str">
        <x:v>Manufacturer 004</x:v>
      </x:c>
      <x:c r="K97" t="str">
        <x:v>SUP003</x:v>
      </x:c>
      <x:c r="L97" t="str">
        <x:v>Supplier 003</x:v>
      </x:c>
      <x:c r="M97" t="str">
        <x:v>REG-869446</x:v>
      </x:c>
      <x:c r="N97" t="str">
        <x:v>Generic Ingredient 170</x:v>
      </x:c>
      <x:c r="O97" t="str">
        <x:v>Pharmacy Only</x:v>
      </x:c>
      <x:c r="P97" t="n">
        <x:v>47</x:v>
      </x:c>
      <x:c r="Q97" t="n">
        <x:v>0</x:v>
      </x:c>
      <x:c r="R97" t="n">
        <x:v>15</x:v>
      </x:c>
      <x:c r="S97" s="12" t="n">
        <x:f>E97*Q97</x:f>
        <x:v>0</x:v>
      </x:c>
      <x:c r="T97" s="12" t="n">
        <x:f>ROUND(S97*F97+0.000000001,2)</x:f>
        <x:v>0</x:v>
      </x:c>
      <x:c r="U97" s="12" t="n">
        <x:f>E97*R97</x:f>
        <x:v>1088.1000000000001</x:v>
      </x:c>
      <x:c r="V97" t="str">
        <x:f>IF(AND(C97="Active",Q97=0),"Active Zero Sales","Not Zero Sales")</x:f>
        <x:v>Active Zero Sales</x:v>
      </x:c>
      <x:c r="W97" s="12" t="n">
        <x:f>IF(V97="Active Zero Sales",U97,0)</x:f>
        <x:v>1088.1000000000001</x:v>
      </x:c>
      <x:c r="X97" t="str">
        <x:f>IF(E97&lt;25,"Low &lt; 25",IF(E97&lt;100,"Medium 25-99",IF(E97&lt;300,"High 100-299","Premium 300+")))</x:f>
        <x:v>Medium 25-99</x:v>
      </x:c>
      <x:c r="Y97" t="n">
        <x:f>IF(C97="Active",1,0)</x:f>
        <x:v>1</x:v>
      </x:c>
    </x:row>
    <x:row r="98">
      <x:c r="A98" t="str">
        <x:v>SKU00097</x:v>
      </x:c>
      <x:c r="B98" t="str">
        <x:v>Sample Product 00097</x:v>
      </x:c>
      <x:c r="C98" t="str">
        <x:v>Active</x:v>
      </x:c>
      <x:c r="D98" t="str">
        <x:v>2026-01</x:v>
      </x:c>
      <x:c r="E98" s="12" t="n">
        <x:v>10.62</x:v>
      </x:c>
      <x:c r="F98" s="10" t="n">
        <x:v>0.453</x:v>
      </x:c>
      <x:c r="G98" t="str">
        <x:v>Personal Care</x:v>
      </x:c>
      <x:c r="H98" t="str">
        <x:v>Skin Care</x:v>
      </x:c>
      <x:c r="I98" t="str">
        <x:v>MFG020</x:v>
      </x:c>
      <x:c r="J98" t="str">
        <x:v>Manufacturer 020</x:v>
      </x:c>
      <x:c r="K98" t="str">
        <x:v>SUP016</x:v>
      </x:c>
      <x:c r="L98" t="str">
        <x:v>Supplier 016</x:v>
      </x:c>
      <x:c r="M98" t="str">
        <x:v>REG-423821</x:v>
      </x:c>
      <x:c r="N98" t="str">
        <x:v>Generic Ingredient 112</x:v>
      </x:c>
      <x:c r="O98" t="str">
        <x:v>General Sale</x:v>
      </x:c>
      <x:c r="P98" t="n">
        <x:v>75</x:v>
      </x:c>
      <x:c r="Q98" t="n">
        <x:v>18</x:v>
      </x:c>
      <x:c r="R98" t="n">
        <x:v>14</x:v>
      </x:c>
      <x:c r="S98" s="12" t="n">
        <x:f>E98*Q98</x:f>
        <x:v>191.16</x:v>
      </x:c>
      <x:c r="T98" s="12" t="n">
        <x:f>ROUND(S98*F98+0.000000001,2)</x:f>
        <x:v>86.6</x:v>
      </x:c>
      <x:c r="U98" s="12" t="n">
        <x:f>E98*R98</x:f>
        <x:v>148.67999999999998</x:v>
      </x:c>
      <x:c r="V98" t="str">
        <x:f>IF(AND(C98="Active",Q98=0),"Active Zero Sales","Not Zero Sales")</x:f>
        <x:v>Not Zero Sales</x:v>
      </x:c>
      <x:c r="W98" s="12" t="n">
        <x:f>IF(V98="Active Zero Sales",U98,0)</x:f>
        <x:v>0</x:v>
      </x:c>
      <x:c r="X98" t="str">
        <x:f>IF(E98&lt;25,"Low &lt; 25",IF(E98&lt;100,"Medium 25-99",IF(E98&lt;300,"High 100-299","Premium 300+")))</x:f>
        <x:v>Low &lt; 25</x:v>
      </x:c>
      <x:c r="Y98" t="n">
        <x:f>IF(C98="Active",1,0)</x:f>
        <x:v>1</x:v>
      </x:c>
    </x:row>
    <x:row r="99">
      <x:c r="A99" t="str">
        <x:v>SKU00098</x:v>
      </x:c>
      <x:c r="B99" t="str">
        <x:v>Sample Product 00098</x:v>
      </x:c>
      <x:c r="C99" t="str">
        <x:v>Active</x:v>
      </x:c>
      <x:c r="D99" t="str">
        <x:v>2026-01</x:v>
      </x:c>
      <x:c r="E99" s="12" t="n">
        <x:v>14.14</x:v>
      </x:c>
      <x:c r="F99" s="10" t="n">
        <x:v>0.351</x:v>
      </x:c>
      <x:c r="G99" t="str">
        <x:v>Personal Care</x:v>
      </x:c>
      <x:c r="H99" t="str">
        <x:v>Skin Care</x:v>
      </x:c>
      <x:c r="I99" t="str">
        <x:v>MFG010</x:v>
      </x:c>
      <x:c r="J99" t="str">
        <x:v>Manufacturer 010</x:v>
      </x:c>
      <x:c r="K99" t="str">
        <x:v>SUP001</x:v>
      </x:c>
      <x:c r="L99" t="str">
        <x:v>Supplier 001</x:v>
      </x:c>
      <x:c r="M99" t="str">
        <x:v>REG-917837</x:v>
      </x:c>
      <x:c r="N99" t="str">
        <x:v>Generic Ingredient 006</x:v>
      </x:c>
      <x:c r="O99" t="str">
        <x:v>General Sale</x:v>
      </x:c>
      <x:c r="P99" t="n">
        <x:v>67</x:v>
      </x:c>
      <x:c r="Q99" t="n">
        <x:v>22</x:v>
      </x:c>
      <x:c r="R99" t="n">
        <x:v>6</x:v>
      </x:c>
      <x:c r="S99" s="12" t="n">
        <x:f>E99*Q99</x:f>
        <x:v>311.08000000000004</x:v>
      </x:c>
      <x:c r="T99" s="12" t="n">
        <x:f>ROUND(S99*F99+0.000000001,2)</x:f>
        <x:v>109.19</x:v>
      </x:c>
      <x:c r="U99" s="12" t="n">
        <x:f>E99*R99</x:f>
        <x:v>84.84</x:v>
      </x:c>
      <x:c r="V99" t="str">
        <x:f>IF(AND(C99="Active",Q99=0),"Active Zero Sales","Not Zero Sales")</x:f>
        <x:v>Not Zero Sales</x:v>
      </x:c>
      <x:c r="W99" s="12" t="n">
        <x:f>IF(V99="Active Zero Sales",U99,0)</x:f>
        <x:v>0</x:v>
      </x:c>
      <x:c r="X99" t="str">
        <x:f>IF(E99&lt;25,"Low &lt; 25",IF(E99&lt;100,"Medium 25-99",IF(E99&lt;300,"High 100-299","Premium 300+")))</x:f>
        <x:v>Low &lt; 25</x:v>
      </x:c>
      <x:c r="Y99" t="n">
        <x:f>IF(C99="Active",1,0)</x:f>
        <x:v>1</x:v>
      </x:c>
    </x:row>
    <x:row r="100">
      <x:c r="A100" t="str">
        <x:v>SKU00099</x:v>
      </x:c>
      <x:c r="B100" t="str">
        <x:v>Sample Product 00099</x:v>
      </x:c>
      <x:c r="C100" t="str">
        <x:v>Active</x:v>
      </x:c>
      <x:c r="D100" t="str">
        <x:v>2026-01</x:v>
      </x:c>
      <x:c r="E100" s="12" t="n">
        <x:v>18.79</x:v>
      </x:c>
      <x:c r="F100" s="10" t="n">
        <x:v>0.364</x:v>
      </x:c>
      <x:c r="G100" t="str">
        <x:v>Medical Devices</x:v>
      </x:c>
      <x:c r="H100" t="str">
        <x:v>Monitoring Supplies</x:v>
      </x:c>
      <x:c r="I100" t="str">
        <x:v>MFG003</x:v>
      </x:c>
      <x:c r="J100" t="str">
        <x:v>Manufacturer 003</x:v>
      </x:c>
      <x:c r="K100" t="str">
        <x:v>SUP012</x:v>
      </x:c>
      <x:c r="L100" t="str">
        <x:v>Supplier 012</x:v>
      </x:c>
      <x:c r="M100" t="str">
        <x:v>REG-819580</x:v>
      </x:c>
      <x:c r="N100" t="str">
        <x:v>Generic Ingredient 048</x:v>
      </x:c>
      <x:c r="O100" t="str">
        <x:v>General Sale</x:v>
      </x:c>
      <x:c r="P100" t="n">
        <x:v>110</x:v>
      </x:c>
      <x:c r="Q100" t="n">
        <x:v>49</x:v>
      </x:c>
      <x:c r="R100" t="n">
        <x:v>14</x:v>
      </x:c>
      <x:c r="S100" s="12" t="n">
        <x:f>E100*Q100</x:f>
        <x:v>920.7099999999999</x:v>
      </x:c>
      <x:c r="T100" s="12" t="n">
        <x:f>ROUND(S100*F100+0.000000001,2)</x:f>
        <x:v>335.14</x:v>
      </x:c>
      <x:c r="U100" s="12" t="n">
        <x:f>E100*R100</x:f>
        <x:v>263.06</x:v>
      </x:c>
      <x:c r="V100" t="str">
        <x:f>IF(AND(C100="Active",Q100=0),"Active Zero Sales","Not Zero Sales")</x:f>
        <x:v>Not Zero Sales</x:v>
      </x:c>
      <x:c r="W100" s="12" t="n">
        <x:f>IF(V100="Active Zero Sales",U100,0)</x:f>
        <x:v>0</x:v>
      </x:c>
      <x:c r="X100" t="str">
        <x:f>IF(E100&lt;25,"Low &lt; 25",IF(E100&lt;100,"Medium 25-99",IF(E100&lt;300,"High 100-299","Premium 300+")))</x:f>
        <x:v>Low &lt; 25</x:v>
      </x:c>
      <x:c r="Y100" t="n">
        <x:f>IF(C100="Active",1,0)</x:f>
        <x:v>1</x:v>
      </x:c>
    </x:row>
    <x:row r="101">
      <x:c r="A101" t="str">
        <x:v>SKU00100</x:v>
      </x:c>
      <x:c r="B101" t="str">
        <x:v>Sample Product 00100</x:v>
      </x:c>
      <x:c r="C101" t="str">
        <x:v>Active</x:v>
      </x:c>
      <x:c r="D101" t="str">
        <x:v>2026-02</x:v>
      </x:c>
      <x:c r="E101" s="12" t="n">
        <x:v>29.89</x:v>
      </x:c>
      <x:c r="F101" s="10" t="n">
        <x:v>0.342</x:v>
      </x:c>
      <x:c r="G101" t="str">
        <x:v>OTC &amp; Wellness</x:v>
      </x:c>
      <x:c r="H101" t="str">
        <x:v>Digestive Care</x:v>
      </x:c>
      <x:c r="I101" t="str">
        <x:v>MFG004</x:v>
      </x:c>
      <x:c r="J101" t="str">
        <x:v>Manufacturer 004</x:v>
      </x:c>
      <x:c r="K101" t="str">
        <x:v>SUP026</x:v>
      </x:c>
      <x:c r="L101" t="str">
        <x:v>Supplier 026</x:v>
      </x:c>
      <x:c r="M101" t="str">
        <x:v>REG-223038</x:v>
      </x:c>
      <x:c r="N101" t="str">
        <x:v>Generic Ingredient 173</x:v>
      </x:c>
      <x:c r="O101" t="str">
        <x:v>General Sale</x:v>
      </x:c>
      <x:c r="P101" t="n">
        <x:v>13</x:v>
      </x:c>
      <x:c r="Q101" t="n">
        <x:v>12</x:v>
      </x:c>
      <x:c r="R101" t="n">
        <x:v>2</x:v>
      </x:c>
      <x:c r="S101" s="12" t="n">
        <x:f>E101*Q101</x:f>
        <x:v>358.68</x:v>
      </x:c>
      <x:c r="T101" s="12" t="n">
        <x:f>ROUND(S101*F101+0.000000001,2)</x:f>
        <x:v>122.67</x:v>
      </x:c>
      <x:c r="U101" s="12" t="n">
        <x:f>E101*R101</x:f>
        <x:v>59.78</x:v>
      </x:c>
      <x:c r="V101" t="str">
        <x:f>IF(AND(C101="Active",Q101=0),"Active Zero Sales","Not Zero Sales")</x:f>
        <x:v>Not Zero Sales</x:v>
      </x:c>
      <x:c r="W101" s="12" t="n">
        <x:f>IF(V101="Active Zero Sales",U101,0)</x:f>
        <x:v>0</x:v>
      </x:c>
      <x:c r="X101" t="str">
        <x:f>IF(E101&lt;25,"Low &lt; 25",IF(E101&lt;100,"Medium 25-99",IF(E101&lt;300,"High 100-299","Premium 300+")))</x:f>
        <x:v>Medium 25-99</x:v>
      </x:c>
      <x:c r="Y101" t="n">
        <x:f>IF(C101="Active",1,0)</x:f>
        <x:v>1</x:v>
      </x:c>
    </x:row>
    <x:row r="102">
      <x:c r="A102" t="str">
        <x:v>SKU00101</x:v>
      </x:c>
      <x:c r="B102" t="str">
        <x:v>Sample Product 00101</x:v>
      </x:c>
      <x:c r="C102" t="str">
        <x:v>Blocked</x:v>
      </x:c>
      <x:c r="D102" t="str">
        <x:v>2026-03</x:v>
      </x:c>
      <x:c r="E102" s="12" t="n">
        <x:v>218.46</x:v>
      </x:c>
      <x:c r="F102" s="10" t="n">
        <x:v>0.246</x:v>
      </x:c>
      <x:c r="G102" t="str">
        <x:v>Medical Devices</x:v>
      </x:c>
      <x:c r="H102" t="str">
        <x:v>Monitoring Supplies</x:v>
      </x:c>
      <x:c r="I102" t="str">
        <x:v>MFG013</x:v>
      </x:c>
      <x:c r="J102" t="str">
        <x:v>Manufacturer 013</x:v>
      </x:c>
      <x:c r="K102" t="str">
        <x:v>SUP010</x:v>
      </x:c>
      <x:c r="L102" t="str">
        <x:v>Supplier 010</x:v>
      </x:c>
      <x:c r="M102" t="str">
        <x:v>REG-410168</x:v>
      </x:c>
      <x:c r="N102" t="str">
        <x:v>Generic Ingredient 026</x:v>
      </x:c>
      <x:c r="O102" t="str">
        <x:v>General Sale</x:v>
      </x:c>
      <x:c r="P102" t="n">
        <x:v>27</x:v>
      </x:c>
      <x:c r="Q102" t="n">
        <x:v>0</x:v>
      </x:c>
      <x:c r="R102" t="n">
        <x:v>0</x:v>
      </x:c>
      <x:c r="S102" s="12" t="n">
        <x:f>E102*Q102</x:f>
        <x:v>0</x:v>
      </x:c>
      <x:c r="T102" s="12" t="n">
        <x:f>ROUND(S102*F102+0.000000001,2)</x:f>
        <x:v>0</x:v>
      </x:c>
      <x:c r="U102" s="12" t="n">
        <x:f>E102*R102</x:f>
        <x:v>0</x:v>
      </x:c>
      <x:c r="V102" t="str">
        <x:f>IF(AND(C102="Active",Q102=0),"Active Zero Sales","Not Zero Sales")</x:f>
        <x:v>Not Zero Sales</x:v>
      </x:c>
      <x:c r="W102" s="12" t="n">
        <x:f>IF(V102="Active Zero Sales",U102,0)</x:f>
        <x:v>0</x:v>
      </x:c>
      <x:c r="X102" t="str">
        <x:f>IF(E102&lt;25,"Low &lt; 25",IF(E102&lt;100,"Medium 25-99",IF(E102&lt;300,"High 100-299","Premium 300+")))</x:f>
        <x:v>High 100-299</x:v>
      </x:c>
      <x:c r="Y102" t="n">
        <x:f>IF(C102="Active",1,0)</x:f>
        <x:v>0</x:v>
      </x:c>
    </x:row>
    <x:row r="103">
      <x:c r="A103" t="str">
        <x:v>SKU00102</x:v>
      </x:c>
      <x:c r="B103" t="str">
        <x:v>Sample Product 00102</x:v>
      </x:c>
      <x:c r="C103" t="str">
        <x:v>Blocked</x:v>
      </x:c>
      <x:c r="D103" t="str">
        <x:v>2026-05</x:v>
      </x:c>
      <x:c r="E103" s="12" t="n">
        <x:v>33.11</x:v>
      </x:c>
      <x:c r="F103" s="10" t="n">
        <x:v>0.264</x:v>
      </x:c>
      <x:c r="G103" t="str">
        <x:v>Nutrition</x:v>
      </x:c>
      <x:c r="H103" t="str">
        <x:v>Healthy Snacks</x:v>
      </x:c>
      <x:c r="I103" t="str">
        <x:v>MFG009</x:v>
      </x:c>
      <x:c r="J103" t="str">
        <x:v>Manufacturer 009</x:v>
      </x:c>
      <x:c r="K103" t="str">
        <x:v>SUP006</x:v>
      </x:c>
      <x:c r="L103" t="str">
        <x:v>Supplier 006</x:v>
      </x:c>
      <x:c r="M103" t="str">
        <x:v>REG-298431</x:v>
      </x:c>
      <x:c r="N103" t="str">
        <x:v>Generic Ingredient 074</x:v>
      </x:c>
      <x:c r="O103" t="str">
        <x:v>General Sale</x:v>
      </x:c>
      <x:c r="P103" t="n">
        <x:v>22</x:v>
      </x:c>
      <x:c r="Q103" t="n">
        <x:v>0</x:v>
      </x:c>
      <x:c r="R103" t="n">
        <x:v>0</x:v>
      </x:c>
      <x:c r="S103" s="12" t="n">
        <x:f>E103*Q103</x:f>
        <x:v>0</x:v>
      </x:c>
      <x:c r="T103" s="12" t="n">
        <x:f>ROUND(S103*F103+0.000000001,2)</x:f>
        <x:v>0</x:v>
      </x:c>
      <x:c r="U103" s="12" t="n">
        <x:f>E103*R103</x:f>
        <x:v>0</x:v>
      </x:c>
      <x:c r="V103" t="str">
        <x:f>IF(AND(C103="Active",Q103=0),"Active Zero Sales","Not Zero Sales")</x:f>
        <x:v>Not Zero Sales</x:v>
      </x:c>
      <x:c r="W103" s="12" t="n">
        <x:f>IF(V103="Active Zero Sales",U103,0)</x:f>
        <x:v>0</x:v>
      </x:c>
      <x:c r="X103" t="str">
        <x:f>IF(E103&lt;25,"Low &lt; 25",IF(E103&lt;100,"Medium 25-99",IF(E103&lt;300,"High 100-299","Premium 300+")))</x:f>
        <x:v>Medium 25-99</x:v>
      </x:c>
      <x:c r="Y103" t="n">
        <x:f>IF(C103="Active",1,0)</x:f>
        <x:v>0</x:v>
      </x:c>
    </x:row>
    <x:row r="104">
      <x:c r="A104" t="str">
        <x:v>SKU00103</x:v>
      </x:c>
      <x:c r="B104" t="str">
        <x:v>Sample Product 00103</x:v>
      </x:c>
      <x:c r="C104" t="str">
        <x:v>Blocked</x:v>
      </x:c>
      <x:c r="D104" t="str">
        <x:v>2026-02</x:v>
      </x:c>
      <x:c r="E104" s="12" t="n">
        <x:v>131.21</x:v>
      </x:c>
      <x:c r="F104" s="10" t="n">
        <x:v>0.396</x:v>
      </x:c>
      <x:c r="G104" t="str">
        <x:v>OTC &amp; Wellness</x:v>
      </x:c>
      <x:c r="H104" t="str">
        <x:v>Vitamins</x:v>
      </x:c>
      <x:c r="I104" t="str">
        <x:v>MFG017</x:v>
      </x:c>
      <x:c r="J104" t="str">
        <x:v>Manufacturer 017</x:v>
      </x:c>
      <x:c r="K104" t="str">
        <x:v>SUP019</x:v>
      </x:c>
      <x:c r="L104" t="str">
        <x:v>Supplier 019</x:v>
      </x:c>
      <x:c r="M104" t="str">
        <x:v>REG-363475</x:v>
      </x:c>
      <x:c r="N104" t="str">
        <x:v>Generic Ingredient 170</x:v>
      </x:c>
      <x:c r="O104" t="str">
        <x:v>Pharmacy Only</x:v>
      </x:c>
      <x:c r="P104" t="n">
        <x:v>31</x:v>
      </x:c>
      <x:c r="Q104" t="n">
        <x:v>0</x:v>
      </x:c>
      <x:c r="R104" t="n">
        <x:v>0</x:v>
      </x:c>
      <x:c r="S104" s="12" t="n">
        <x:f>E104*Q104</x:f>
        <x:v>0</x:v>
      </x:c>
      <x:c r="T104" s="12" t="n">
        <x:f>ROUND(S104*F104+0.000000001,2)</x:f>
        <x:v>0</x:v>
      </x:c>
      <x:c r="U104" s="12" t="n">
        <x:f>E104*R104</x:f>
        <x:v>0</x:v>
      </x:c>
      <x:c r="V104" t="str">
        <x:f>IF(AND(C104="Active",Q104=0),"Active Zero Sales","Not Zero Sales")</x:f>
        <x:v>Not Zero Sales</x:v>
      </x:c>
      <x:c r="W104" s="12" t="n">
        <x:f>IF(V104="Active Zero Sales",U104,0)</x:f>
        <x:v>0</x:v>
      </x:c>
      <x:c r="X104" t="str">
        <x:f>IF(E104&lt;25,"Low &lt; 25",IF(E104&lt;100,"Medium 25-99",IF(E104&lt;300,"High 100-299","Premium 300+")))</x:f>
        <x:v>High 100-299</x:v>
      </x:c>
      <x:c r="Y104" t="n">
        <x:f>IF(C104="Active",1,0)</x:f>
        <x:v>0</x:v>
      </x:c>
    </x:row>
    <x:row r="105">
      <x:c r="A105" t="str">
        <x:v>SKU00104</x:v>
      </x:c>
      <x:c r="B105" t="str">
        <x:v>Sample Product 00104</x:v>
      </x:c>
      <x:c r="C105" t="str">
        <x:v>Active</x:v>
      </x:c>
      <x:c r="D105" t="str">
        <x:v>2026-05</x:v>
      </x:c>
      <x:c r="E105" s="12" t="n">
        <x:v>239.92</x:v>
      </x:c>
      <x:c r="F105" s="10" t="n">
        <x:v>0.351</x:v>
      </x:c>
      <x:c r="G105" t="str">
        <x:v>Nutrition</x:v>
      </x:c>
      <x:c r="H105" t="str">
        <x:v>Adult Nutrition</x:v>
      </x:c>
      <x:c r="I105" t="str">
        <x:v>MFG010</x:v>
      </x:c>
      <x:c r="J105" t="str">
        <x:v>Manufacturer 010</x:v>
      </x:c>
      <x:c r="K105" t="str">
        <x:v>SUP001</x:v>
      </x:c>
      <x:c r="L105" t="str">
        <x:v>Supplier 001</x:v>
      </x:c>
      <x:c r="M105" t="str">
        <x:v>REG-930571</x:v>
      </x:c>
      <x:c r="N105" t="str">
        <x:v>Generic Ingredient 054</x:v>
      </x:c>
      <x:c r="O105" t="str">
        <x:v>General Sale</x:v>
      </x:c>
      <x:c r="P105" t="n">
        <x:v>42</x:v>
      </x:c>
      <x:c r="Q105" t="n">
        <x:v>9</x:v>
      </x:c>
      <x:c r="R105" t="n">
        <x:v>23</x:v>
      </x:c>
      <x:c r="S105" s="12" t="n">
        <x:f>E105*Q105</x:f>
        <x:v>2159.2799999999997</x:v>
      </x:c>
      <x:c r="T105" s="12" t="n">
        <x:f>ROUND(S105*F105+0.000000001,2)</x:f>
        <x:v>757.91</x:v>
      </x:c>
      <x:c r="U105" s="12" t="n">
        <x:f>E105*R105</x:f>
        <x:v>5518.16</x:v>
      </x:c>
      <x:c r="V105" t="str">
        <x:f>IF(AND(C105="Active",Q105=0),"Active Zero Sales","Not Zero Sales")</x:f>
        <x:v>Not Zero Sales</x:v>
      </x:c>
      <x:c r="W105" s="12" t="n">
        <x:f>IF(V105="Active Zero Sales",U105,0)</x:f>
        <x:v>0</x:v>
      </x:c>
      <x:c r="X105" t="str">
        <x:f>IF(E105&lt;25,"Low &lt; 25",IF(E105&lt;100,"Medium 25-99",IF(E105&lt;300,"High 100-299","Premium 300+")))</x:f>
        <x:v>High 100-299</x:v>
      </x:c>
      <x:c r="Y105" t="n">
        <x:f>IF(C105="Active",1,0)</x:f>
        <x:v>1</x:v>
      </x:c>
    </x:row>
    <x:row r="106">
      <x:c r="A106" t="str">
        <x:v>SKU00105</x:v>
      </x:c>
      <x:c r="B106" t="str">
        <x:v>Sample Product 00105</x:v>
      </x:c>
      <x:c r="C106" t="str">
        <x:v>Active</x:v>
      </x:c>
      <x:c r="D106" t="str">
        <x:v>2026-03</x:v>
      </x:c>
      <x:c r="E106" s="12" t="n">
        <x:v>34.77</x:v>
      </x:c>
      <x:c r="F106" s="10" t="n">
        <x:v>0.32</x:v>
      </x:c>
      <x:c r="G106" t="str">
        <x:v>Nutrition</x:v>
      </x:c>
      <x:c r="H106" t="str">
        <x:v>Hydration</x:v>
      </x:c>
      <x:c r="I106" t="str">
        <x:v>MFG007</x:v>
      </x:c>
      <x:c r="J106" t="str">
        <x:v>Manufacturer 007</x:v>
      </x:c>
      <x:c r="K106" t="str">
        <x:v>SUP018</x:v>
      </x:c>
      <x:c r="L106" t="str">
        <x:v>Supplier 018</x:v>
      </x:c>
      <x:c r="M106" t="str">
        <x:v>REG-393849</x:v>
      </x:c>
      <x:c r="N106" t="str">
        <x:v>Generic Ingredient 119</x:v>
      </x:c>
      <x:c r="O106" t="str">
        <x:v>General Sale</x:v>
      </x:c>
      <x:c r="P106" t="n">
        <x:v>136</x:v>
      </x:c>
      <x:c r="Q106" t="n">
        <x:v>95</x:v>
      </x:c>
      <x:c r="R106" t="n">
        <x:v>41</x:v>
      </x:c>
      <x:c r="S106" s="12" t="n">
        <x:f>E106*Q106</x:f>
        <x:v>3303.15</x:v>
      </x:c>
      <x:c r="T106" s="12" t="n">
        <x:f>ROUND(S106*F106+0.000000001,2)</x:f>
        <x:v>1057.01</x:v>
      </x:c>
      <x:c r="U106" s="12" t="n">
        <x:f>E106*R106</x:f>
        <x:v>1425.5700000000002</x:v>
      </x:c>
      <x:c r="V106" t="str">
        <x:f>IF(AND(C106="Active",Q106=0),"Active Zero Sales","Not Zero Sales")</x:f>
        <x:v>Not Zero Sales</x:v>
      </x:c>
      <x:c r="W106" s="12" t="n">
        <x:f>IF(V106="Active Zero Sales",U106,0)</x:f>
        <x:v>0</x:v>
      </x:c>
      <x:c r="X106" t="str">
        <x:f>IF(E106&lt;25,"Low &lt; 25",IF(E106&lt;100,"Medium 25-99",IF(E106&lt;300,"High 100-299","Premium 300+")))</x:f>
        <x:v>Medium 25-99</x:v>
      </x:c>
      <x:c r="Y106" t="n">
        <x:f>IF(C106="Active",1,0)</x:f>
        <x:v>1</x:v>
      </x:c>
    </x:row>
    <x:row r="107">
      <x:c r="A107" t="str">
        <x:v>SKU00106</x:v>
      </x:c>
      <x:c r="B107" t="str">
        <x:v>Sample Product 00106</x:v>
      </x:c>
      <x:c r="C107" t="str">
        <x:v>Active</x:v>
      </x:c>
      <x:c r="D107" t="str">
        <x:v>2026-03</x:v>
      </x:c>
      <x:c r="E107" s="12" t="n">
        <x:v>36.38</x:v>
      </x:c>
      <x:c r="F107" s="10" t="n">
        <x:v>0.376</x:v>
      </x:c>
      <x:c r="G107" t="str">
        <x:v>Personal Care</x:v>
      </x:c>
      <x:c r="H107" t="str">
        <x:v>Skin Care</x:v>
      </x:c>
      <x:c r="I107" t="str">
        <x:v>MFG009</x:v>
      </x:c>
      <x:c r="J107" t="str">
        <x:v>Manufacturer 009</x:v>
      </x:c>
      <x:c r="K107" t="str">
        <x:v>SUP011</x:v>
      </x:c>
      <x:c r="L107" t="str">
        <x:v>Supplier 011</x:v>
      </x:c>
      <x:c r="M107" t="str">
        <x:v>REG-110413</x:v>
      </x:c>
      <x:c r="N107" t="str">
        <x:v>Generic Ingredient 111</x:v>
      </x:c>
      <x:c r="O107" t="str">
        <x:v>General Sale</x:v>
      </x:c>
      <x:c r="P107" t="n">
        <x:v>59</x:v>
      </x:c>
      <x:c r="Q107" t="n">
        <x:v>28</x:v>
      </x:c>
      <x:c r="R107" t="n">
        <x:v>5</x:v>
      </x:c>
      <x:c r="S107" s="12" t="n">
        <x:f>E107*Q107</x:f>
        <x:v>1018.6400000000001</x:v>
      </x:c>
      <x:c r="T107" s="12" t="n">
        <x:f>ROUND(S107*F107+0.000000001,2)</x:f>
        <x:v>383.01</x:v>
      </x:c>
      <x:c r="U107" s="12" t="n">
        <x:f>E107*R107</x:f>
        <x:v>181.9</x:v>
      </x:c>
      <x:c r="V107" t="str">
        <x:f>IF(AND(C107="Active",Q107=0),"Active Zero Sales","Not Zero Sales")</x:f>
        <x:v>Not Zero Sales</x:v>
      </x:c>
      <x:c r="W107" s="12" t="n">
        <x:f>IF(V107="Active Zero Sales",U107,0)</x:f>
        <x:v>0</x:v>
      </x:c>
      <x:c r="X107" t="str">
        <x:f>IF(E107&lt;25,"Low &lt; 25",IF(E107&lt;100,"Medium 25-99",IF(E107&lt;300,"High 100-299","Premium 300+")))</x:f>
        <x:v>Medium 25-99</x:v>
      </x:c>
      <x:c r="Y107" t="n">
        <x:f>IF(C107="Active",1,0)</x:f>
        <x:v>1</x:v>
      </x:c>
    </x:row>
    <x:row r="108">
      <x:c r="A108" t="str">
        <x:v>SKU00107</x:v>
      </x:c>
      <x:c r="B108" t="str">
        <x:v>Sample Product 00107</x:v>
      </x:c>
      <x:c r="C108" t="str">
        <x:v>Active</x:v>
      </x:c>
      <x:c r="D108" t="str">
        <x:v>2026-01</x:v>
      </x:c>
      <x:c r="E108" s="12" t="n">
        <x:v>48.14</x:v>
      </x:c>
      <x:c r="F108" s="10" t="n">
        <x:v>0.514</x:v>
      </x:c>
      <x:c r="G108" t="str">
        <x:v>Personal Care</x:v>
      </x:c>
      <x:c r="H108" t="str">
        <x:v>Hygiene</x:v>
      </x:c>
      <x:c r="I108" t="str">
        <x:v>MFG006</x:v>
      </x:c>
      <x:c r="J108" t="str">
        <x:v>Manufacturer 006</x:v>
      </x:c>
      <x:c r="K108" t="str">
        <x:v>SUP016</x:v>
      </x:c>
      <x:c r="L108" t="str">
        <x:v>Supplier 016</x:v>
      </x:c>
      <x:c r="M108" t="str">
        <x:v>REG-315942</x:v>
      </x:c>
      <x:c r="N108" t="str">
        <x:v>Generic Ingredient 179</x:v>
      </x:c>
      <x:c r="O108" t="str">
        <x:v>General Sale</x:v>
      </x:c>
      <x:c r="P108" t="n">
        <x:v>164</x:v>
      </x:c>
      <x:c r="Q108" t="n">
        <x:v>111</x:v>
      </x:c>
      <x:c r="R108" t="n">
        <x:v>31</x:v>
      </x:c>
      <x:c r="S108" s="12" t="n">
        <x:f>E108*Q108</x:f>
        <x:v>5343.54</x:v>
      </x:c>
      <x:c r="T108" s="12" t="n">
        <x:f>ROUND(S108*F108+0.000000001,2)</x:f>
        <x:v>2746.58</x:v>
      </x:c>
      <x:c r="U108" s="12" t="n">
        <x:f>E108*R108</x:f>
        <x:v>1492.34</x:v>
      </x:c>
      <x:c r="V108" t="str">
        <x:f>IF(AND(C108="Active",Q108=0),"Active Zero Sales","Not Zero Sales")</x:f>
        <x:v>Not Zero Sales</x:v>
      </x:c>
      <x:c r="W108" s="12" t="n">
        <x:f>IF(V108="Active Zero Sales",U108,0)</x:f>
        <x:v>0</x:v>
      </x:c>
      <x:c r="X108" t="str">
        <x:f>IF(E108&lt;25,"Low &lt; 25",IF(E108&lt;100,"Medium 25-99",IF(E108&lt;300,"High 100-299","Premium 300+")))</x:f>
        <x:v>Medium 25-99</x:v>
      </x:c>
      <x:c r="Y108" t="n">
        <x:f>IF(C108="Active",1,0)</x:f>
        <x:v>1</x:v>
      </x:c>
    </x:row>
    <x:row r="109">
      <x:c r="A109" t="str">
        <x:v>SKU00108</x:v>
      </x:c>
      <x:c r="B109" t="str">
        <x:v>Sample Product 00108</x:v>
      </x:c>
      <x:c r="C109" t="str">
        <x:v>Active</x:v>
      </x:c>
      <x:c r="D109" t="str">
        <x:v>2026-01</x:v>
      </x:c>
      <x:c r="E109" s="12" t="n">
        <x:v>171.57</x:v>
      </x:c>
      <x:c r="F109" s="10" t="n">
        <x:v>0.311</x:v>
      </x:c>
      <x:c r="G109" t="str">
        <x:v>Nutrition</x:v>
      </x:c>
      <x:c r="H109" t="str">
        <x:v>Healthy Snacks</x:v>
      </x:c>
      <x:c r="I109" t="str">
        <x:v>MFG020</x:v>
      </x:c>
      <x:c r="J109" t="str">
        <x:v>Manufacturer 020</x:v>
      </x:c>
      <x:c r="K109" t="str">
        <x:v>SUP002</x:v>
      </x:c>
      <x:c r="L109" t="str">
        <x:v>Supplier 002</x:v>
      </x:c>
      <x:c r="M109" t="str">
        <x:v>REG-477618</x:v>
      </x:c>
      <x:c r="N109" t="str">
        <x:v>Generic Ingredient 131</x:v>
      </x:c>
      <x:c r="O109" t="str">
        <x:v>General Sale</x:v>
      </x:c>
      <x:c r="P109" t="n">
        <x:v>48</x:v>
      </x:c>
      <x:c r="Q109" t="n">
        <x:v>0</x:v>
      </x:c>
      <x:c r="R109" t="n">
        <x:v>7</x:v>
      </x:c>
      <x:c r="S109" s="12" t="n">
        <x:f>E109*Q109</x:f>
        <x:v>0</x:v>
      </x:c>
      <x:c r="T109" s="12" t="n">
        <x:f>ROUND(S109*F109+0.000000001,2)</x:f>
        <x:v>0</x:v>
      </x:c>
      <x:c r="U109" s="12" t="n">
        <x:f>E109*R109</x:f>
        <x:v>1200.99</x:v>
      </x:c>
      <x:c r="V109" t="str">
        <x:f>IF(AND(C109="Active",Q109=0),"Active Zero Sales","Not Zero Sales")</x:f>
        <x:v>Active Zero Sales</x:v>
      </x:c>
      <x:c r="W109" s="12" t="n">
        <x:f>IF(V109="Active Zero Sales",U109,0)</x:f>
        <x:v>1200.99</x:v>
      </x:c>
      <x:c r="X109" t="str">
        <x:f>IF(E109&lt;25,"Low &lt; 25",IF(E109&lt;100,"Medium 25-99",IF(E109&lt;300,"High 100-299","Premium 300+")))</x:f>
        <x:v>High 100-299</x:v>
      </x:c>
      <x:c r="Y109" t="n">
        <x:f>IF(C109="Active",1,0)</x:f>
        <x:v>1</x:v>
      </x:c>
    </x:row>
    <x:row r="110">
      <x:c r="A110" t="str">
        <x:v>SKU00109</x:v>
      </x:c>
      <x:c r="B110" t="str">
        <x:v>Sample Product 00109</x:v>
      </x:c>
      <x:c r="C110" t="str">
        <x:v>Active</x:v>
      </x:c>
      <x:c r="D110" t="str">
        <x:v>2026-06</x:v>
      </x:c>
      <x:c r="E110" s="12" t="n">
        <x:v>13.16</x:v>
      </x:c>
      <x:c r="F110" s="10" t="n">
        <x:v>0.457</x:v>
      </x:c>
      <x:c r="G110" t="str">
        <x:v>OTC &amp; Wellness</x:v>
      </x:c>
      <x:c r="H110" t="str">
        <x:v>Vitamins</x:v>
      </x:c>
      <x:c r="I110" t="str">
        <x:v>MFG004</x:v>
      </x:c>
      <x:c r="J110" t="str">
        <x:v>Manufacturer 004</x:v>
      </x:c>
      <x:c r="K110" t="str">
        <x:v>SUP028</x:v>
      </x:c>
      <x:c r="L110" t="str">
        <x:v>Supplier 028</x:v>
      </x:c>
      <x:c r="M110" t="str">
        <x:v>REG-212392</x:v>
      </x:c>
      <x:c r="N110" t="str">
        <x:v>Generic Ingredient 128</x:v>
      </x:c>
      <x:c r="O110" t="str">
        <x:v>General Sale</x:v>
      </x:c>
      <x:c r="P110" t="n">
        <x:v>58</x:v>
      </x:c>
      <x:c r="Q110" t="n">
        <x:v>46</x:v>
      </x:c>
      <x:c r="R110" t="n">
        <x:v>4</x:v>
      </x:c>
      <x:c r="S110" s="12" t="n">
        <x:f>E110*Q110</x:f>
        <x:v>605.36</x:v>
      </x:c>
      <x:c r="T110" s="12" t="n">
        <x:f>ROUND(S110*F110+0.000000001,2)</x:f>
        <x:v>276.65</x:v>
      </x:c>
      <x:c r="U110" s="12" t="n">
        <x:f>E110*R110</x:f>
        <x:v>52.64</x:v>
      </x:c>
      <x:c r="V110" t="str">
        <x:f>IF(AND(C110="Active",Q110=0),"Active Zero Sales","Not Zero Sales")</x:f>
        <x:v>Not Zero Sales</x:v>
      </x:c>
      <x:c r="W110" s="12" t="n">
        <x:f>IF(V110="Active Zero Sales",U110,0)</x:f>
        <x:v>0</x:v>
      </x:c>
      <x:c r="X110" t="str">
        <x:f>IF(E110&lt;25,"Low &lt; 25",IF(E110&lt;100,"Medium 25-99",IF(E110&lt;300,"High 100-299","Premium 300+")))</x:f>
        <x:v>Low &lt; 25</x:v>
      </x:c>
      <x:c r="Y110" t="n">
        <x:f>IF(C110="Active",1,0)</x:f>
        <x:v>1</x:v>
      </x:c>
    </x:row>
    <x:row r="111">
      <x:c r="A111" t="str">
        <x:v>SKU00110</x:v>
      </x:c>
      <x:c r="B111" t="str">
        <x:v>Sample Product 00110</x:v>
      </x:c>
      <x:c r="C111" t="str">
        <x:v>Blocked</x:v>
      </x:c>
      <x:c r="D111" t="str">
        <x:v>2026-04</x:v>
      </x:c>
      <x:c r="E111" s="12" t="n">
        <x:v>76.84</x:v>
      </x:c>
      <x:c r="F111" s="10" t="n">
        <x:v>0.234</x:v>
      </x:c>
      <x:c r="G111" t="str">
        <x:v>Medical Devices</x:v>
      </x:c>
      <x:c r="H111" t="str">
        <x:v>Home Diagnostics</x:v>
      </x:c>
      <x:c r="I111" t="str">
        <x:v>MFG019</x:v>
      </x:c>
      <x:c r="J111" t="str">
        <x:v>Manufacturer 019</x:v>
      </x:c>
      <x:c r="K111" t="str">
        <x:v>SUP003</x:v>
      </x:c>
      <x:c r="L111" t="str">
        <x:v>Supplier 003</x:v>
      </x:c>
      <x:c r="M111" t="str">
        <x:v>REG-150866</x:v>
      </x:c>
      <x:c r="N111" t="str">
        <x:v>Generic Ingredient 042</x:v>
      </x:c>
      <x:c r="O111" t="str">
        <x:v>General Sale</x:v>
      </x:c>
      <x:c r="P111" t="n">
        <x:v>24</x:v>
      </x:c>
      <x:c r="Q111" t="n">
        <x:v>17</x:v>
      </x:c>
      <x:c r="R111" t="n">
        <x:v>0</x:v>
      </x:c>
      <x:c r="S111" s="12" t="n">
        <x:f>E111*Q111</x:f>
        <x:v>1306.28</x:v>
      </x:c>
      <x:c r="T111" s="12" t="n">
        <x:f>ROUND(S111*F111+0.000000001,2)</x:f>
        <x:v>305.67</x:v>
      </x:c>
      <x:c r="U111" s="12" t="n">
        <x:f>E111*R111</x:f>
        <x:v>0</x:v>
      </x:c>
      <x:c r="V111" t="str">
        <x:f>IF(AND(C111="Active",Q111=0),"Active Zero Sales","Not Zero Sales")</x:f>
        <x:v>Not Zero Sales</x:v>
      </x:c>
      <x:c r="W111" s="12" t="n">
        <x:f>IF(V111="Active Zero Sales",U111,0)</x:f>
        <x:v>0</x:v>
      </x:c>
      <x:c r="X111" t="str">
        <x:f>IF(E111&lt;25,"Low &lt; 25",IF(E111&lt;100,"Medium 25-99",IF(E111&lt;300,"High 100-299","Premium 300+")))</x:f>
        <x:v>Medium 25-99</x:v>
      </x:c>
      <x:c r="Y111" t="n">
        <x:f>IF(C111="Active",1,0)</x:f>
        <x:v>0</x:v>
      </x:c>
    </x:row>
    <x:row r="112">
      <x:c r="A112" t="str">
        <x:v>SKU00111</x:v>
      </x:c>
      <x:c r="B112" t="str">
        <x:v>Sample Product 00111</x:v>
      </x:c>
      <x:c r="C112" t="str">
        <x:v>Active</x:v>
      </x:c>
      <x:c r="D112" t="str">
        <x:v>2026-01</x:v>
      </x:c>
      <x:c r="E112" s="12" t="n">
        <x:v>85.31</x:v>
      </x:c>
      <x:c r="F112" s="10" t="n">
        <x:v>0.183</x:v>
      </x:c>
      <x:c r="G112" t="str">
        <x:v>General Merchandise</x:v>
      </x:c>
      <x:c r="H112" t="str">
        <x:v>Accessories</x:v>
      </x:c>
      <x:c r="I112" t="str">
        <x:v>MFG010</x:v>
      </x:c>
      <x:c r="J112" t="str">
        <x:v>Manufacturer 010</x:v>
      </x:c>
      <x:c r="K112" t="str">
        <x:v>SUP018</x:v>
      </x:c>
      <x:c r="L112" t="str">
        <x:v>Supplier 018</x:v>
      </x:c>
      <x:c r="M112" t="str">
        <x:v>REG-237803</x:v>
      </x:c>
      <x:c r="N112" t="str">
        <x:v>Generic Ingredient 068</x:v>
      </x:c>
      <x:c r="O112" t="str">
        <x:v>Pharmacy Only</x:v>
      </x:c>
      <x:c r="P112" t="n">
        <x:v>59</x:v>
      </x:c>
      <x:c r="Q112" t="n">
        <x:v>26</x:v>
      </x:c>
      <x:c r="R112" t="n">
        <x:v>0</x:v>
      </x:c>
      <x:c r="S112" s="12" t="n">
        <x:f>E112*Q112</x:f>
        <x:v>2218.06</x:v>
      </x:c>
      <x:c r="T112" s="12" t="n">
        <x:f>ROUND(S112*F112+0.000000001,2)</x:f>
        <x:v>405.9</x:v>
      </x:c>
      <x:c r="U112" s="12" t="n">
        <x:f>E112*R112</x:f>
        <x:v>0</x:v>
      </x:c>
      <x:c r="V112" t="str">
        <x:f>IF(AND(C112="Active",Q112=0),"Active Zero Sales","Not Zero Sales")</x:f>
        <x:v>Not Zero Sales</x:v>
      </x:c>
      <x:c r="W112" s="12" t="n">
        <x:f>IF(V112="Active Zero Sales",U112,0)</x:f>
        <x:v>0</x:v>
      </x:c>
      <x:c r="X112" t="str">
        <x:f>IF(E112&lt;25,"Low &lt; 25",IF(E112&lt;100,"Medium 25-99",IF(E112&lt;300,"High 100-299","Premium 300+")))</x:f>
        <x:v>Medium 25-99</x:v>
      </x:c>
      <x:c r="Y112" t="n">
        <x:f>IF(C112="Active",1,0)</x:f>
        <x:v>1</x:v>
      </x:c>
    </x:row>
    <x:row r="113">
      <x:c r="A113" t="str">
        <x:v>SKU00112</x:v>
      </x:c>
      <x:c r="B113" t="str">
        <x:v>Sample Product 00112</x:v>
      </x:c>
      <x:c r="C113" t="str">
        <x:v>Active</x:v>
      </x:c>
      <x:c r="D113" t="str">
        <x:v>2026-05</x:v>
      </x:c>
      <x:c r="E113" s="12" t="n">
        <x:v>15.11</x:v>
      </x:c>
      <x:c r="F113" s="10" t="n">
        <x:v>0.299</x:v>
      </x:c>
      <x:c r="G113" t="str">
        <x:v>Personal Care</x:v>
      </x:c>
      <x:c r="H113" t="str">
        <x:v>Hygiene</x:v>
      </x:c>
      <x:c r="I113" t="str">
        <x:v>MFG017</x:v>
      </x:c>
      <x:c r="J113" t="str">
        <x:v>Manufacturer 017</x:v>
      </x:c>
      <x:c r="K113" t="str">
        <x:v>SUP009</x:v>
      </x:c>
      <x:c r="L113" t="str">
        <x:v>Supplier 009</x:v>
      </x:c>
      <x:c r="M113" t="str">
        <x:v>REG-454567</x:v>
      </x:c>
      <x:c r="N113" t="str">
        <x:v>Generic Ingredient 087</x:v>
      </x:c>
      <x:c r="O113" t="str">
        <x:v>General Sale</x:v>
      </x:c>
      <x:c r="P113" t="n">
        <x:v>55</x:v>
      </x:c>
      <x:c r="Q113" t="n">
        <x:v>8</x:v>
      </x:c>
      <x:c r="R113" t="n">
        <x:v>23</x:v>
      </x:c>
      <x:c r="S113" s="12" t="n">
        <x:f>E113*Q113</x:f>
        <x:v>120.88</x:v>
      </x:c>
      <x:c r="T113" s="12" t="n">
        <x:f>ROUND(S113*F113+0.000000001,2)</x:f>
        <x:v>36.14</x:v>
      </x:c>
      <x:c r="U113" s="12" t="n">
        <x:f>E113*R113</x:f>
        <x:v>347.53</x:v>
      </x:c>
      <x:c r="V113" t="str">
        <x:f>IF(AND(C113="Active",Q113=0),"Active Zero Sales","Not Zero Sales")</x:f>
        <x:v>Not Zero Sales</x:v>
      </x:c>
      <x:c r="W113" s="12" t="n">
        <x:f>IF(V113="Active Zero Sales",U113,0)</x:f>
        <x:v>0</x:v>
      </x:c>
      <x:c r="X113" t="str">
        <x:f>IF(E113&lt;25,"Low &lt; 25",IF(E113&lt;100,"Medium 25-99",IF(E113&lt;300,"High 100-299","Premium 300+")))</x:f>
        <x:v>Low &lt; 25</x:v>
      </x:c>
      <x:c r="Y113" t="n">
        <x:f>IF(C113="Active",1,0)</x:f>
        <x:v>1</x:v>
      </x:c>
    </x:row>
    <x:row r="114">
      <x:c r="A114" t="str">
        <x:v>SKU00113</x:v>
      </x:c>
      <x:c r="B114" t="str">
        <x:v>Sample Product 00113</x:v>
      </x:c>
      <x:c r="C114" t="str">
        <x:v>Active</x:v>
      </x:c>
      <x:c r="D114" t="str">
        <x:v>2026-01</x:v>
      </x:c>
      <x:c r="E114" s="12" t="n">
        <x:v>17.27</x:v>
      </x:c>
      <x:c r="F114" s="10" t="n">
        <x:v>0.406</x:v>
      </x:c>
      <x:c r="G114" t="str">
        <x:v>OTC &amp; Wellness</x:v>
      </x:c>
      <x:c r="H114" t="str">
        <x:v>Vitamins</x:v>
      </x:c>
      <x:c r="I114" t="str">
        <x:v>MFG012</x:v>
      </x:c>
      <x:c r="J114" t="str">
        <x:v>Manufacturer 012</x:v>
      </x:c>
      <x:c r="K114" t="str">
        <x:v>SUP017</x:v>
      </x:c>
      <x:c r="L114" t="str">
        <x:v>Supplier 017</x:v>
      </x:c>
      <x:c r="M114" t="str">
        <x:v>REG-622602</x:v>
      </x:c>
      <x:c r="N114" t="str">
        <x:v>Generic Ingredient 038</x:v>
      </x:c>
      <x:c r="O114" t="str">
        <x:v>General Sale</x:v>
      </x:c>
      <x:c r="P114" t="n">
        <x:v>25</x:v>
      </x:c>
      <x:c r="Q114" t="n">
        <x:v>35</x:v>
      </x:c>
      <x:c r="R114" t="n">
        <x:v>0</x:v>
      </x:c>
      <x:c r="S114" s="12" t="n">
        <x:f>E114*Q114</x:f>
        <x:v>604.4499999999999</x:v>
      </x:c>
      <x:c r="T114" s="12" t="n">
        <x:f>ROUND(S114*F114+0.000000001,2)</x:f>
        <x:v>245.41</x:v>
      </x:c>
      <x:c r="U114" s="12" t="n">
        <x:f>E114*R114</x:f>
        <x:v>0</x:v>
      </x:c>
      <x:c r="V114" t="str">
        <x:f>IF(AND(C114="Active",Q114=0),"Active Zero Sales","Not Zero Sales")</x:f>
        <x:v>Not Zero Sales</x:v>
      </x:c>
      <x:c r="W114" s="12" t="n">
        <x:f>IF(V114="Active Zero Sales",U114,0)</x:f>
        <x:v>0</x:v>
      </x:c>
      <x:c r="X114" t="str">
        <x:f>IF(E114&lt;25,"Low &lt; 25",IF(E114&lt;100,"Medium 25-99",IF(E114&lt;300,"High 100-299","Premium 300+")))</x:f>
        <x:v>Low &lt; 25</x:v>
      </x:c>
      <x:c r="Y114" t="n">
        <x:f>IF(C114="Active",1,0)</x:f>
        <x:v>1</x:v>
      </x:c>
    </x:row>
    <x:row r="115">
      <x:c r="A115" t="str">
        <x:v>SKU00114</x:v>
      </x:c>
      <x:c r="B115" t="str">
        <x:v>Sample Product 00114</x:v>
      </x:c>
      <x:c r="C115" t="str">
        <x:v>Active</x:v>
      </x:c>
      <x:c r="D115" t="str">
        <x:v>2026-02</x:v>
      </x:c>
      <x:c r="E115" s="12" t="n">
        <x:v>24.54</x:v>
      </x:c>
      <x:c r="F115" s="10" t="n">
        <x:v>0.347</x:v>
      </x:c>
      <x:c r="G115" t="str">
        <x:v>Personal Care</x:v>
      </x:c>
      <x:c r="H115" t="str">
        <x:v>Oral Care</x:v>
      </x:c>
      <x:c r="I115" t="str">
        <x:v>MFG020</x:v>
      </x:c>
      <x:c r="J115" t="str">
        <x:v>Manufacturer 020</x:v>
      </x:c>
      <x:c r="K115" t="str">
        <x:v>SUP010</x:v>
      </x:c>
      <x:c r="L115" t="str">
        <x:v>Supplier 010</x:v>
      </x:c>
      <x:c r="M115" t="str">
        <x:v>REG-304033</x:v>
      </x:c>
      <x:c r="N115" t="str">
        <x:v>Generic Ingredient 125</x:v>
      </x:c>
      <x:c r="O115" t="str">
        <x:v>General Sale</x:v>
      </x:c>
      <x:c r="P115" t="n">
        <x:v>121</x:v>
      </x:c>
      <x:c r="Q115" t="n">
        <x:v>79</x:v>
      </x:c>
      <x:c r="R115" t="n">
        <x:v>7</x:v>
      </x:c>
      <x:c r="S115" s="12" t="n">
        <x:f>E115*Q115</x:f>
        <x:v>1938.6599999999999</x:v>
      </x:c>
      <x:c r="T115" s="12" t="n">
        <x:f>ROUND(S115*F115+0.000000001,2)</x:f>
        <x:v>672.72</x:v>
      </x:c>
      <x:c r="U115" s="12" t="n">
        <x:f>E115*R115</x:f>
        <x:v>171.78</x:v>
      </x:c>
      <x:c r="V115" t="str">
        <x:f>IF(AND(C115="Active",Q115=0),"Active Zero Sales","Not Zero Sales")</x:f>
        <x:v>Not Zero Sales</x:v>
      </x:c>
      <x:c r="W115" s="12" t="n">
        <x:f>IF(V115="Active Zero Sales",U115,0)</x:f>
        <x:v>0</x:v>
      </x:c>
      <x:c r="X115" t="str">
        <x:f>IF(E115&lt;25,"Low &lt; 25",IF(E115&lt;100,"Medium 25-99",IF(E115&lt;300,"High 100-299","Premium 300+")))</x:f>
        <x:v>Low &lt; 25</x:v>
      </x:c>
      <x:c r="Y115" t="n">
        <x:f>IF(C115="Active",1,0)</x:f>
        <x:v>1</x:v>
      </x:c>
    </x:row>
    <x:row r="116">
      <x:c r="A116" t="str">
        <x:v>SKU00115</x:v>
      </x:c>
      <x:c r="B116" t="str">
        <x:v>Sample Product 00115</x:v>
      </x:c>
      <x:c r="C116" t="str">
        <x:v>Active</x:v>
      </x:c>
      <x:c r="D116" t="str">
        <x:v>2026-03</x:v>
      </x:c>
      <x:c r="E116" s="12" t="n">
        <x:v>13.28</x:v>
      </x:c>
      <x:c r="F116" s="10" t="n">
        <x:v>0.235</x:v>
      </x:c>
      <x:c r="G116" t="str">
        <x:v>General Merchandise</x:v>
      </x:c>
      <x:c r="H116" t="str">
        <x:v>Accessories</x:v>
      </x:c>
      <x:c r="I116" t="str">
        <x:v>MFG013</x:v>
      </x:c>
      <x:c r="J116" t="str">
        <x:v>Manufacturer 013</x:v>
      </x:c>
      <x:c r="K116" t="str">
        <x:v>SUP011</x:v>
      </x:c>
      <x:c r="L116" t="str">
        <x:v>Supplier 011</x:v>
      </x:c>
      <x:c r="M116" t="str">
        <x:v>REG-481984</x:v>
      </x:c>
      <x:c r="N116" t="str">
        <x:v>Generic Ingredient 084</x:v>
      </x:c>
      <x:c r="O116" t="str">
        <x:v>General Sale</x:v>
      </x:c>
      <x:c r="P116" t="n">
        <x:v>96</x:v>
      </x:c>
      <x:c r="Q116" t="n">
        <x:v>21</x:v>
      </x:c>
      <x:c r="R116" t="n">
        <x:v>50</x:v>
      </x:c>
      <x:c r="S116" s="12" t="n">
        <x:f>E116*Q116</x:f>
        <x:v>278.88</x:v>
      </x:c>
      <x:c r="T116" s="12" t="n">
        <x:f>ROUND(S116*F116+0.000000001,2)</x:f>
        <x:v>65.54</x:v>
      </x:c>
      <x:c r="U116" s="12" t="n">
        <x:f>E116*R116</x:f>
        <x:v>664</x:v>
      </x:c>
      <x:c r="V116" t="str">
        <x:f>IF(AND(C116="Active",Q116=0),"Active Zero Sales","Not Zero Sales")</x:f>
        <x:v>Not Zero Sales</x:v>
      </x:c>
      <x:c r="W116" s="12" t="n">
        <x:f>IF(V116="Active Zero Sales",U116,0)</x:f>
        <x:v>0</x:v>
      </x:c>
      <x:c r="X116" t="str">
        <x:f>IF(E116&lt;25,"Low &lt; 25",IF(E116&lt;100,"Medium 25-99",IF(E116&lt;300,"High 100-299","Premium 300+")))</x:f>
        <x:v>Low &lt; 25</x:v>
      </x:c>
      <x:c r="Y116" t="n">
        <x:f>IF(C116="Active",1,0)</x:f>
        <x:v>1</x:v>
      </x:c>
    </x:row>
    <x:row r="117">
      <x:c r="A117" t="str">
        <x:v>SKU00116</x:v>
      </x:c>
      <x:c r="B117" t="str">
        <x:v>Sample Product 00116</x:v>
      </x:c>
      <x:c r="C117" t="str">
        <x:v>Blocked</x:v>
      </x:c>
      <x:c r="D117" t="str">
        <x:v>2026-03</x:v>
      </x:c>
      <x:c r="E117" s="12" t="n">
        <x:v>219.45</x:v>
      </x:c>
      <x:c r="F117" s="10" t="n">
        <x:v>0.282</x:v>
      </x:c>
      <x:c r="G117" t="str">
        <x:v>Medical Devices</x:v>
      </x:c>
      <x:c r="H117" t="str">
        <x:v>First Aid</x:v>
      </x:c>
      <x:c r="I117" t="str">
        <x:v>MFG002</x:v>
      </x:c>
      <x:c r="J117" t="str">
        <x:v>Manufacturer 002</x:v>
      </x:c>
      <x:c r="K117" t="str">
        <x:v>SUP020</x:v>
      </x:c>
      <x:c r="L117" t="str">
        <x:v>Supplier 020</x:v>
      </x:c>
      <x:c r="M117" t="str">
        <x:v>REG-344851</x:v>
      </x:c>
      <x:c r="N117" t="str">
        <x:v>Generic Ingredient 165</x:v>
      </x:c>
      <x:c r="O117" t="str">
        <x:v>General Sale</x:v>
      </x:c>
      <x:c r="P117" t="n">
        <x:v>49</x:v>
      </x:c>
      <x:c r="Q117" t="n">
        <x:v>25</x:v>
      </x:c>
      <x:c r="R117" t="n">
        <x:v>0</x:v>
      </x:c>
      <x:c r="S117" s="12" t="n">
        <x:f>E117*Q117</x:f>
        <x:v>5486.25</x:v>
      </x:c>
      <x:c r="T117" s="12" t="n">
        <x:f>ROUND(S117*F117+0.000000001,2)</x:f>
        <x:v>1547.12</x:v>
      </x:c>
      <x:c r="U117" s="12" t="n">
        <x:f>E117*R117</x:f>
        <x:v>0</x:v>
      </x:c>
      <x:c r="V117" t="str">
        <x:f>IF(AND(C117="Active",Q117=0),"Active Zero Sales","Not Zero Sales")</x:f>
        <x:v>Not Zero Sales</x:v>
      </x:c>
      <x:c r="W117" s="12" t="n">
        <x:f>IF(V117="Active Zero Sales",U117,0)</x:f>
        <x:v>0</x:v>
      </x:c>
      <x:c r="X117" t="str">
        <x:f>IF(E117&lt;25,"Low &lt; 25",IF(E117&lt;100,"Medium 25-99",IF(E117&lt;300,"High 100-299","Premium 300+")))</x:f>
        <x:v>High 100-299</x:v>
      </x:c>
      <x:c r="Y117" t="n">
        <x:f>IF(C117="Active",1,0)</x:f>
        <x:v>0</x:v>
      </x:c>
    </x:row>
    <x:row r="118">
      <x:c r="A118" t="str">
        <x:v>SKU00117</x:v>
      </x:c>
      <x:c r="B118" t="str">
        <x:v>Sample Product 00117</x:v>
      </x:c>
      <x:c r="C118" t="str">
        <x:v>Active</x:v>
      </x:c>
      <x:c r="D118" t="str">
        <x:v>2026-05</x:v>
      </x:c>
      <x:c r="E118" s="12" t="n">
        <x:v>88.88</x:v>
      </x:c>
      <x:c r="F118" s="10" t="n">
        <x:v>0.389</x:v>
      </x:c>
      <x:c r="G118" t="str">
        <x:v>Nutrition</x:v>
      </x:c>
      <x:c r="H118" t="str">
        <x:v>Healthy Snacks</x:v>
      </x:c>
      <x:c r="I118" t="str">
        <x:v>MFG012</x:v>
      </x:c>
      <x:c r="J118" t="str">
        <x:v>Manufacturer 012</x:v>
      </x:c>
      <x:c r="K118" t="str">
        <x:v>SUP013</x:v>
      </x:c>
      <x:c r="L118" t="str">
        <x:v>Supplier 013</x:v>
      </x:c>
      <x:c r="M118" t="str">
        <x:v>REG-266031</x:v>
      </x:c>
      <x:c r="N118" t="str">
        <x:v>Generic Ingredient 135</x:v>
      </x:c>
      <x:c r="O118" t="str">
        <x:v>Restricted Sale</x:v>
      </x:c>
      <x:c r="P118" t="n">
        <x:v>63</x:v>
      </x:c>
      <x:c r="Q118" t="n">
        <x:v>25</x:v>
      </x:c>
      <x:c r="R118" t="n">
        <x:v>11</x:v>
      </x:c>
      <x:c r="S118" s="12" t="n">
        <x:f>E118*Q118</x:f>
        <x:v>2222</x:v>
      </x:c>
      <x:c r="T118" s="12" t="n">
        <x:f>ROUND(S118*F118+0.000000001,2)</x:f>
        <x:v>864.36</x:v>
      </x:c>
      <x:c r="U118" s="12" t="n">
        <x:f>E118*R118</x:f>
        <x:v>977.68</x:v>
      </x:c>
      <x:c r="V118" t="str">
        <x:f>IF(AND(C118="Active",Q118=0),"Active Zero Sales","Not Zero Sales")</x:f>
        <x:v>Not Zero Sales</x:v>
      </x:c>
      <x:c r="W118" s="12" t="n">
        <x:f>IF(V118="Active Zero Sales",U118,0)</x:f>
        <x:v>0</x:v>
      </x:c>
      <x:c r="X118" t="str">
        <x:f>IF(E118&lt;25,"Low &lt; 25",IF(E118&lt;100,"Medium 25-99",IF(E118&lt;300,"High 100-299","Premium 300+")))</x:f>
        <x:v>Medium 25-99</x:v>
      </x:c>
      <x:c r="Y118" t="n">
        <x:f>IF(C118="Active",1,0)</x:f>
        <x:v>1</x:v>
      </x:c>
    </x:row>
    <x:row r="119">
      <x:c r="A119" t="str">
        <x:v>SKU00118</x:v>
      </x:c>
      <x:c r="B119" t="str">
        <x:v>Sample Product 00118</x:v>
      </x:c>
      <x:c r="C119" t="str">
        <x:v>Active</x:v>
      </x:c>
      <x:c r="D119" t="str">
        <x:v>2026-02</x:v>
      </x:c>
      <x:c r="E119" s="12" t="n">
        <x:v>16.49</x:v>
      </x:c>
      <x:c r="F119" s="10" t="n">
        <x:v>0.33</x:v>
      </x:c>
      <x:c r="G119" t="str">
        <x:v>Nutrition</x:v>
      </x:c>
      <x:c r="H119" t="str">
        <x:v>Healthy Snacks</x:v>
      </x:c>
      <x:c r="I119" t="str">
        <x:v>MFG015</x:v>
      </x:c>
      <x:c r="J119" t="str">
        <x:v>Manufacturer 015</x:v>
      </x:c>
      <x:c r="K119" t="str">
        <x:v>SUP025</x:v>
      </x:c>
      <x:c r="L119" t="str">
        <x:v>Supplier 025</x:v>
      </x:c>
      <x:c r="M119" t="str">
        <x:v>REG-848021</x:v>
      </x:c>
      <x:c r="N119" t="str">
        <x:v>Generic Ingredient 145</x:v>
      </x:c>
      <x:c r="O119" t="str">
        <x:v>General Sale</x:v>
      </x:c>
      <x:c r="P119" t="n">
        <x:v>137</x:v>
      </x:c>
      <x:c r="Q119" t="n">
        <x:v>92</x:v>
      </x:c>
      <x:c r="R119" t="n">
        <x:v>34</x:v>
      </x:c>
      <x:c r="S119" s="12" t="n">
        <x:f>E119*Q119</x:f>
        <x:v>1517.08</x:v>
      </x:c>
      <x:c r="T119" s="12" t="n">
        <x:f>ROUND(S119*F119+0.000000001,2)</x:f>
        <x:v>500.64</x:v>
      </x:c>
      <x:c r="U119" s="12" t="n">
        <x:f>E119*R119</x:f>
        <x:v>560.66</x:v>
      </x:c>
      <x:c r="V119" t="str">
        <x:f>IF(AND(C119="Active",Q119=0),"Active Zero Sales","Not Zero Sales")</x:f>
        <x:v>Not Zero Sales</x:v>
      </x:c>
      <x:c r="W119" s="12" t="n">
        <x:f>IF(V119="Active Zero Sales",U119,0)</x:f>
        <x:v>0</x:v>
      </x:c>
      <x:c r="X119" t="str">
        <x:f>IF(E119&lt;25,"Low &lt; 25",IF(E119&lt;100,"Medium 25-99",IF(E119&lt;300,"High 100-299","Premium 300+")))</x:f>
        <x:v>Low &lt; 25</x:v>
      </x:c>
      <x:c r="Y119" t="n">
        <x:f>IF(C119="Active",1,0)</x:f>
        <x:v>1</x:v>
      </x:c>
    </x:row>
    <x:row r="120">
      <x:c r="A120" t="str">
        <x:v>SKU00119</x:v>
      </x:c>
      <x:c r="B120" t="str">
        <x:v>Sample Product 00119</x:v>
      </x:c>
      <x:c r="C120" t="str">
        <x:v>Active</x:v>
      </x:c>
      <x:c r="D120" t="str">
        <x:v>2026-01</x:v>
      </x:c>
      <x:c r="E120" s="12" t="n">
        <x:v>17.48</x:v>
      </x:c>
      <x:c r="F120" s="10" t="n">
        <x:v>0.228</x:v>
      </x:c>
      <x:c r="G120" t="str">
        <x:v>OTC &amp; Wellness</x:v>
      </x:c>
      <x:c r="H120" t="str">
        <x:v>Digestive Care</x:v>
      </x:c>
      <x:c r="I120" t="str">
        <x:v>MFG016</x:v>
      </x:c>
      <x:c r="J120" t="str">
        <x:v>Manufacturer 016</x:v>
      </x:c>
      <x:c r="K120" t="str">
        <x:v>SUP027</x:v>
      </x:c>
      <x:c r="L120" t="str">
        <x:v>Supplier 027</x:v>
      </x:c>
      <x:c r="M120" t="str">
        <x:v>REG-203929</x:v>
      </x:c>
      <x:c r="N120" t="str">
        <x:v>Generic Ingredient 053</x:v>
      </x:c>
      <x:c r="O120" t="str">
        <x:v>General Sale</x:v>
      </x:c>
      <x:c r="P120" t="n">
        <x:v>108</x:v>
      </x:c>
      <x:c r="Q120" t="n">
        <x:v>54</x:v>
      </x:c>
      <x:c r="R120" t="n">
        <x:v>20</x:v>
      </x:c>
      <x:c r="S120" s="12" t="n">
        <x:f>E120*Q120</x:f>
        <x:v>943.9200000000001</x:v>
      </x:c>
      <x:c r="T120" s="12" t="n">
        <x:f>ROUND(S120*F120+0.000000001,2)</x:f>
        <x:v>215.21</x:v>
      </x:c>
      <x:c r="U120" s="12" t="n">
        <x:f>E120*R120</x:f>
        <x:v>349.6</x:v>
      </x:c>
      <x:c r="V120" t="str">
        <x:f>IF(AND(C120="Active",Q120=0),"Active Zero Sales","Not Zero Sales")</x:f>
        <x:v>Not Zero Sales</x:v>
      </x:c>
      <x:c r="W120" s="12" t="n">
        <x:f>IF(V120="Active Zero Sales",U120,0)</x:f>
        <x:v>0</x:v>
      </x:c>
      <x:c r="X120" t="str">
        <x:f>IF(E120&lt;25,"Low &lt; 25",IF(E120&lt;100,"Medium 25-99",IF(E120&lt;300,"High 100-299","Premium 300+")))</x:f>
        <x:v>Low &lt; 25</x:v>
      </x:c>
      <x:c r="Y120" t="n">
        <x:f>IF(C120="Active",1,0)</x:f>
        <x:v>1</x:v>
      </x:c>
    </x:row>
    <x:row r="121">
      <x:c r="A121" t="str">
        <x:v>SKU00120</x:v>
      </x:c>
      <x:c r="B121" t="str">
        <x:v>Sample Product 00120</x:v>
      </x:c>
      <x:c r="C121" t="str">
        <x:v>Blocked</x:v>
      </x:c>
      <x:c r="D121" t="str">
        <x:v>2026-06</x:v>
      </x:c>
      <x:c r="E121" s="12" t="n">
        <x:v>27.39</x:v>
      </x:c>
      <x:c r="F121" s="10" t="n">
        <x:v>0.401</x:v>
      </x:c>
      <x:c r="G121" t="str">
        <x:v>Personal Care</x:v>
      </x:c>
      <x:c r="H121" t="str">
        <x:v>Skin Care</x:v>
      </x:c>
      <x:c r="I121" t="str">
        <x:v>MFG016</x:v>
      </x:c>
      <x:c r="J121" t="str">
        <x:v>Manufacturer 016</x:v>
      </x:c>
      <x:c r="K121" t="str">
        <x:v>SUP027</x:v>
      </x:c>
      <x:c r="L121" t="str">
        <x:v>Supplier 027</x:v>
      </x:c>
      <x:c r="M121" t="str">
        <x:v>REG-824814</x:v>
      </x:c>
      <x:c r="N121" t="str">
        <x:v>Generic Ingredient 165</x:v>
      </x:c>
      <x:c r="O121" t="str">
        <x:v>General Sale</x:v>
      </x:c>
      <x:c r="P121" t="n">
        <x:v>60</x:v>
      </x:c>
      <x:c r="Q121" t="n">
        <x:v>12</x:v>
      </x:c>
      <x:c r="R121" t="n">
        <x:v>0</x:v>
      </x:c>
      <x:c r="S121" s="12" t="n">
        <x:f>E121*Q121</x:f>
        <x:v>328.68</x:v>
      </x:c>
      <x:c r="T121" s="12" t="n">
        <x:f>ROUND(S121*F121+0.000000001,2)</x:f>
        <x:v>131.8</x:v>
      </x:c>
      <x:c r="U121" s="12" t="n">
        <x:f>E121*R121</x:f>
        <x:v>0</x:v>
      </x:c>
      <x:c r="V121" t="str">
        <x:f>IF(AND(C121="Active",Q121=0),"Active Zero Sales","Not Zero Sales")</x:f>
        <x:v>Not Zero Sales</x:v>
      </x:c>
      <x:c r="W121" s="12" t="n">
        <x:f>IF(V121="Active Zero Sales",U121,0)</x:f>
        <x:v>0</x:v>
      </x:c>
      <x:c r="X121" t="str">
        <x:f>IF(E121&lt;25,"Low &lt; 25",IF(E121&lt;100,"Medium 25-99",IF(E121&lt;300,"High 100-299","Premium 300+")))</x:f>
        <x:v>Medium 25-99</x:v>
      </x:c>
      <x:c r="Y121" t="n">
        <x:f>IF(C121="Active",1,0)</x:f>
        <x:v>0</x:v>
      </x:c>
    </x:row>
    <x:row r="122">
      <x:c r="A122" t="str">
        <x:v>SKU00121</x:v>
      </x:c>
      <x:c r="B122" t="str">
        <x:v>Sample Product 00121</x:v>
      </x:c>
      <x:c r="C122" t="str">
        <x:v>Active</x:v>
      </x:c>
      <x:c r="D122" t="str">
        <x:v>2026-02</x:v>
      </x:c>
      <x:c r="E122" s="12" t="n">
        <x:v>42.18</x:v>
      </x:c>
      <x:c r="F122" s="10" t="n">
        <x:v>0.393</x:v>
      </x:c>
      <x:c r="G122" t="str">
        <x:v>General Merchandise</x:v>
      </x:c>
      <x:c r="H122" t="str">
        <x:v>Travel Health</x:v>
      </x:c>
      <x:c r="I122" t="str">
        <x:v>MFG013</x:v>
      </x:c>
      <x:c r="J122" t="str">
        <x:v>Manufacturer 013</x:v>
      </x:c>
      <x:c r="K122" t="str">
        <x:v>SUP019</x:v>
      </x:c>
      <x:c r="L122" t="str">
        <x:v>Supplier 019</x:v>
      </x:c>
      <x:c r="M122" t="str">
        <x:v>REG-878749</x:v>
      </x:c>
      <x:c r="N122" t="str">
        <x:v>Generic Ingredient 019</x:v>
      </x:c>
      <x:c r="O122" t="str">
        <x:v>Pharmacy Only</x:v>
      </x:c>
      <x:c r="P122" t="n">
        <x:v>111</x:v>
      </x:c>
      <x:c r="Q122" t="n">
        <x:v>62</x:v>
      </x:c>
      <x:c r="R122" t="n">
        <x:v>23</x:v>
      </x:c>
      <x:c r="S122" s="12" t="n">
        <x:f>E122*Q122</x:f>
        <x:v>2615.16</x:v>
      </x:c>
      <x:c r="T122" s="12" t="n">
        <x:f>ROUND(S122*F122+0.000000001,2)</x:f>
        <x:v>1027.76</x:v>
      </x:c>
      <x:c r="U122" s="12" t="n">
        <x:f>E122*R122</x:f>
        <x:v>970.14</x:v>
      </x:c>
      <x:c r="V122" t="str">
        <x:f>IF(AND(C122="Active",Q122=0),"Active Zero Sales","Not Zero Sales")</x:f>
        <x:v>Not Zero Sales</x:v>
      </x:c>
      <x:c r="W122" s="12" t="n">
        <x:f>IF(V122="Active Zero Sales",U122,0)</x:f>
        <x:v>0</x:v>
      </x:c>
      <x:c r="X122" t="str">
        <x:f>IF(E122&lt;25,"Low &lt; 25",IF(E122&lt;100,"Medium 25-99",IF(E122&lt;300,"High 100-299","Premium 300+")))</x:f>
        <x:v>Medium 25-99</x:v>
      </x:c>
      <x:c r="Y122" t="n">
        <x:f>IF(C122="Active",1,0)</x:f>
        <x:v>1</x:v>
      </x:c>
    </x:row>
    <x:row r="123">
      <x:c r="A123" t="str">
        <x:v>SKU00122</x:v>
      </x:c>
      <x:c r="B123" t="str">
        <x:v>Sample Product 00122</x:v>
      </x:c>
      <x:c r="C123" t="str">
        <x:v>Active</x:v>
      </x:c>
      <x:c r="D123" t="str">
        <x:v>2026-06</x:v>
      </x:c>
      <x:c r="E123" s="12" t="n">
        <x:v>86.03</x:v>
      </x:c>
      <x:c r="F123" s="10" t="n">
        <x:v>0.309</x:v>
      </x:c>
      <x:c r="G123" t="str">
        <x:v>OTC &amp; Wellness</x:v>
      </x:c>
      <x:c r="H123" t="str">
        <x:v>Cold &amp; Allergy</x:v>
      </x:c>
      <x:c r="I123" t="str">
        <x:v>MFG020</x:v>
      </x:c>
      <x:c r="J123" t="str">
        <x:v>Manufacturer 020</x:v>
      </x:c>
      <x:c r="K123" t="str">
        <x:v>SUP016</x:v>
      </x:c>
      <x:c r="L123" t="str">
        <x:v>Supplier 016</x:v>
      </x:c>
      <x:c r="M123" t="str">
        <x:v>REG-390069</x:v>
      </x:c>
      <x:c r="N123" t="str">
        <x:v>Generic Ingredient 164</x:v>
      </x:c>
      <x:c r="O123" t="str">
        <x:v>General Sale</x:v>
      </x:c>
      <x:c r="P123" t="n">
        <x:v>66</x:v>
      </x:c>
      <x:c r="Q123" t="n">
        <x:v>20</x:v>
      </x:c>
      <x:c r="R123" t="n">
        <x:v>4</x:v>
      </x:c>
      <x:c r="S123" s="12" t="n">
        <x:f>E123*Q123</x:f>
        <x:v>1720.6</x:v>
      </x:c>
      <x:c r="T123" s="12" t="n">
        <x:f>ROUND(S123*F123+0.000000001,2)</x:f>
        <x:v>531.67</x:v>
      </x:c>
      <x:c r="U123" s="12" t="n">
        <x:f>E123*R123</x:f>
        <x:v>344.12</x:v>
      </x:c>
      <x:c r="V123" t="str">
        <x:f>IF(AND(C123="Active",Q123=0),"Active Zero Sales","Not Zero Sales")</x:f>
        <x:v>Not Zero Sales</x:v>
      </x:c>
      <x:c r="W123" s="12" t="n">
        <x:f>IF(V123="Active Zero Sales",U123,0)</x:f>
        <x:v>0</x:v>
      </x:c>
      <x:c r="X123" t="str">
        <x:f>IF(E123&lt;25,"Low &lt; 25",IF(E123&lt;100,"Medium 25-99",IF(E123&lt;300,"High 100-299","Premium 300+")))</x:f>
        <x:v>Medium 25-99</x:v>
      </x:c>
      <x:c r="Y123" t="n">
        <x:f>IF(C123="Active",1,0)</x:f>
        <x:v>1</x:v>
      </x:c>
    </x:row>
    <x:row r="124">
      <x:c r="A124" t="str">
        <x:v>SKU00123</x:v>
      </x:c>
      <x:c r="B124" t="str">
        <x:v>Sample Product 00123</x:v>
      </x:c>
      <x:c r="C124" t="str">
        <x:v>Active</x:v>
      </x:c>
      <x:c r="D124" t="str">
        <x:v>2026-02</x:v>
      </x:c>
      <x:c r="E124" s="12" t="n">
        <x:v>81.12</x:v>
      </x:c>
      <x:c r="F124" s="10" t="n">
        <x:v>0.232</x:v>
      </x:c>
      <x:c r="G124" t="str">
        <x:v>Medical Devices</x:v>
      </x:c>
      <x:c r="H124" t="str">
        <x:v>Monitoring Supplies</x:v>
      </x:c>
      <x:c r="I124" t="str">
        <x:v>MFG001</x:v>
      </x:c>
      <x:c r="J124" t="str">
        <x:v>Manufacturer 001</x:v>
      </x:c>
      <x:c r="K124" t="str">
        <x:v>SUP002</x:v>
      </x:c>
      <x:c r="L124" t="str">
        <x:v>Supplier 002</x:v>
      </x:c>
      <x:c r="M124" t="str">
        <x:v>REG-356526</x:v>
      </x:c>
      <x:c r="N124" t="str">
        <x:v>Generic Ingredient 004</x:v>
      </x:c>
      <x:c r="O124" t="str">
        <x:v>General Sale</x:v>
      </x:c>
      <x:c r="P124" t="n">
        <x:v>48</x:v>
      </x:c>
      <x:c r="Q124" t="n">
        <x:v>34</x:v>
      </x:c>
      <x:c r="R124" t="n">
        <x:v>13</x:v>
      </x:c>
      <x:c r="S124" s="12" t="n">
        <x:f>E124*Q124</x:f>
        <x:v>2758.08</x:v>
      </x:c>
      <x:c r="T124" s="12" t="n">
        <x:f>ROUND(S124*F124+0.000000001,2)</x:f>
        <x:v>639.87</x:v>
      </x:c>
      <x:c r="U124" s="12" t="n">
        <x:f>E124*R124</x:f>
        <x:v>1054.56</x:v>
      </x:c>
      <x:c r="V124" t="str">
        <x:f>IF(AND(C124="Active",Q124=0),"Active Zero Sales","Not Zero Sales")</x:f>
        <x:v>Not Zero Sales</x:v>
      </x:c>
      <x:c r="W124" s="12" t="n">
        <x:f>IF(V124="Active Zero Sales",U124,0)</x:f>
        <x:v>0</x:v>
      </x:c>
      <x:c r="X124" t="str">
        <x:f>IF(E124&lt;25,"Low &lt; 25",IF(E124&lt;100,"Medium 25-99",IF(E124&lt;300,"High 100-299","Premium 300+")))</x:f>
        <x:v>Medium 25-99</x:v>
      </x:c>
      <x:c r="Y124" t="n">
        <x:f>IF(C124="Active",1,0)</x:f>
        <x:v>1</x:v>
      </x:c>
    </x:row>
    <x:row r="125">
      <x:c r="A125" t="str">
        <x:v>SKU00124</x:v>
      </x:c>
      <x:c r="B125" t="str">
        <x:v>Sample Product 00124</x:v>
      </x:c>
      <x:c r="C125" t="str">
        <x:v>Active</x:v>
      </x:c>
      <x:c r="D125" t="str">
        <x:v>2026-02</x:v>
      </x:c>
      <x:c r="E125" s="12" t="n">
        <x:v>116.49</x:v>
      </x:c>
      <x:c r="F125" s="10" t="n">
        <x:v>0.283</x:v>
      </x:c>
      <x:c r="G125" t="str">
        <x:v>OTC &amp; Wellness</x:v>
      </x:c>
      <x:c r="H125" t="str">
        <x:v>Cold &amp; Allergy</x:v>
      </x:c>
      <x:c r="I125" t="str">
        <x:v>MFG020</x:v>
      </x:c>
      <x:c r="J125" t="str">
        <x:v>Manufacturer 020</x:v>
      </x:c>
      <x:c r="K125" t="str">
        <x:v>SUP015</x:v>
      </x:c>
      <x:c r="L125" t="str">
        <x:v>Supplier 015</x:v>
      </x:c>
      <x:c r="M125" t="str">
        <x:v>REG-430493</x:v>
      </x:c>
      <x:c r="N125" t="str">
        <x:v>Generic Ingredient 083</x:v>
      </x:c>
      <x:c r="O125" t="str">
        <x:v>Pharmacy Only</x:v>
      </x:c>
      <x:c r="P125" t="n">
        <x:v>64</x:v>
      </x:c>
      <x:c r="Q125" t="n">
        <x:v>40</x:v>
      </x:c>
      <x:c r="R125" t="n">
        <x:v>22</x:v>
      </x:c>
      <x:c r="S125" s="12" t="n">
        <x:f>E125*Q125</x:f>
        <x:v>4659.599999999999</x:v>
      </x:c>
      <x:c r="T125" s="12" t="n">
        <x:f>ROUND(S125*F125+0.000000001,2)</x:f>
        <x:v>1318.67</x:v>
      </x:c>
      <x:c r="U125" s="12" t="n">
        <x:f>E125*R125</x:f>
        <x:v>2562.7799999999997</x:v>
      </x:c>
      <x:c r="V125" t="str">
        <x:f>IF(AND(C125="Active",Q125=0),"Active Zero Sales","Not Zero Sales")</x:f>
        <x:v>Not Zero Sales</x:v>
      </x:c>
      <x:c r="W125" s="12" t="n">
        <x:f>IF(V125="Active Zero Sales",U125,0)</x:f>
        <x:v>0</x:v>
      </x:c>
      <x:c r="X125" t="str">
        <x:f>IF(E125&lt;25,"Low &lt; 25",IF(E125&lt;100,"Medium 25-99",IF(E125&lt;300,"High 100-299","Premium 300+")))</x:f>
        <x:v>High 100-299</x:v>
      </x:c>
      <x:c r="Y125" t="n">
        <x:f>IF(C125="Active",1,0)</x:f>
        <x:v>1</x:v>
      </x:c>
    </x:row>
    <x:row r="126">
      <x:c r="A126" t="str">
        <x:v>SKU00125</x:v>
      </x:c>
      <x:c r="B126" t="str">
        <x:v>Sample Product 00125</x:v>
      </x:c>
      <x:c r="C126" t="str">
        <x:v>Active</x:v>
      </x:c>
      <x:c r="D126" t="str">
        <x:v>2026-05</x:v>
      </x:c>
      <x:c r="E126" s="12" t="n">
        <x:v>203.4</x:v>
      </x:c>
      <x:c r="F126" s="10" t="n">
        <x:v>0.159</x:v>
      </x:c>
      <x:c r="G126" t="str">
        <x:v>Medical Devices</x:v>
      </x:c>
      <x:c r="H126" t="str">
        <x:v>First Aid</x:v>
      </x:c>
      <x:c r="I126" t="str">
        <x:v>MFG004</x:v>
      </x:c>
      <x:c r="J126" t="str">
        <x:v>Manufacturer 004</x:v>
      </x:c>
      <x:c r="K126" t="str">
        <x:v>SUP009</x:v>
      </x:c>
      <x:c r="L126" t="str">
        <x:v>Supplier 009</x:v>
      </x:c>
      <x:c r="M126" t="str">
        <x:v>REG-423159</x:v>
      </x:c>
      <x:c r="N126" t="str">
        <x:v>Generic Ingredient 014</x:v>
      </x:c>
      <x:c r="O126" t="str">
        <x:v>General Sale</x:v>
      </x:c>
      <x:c r="P126" t="n">
        <x:v>45</x:v>
      </x:c>
      <x:c r="Q126" t="n">
        <x:v>11</x:v>
      </x:c>
      <x:c r="R126" t="n">
        <x:v>23</x:v>
      </x:c>
      <x:c r="S126" s="12" t="n">
        <x:f>E126*Q126</x:f>
        <x:v>2237.4</x:v>
      </x:c>
      <x:c r="T126" s="12" t="n">
        <x:f>ROUND(S126*F126+0.000000001,2)</x:f>
        <x:v>355.75</x:v>
      </x:c>
      <x:c r="U126" s="12" t="n">
        <x:f>E126*R126</x:f>
        <x:v>4678.2</x:v>
      </x:c>
      <x:c r="V126" t="str">
        <x:f>IF(AND(C126="Active",Q126=0),"Active Zero Sales","Not Zero Sales")</x:f>
        <x:v>Not Zero Sales</x:v>
      </x:c>
      <x:c r="W126" s="12" t="n">
        <x:f>IF(V126="Active Zero Sales",U126,0)</x:f>
        <x:v>0</x:v>
      </x:c>
      <x:c r="X126" t="str">
        <x:f>IF(E126&lt;25,"Low &lt; 25",IF(E126&lt;100,"Medium 25-99",IF(E126&lt;300,"High 100-299","Premium 300+")))</x:f>
        <x:v>High 100-299</x:v>
      </x:c>
      <x:c r="Y126" t="n">
        <x:f>IF(C126="Active",1,0)</x:f>
        <x:v>1</x:v>
      </x:c>
    </x:row>
    <x:row r="127">
      <x:c r="A127" t="str">
        <x:v>SKU00126</x:v>
      </x:c>
      <x:c r="B127" t="str">
        <x:v>Sample Product 00126</x:v>
      </x:c>
      <x:c r="C127" t="str">
        <x:v>Active</x:v>
      </x:c>
      <x:c r="D127" t="str">
        <x:v>2026-05</x:v>
      </x:c>
      <x:c r="E127" s="12" t="n">
        <x:v>37.79</x:v>
      </x:c>
      <x:c r="F127" s="10" t="n">
        <x:v>0.303</x:v>
      </x:c>
      <x:c r="G127" t="str">
        <x:v>Nutrition</x:v>
      </x:c>
      <x:c r="H127" t="str">
        <x:v>Sports Nutrition</x:v>
      </x:c>
      <x:c r="I127" t="str">
        <x:v>MFG005</x:v>
      </x:c>
      <x:c r="J127" t="str">
        <x:v>Manufacturer 005</x:v>
      </x:c>
      <x:c r="K127" t="str">
        <x:v>SUP012</x:v>
      </x:c>
      <x:c r="L127" t="str">
        <x:v>Supplier 012</x:v>
      </x:c>
      <x:c r="M127" t="str">
        <x:v>REG-958964</x:v>
      </x:c>
      <x:c r="N127" t="str">
        <x:v>Generic Ingredient 148</x:v>
      </x:c>
      <x:c r="O127" t="str">
        <x:v>General Sale</x:v>
      </x:c>
      <x:c r="P127" t="n">
        <x:v>55</x:v>
      </x:c>
      <x:c r="Q127" t="n">
        <x:v>13</x:v>
      </x:c>
      <x:c r="R127" t="n">
        <x:v>0</x:v>
      </x:c>
      <x:c r="S127" s="12" t="n">
        <x:f>E127*Q127</x:f>
        <x:v>491.27</x:v>
      </x:c>
      <x:c r="T127" s="12" t="n">
        <x:f>ROUND(S127*F127+0.000000001,2)</x:f>
        <x:v>148.85</x:v>
      </x:c>
      <x:c r="U127" s="12" t="n">
        <x:f>E127*R127</x:f>
        <x:v>0</x:v>
      </x:c>
      <x:c r="V127" t="str">
        <x:f>IF(AND(C127="Active",Q127=0),"Active Zero Sales","Not Zero Sales")</x:f>
        <x:v>Not Zero Sales</x:v>
      </x:c>
      <x:c r="W127" s="12" t="n">
        <x:f>IF(V127="Active Zero Sales",U127,0)</x:f>
        <x:v>0</x:v>
      </x:c>
      <x:c r="X127" t="str">
        <x:f>IF(E127&lt;25,"Low &lt; 25",IF(E127&lt;100,"Medium 25-99",IF(E127&lt;300,"High 100-299","Premium 300+")))</x:f>
        <x:v>Medium 25-99</x:v>
      </x:c>
      <x:c r="Y127" t="n">
        <x:f>IF(C127="Active",1,0)</x:f>
        <x:v>1</x:v>
      </x:c>
    </x:row>
    <x:row r="128">
      <x:c r="A128" t="str">
        <x:v>SKU00127</x:v>
      </x:c>
      <x:c r="B128" t="str">
        <x:v>Sample Product 00127</x:v>
      </x:c>
      <x:c r="C128" t="str">
        <x:v>Active</x:v>
      </x:c>
      <x:c r="D128" t="str">
        <x:v>2026-02</x:v>
      </x:c>
      <x:c r="E128" s="12" t="n">
        <x:v>17.94</x:v>
      </x:c>
      <x:c r="F128" s="10" t="n">
        <x:v>0.36</x:v>
      </x:c>
      <x:c r="G128" t="str">
        <x:v>General Merchandise</x:v>
      </x:c>
      <x:c r="H128" t="str">
        <x:v>Travel Health</x:v>
      </x:c>
      <x:c r="I128" t="str">
        <x:v>MFG007</x:v>
      </x:c>
      <x:c r="J128" t="str">
        <x:v>Manufacturer 007</x:v>
      </x:c>
      <x:c r="K128" t="str">
        <x:v>SUP019</x:v>
      </x:c>
      <x:c r="L128" t="str">
        <x:v>Supplier 019</x:v>
      </x:c>
      <x:c r="M128" t="str">
        <x:v>REG-990241</x:v>
      </x:c>
      <x:c r="N128" t="str">
        <x:v>Generic Ingredient 102</x:v>
      </x:c>
      <x:c r="O128" t="str">
        <x:v>Pharmacy Only</x:v>
      </x:c>
      <x:c r="P128" t="n">
        <x:v>71</x:v>
      </x:c>
      <x:c r="Q128" t="n">
        <x:v>0</x:v>
      </x:c>
      <x:c r="R128" t="n">
        <x:v>39</x:v>
      </x:c>
      <x:c r="S128" s="12" t="n">
        <x:f>E128*Q128</x:f>
        <x:v>0</x:v>
      </x:c>
      <x:c r="T128" s="12" t="n">
        <x:f>ROUND(S128*F128+0.000000001,2)</x:f>
        <x:v>0</x:v>
      </x:c>
      <x:c r="U128" s="12" t="n">
        <x:f>E128*R128</x:f>
        <x:v>699.6600000000001</x:v>
      </x:c>
      <x:c r="V128" t="str">
        <x:f>IF(AND(C128="Active",Q128=0),"Active Zero Sales","Not Zero Sales")</x:f>
        <x:v>Active Zero Sales</x:v>
      </x:c>
      <x:c r="W128" s="12" t="n">
        <x:f>IF(V128="Active Zero Sales",U128,0)</x:f>
        <x:v>699.6600000000001</x:v>
      </x:c>
      <x:c r="X128" t="str">
        <x:f>IF(E128&lt;25,"Low &lt; 25",IF(E128&lt;100,"Medium 25-99",IF(E128&lt;300,"High 100-299","Premium 300+")))</x:f>
        <x:v>Low &lt; 25</x:v>
      </x:c>
      <x:c r="Y128" t="n">
        <x:f>IF(C128="Active",1,0)</x:f>
        <x:v>1</x:v>
      </x:c>
    </x:row>
    <x:row r="129">
      <x:c r="A129" t="str">
        <x:v>SKU00128</x:v>
      </x:c>
      <x:c r="B129" t="str">
        <x:v>Sample Product 00128</x:v>
      </x:c>
      <x:c r="C129" t="str">
        <x:v>Active</x:v>
      </x:c>
      <x:c r="D129" t="str">
        <x:v>2026-03</x:v>
      </x:c>
      <x:c r="E129" s="12" t="n">
        <x:v>69.42</x:v>
      </x:c>
      <x:c r="F129" s="10" t="n">
        <x:v>0.369</x:v>
      </x:c>
      <x:c r="G129" t="str">
        <x:v>OTC &amp; Wellness</x:v>
      </x:c>
      <x:c r="H129" t="str">
        <x:v>Digestive Care</x:v>
      </x:c>
      <x:c r="I129" t="str">
        <x:v>MFG001</x:v>
      </x:c>
      <x:c r="J129" t="str">
        <x:v>Manufacturer 001</x:v>
      </x:c>
      <x:c r="K129" t="str">
        <x:v>SUP020</x:v>
      </x:c>
      <x:c r="L129" t="str">
        <x:v>Supplier 020</x:v>
      </x:c>
      <x:c r="M129" t="str">
        <x:v>REG-489499</x:v>
      </x:c>
      <x:c r="N129" t="str">
        <x:v>Generic Ingredient 163</x:v>
      </x:c>
      <x:c r="O129" t="str">
        <x:v>General Sale</x:v>
      </x:c>
      <x:c r="P129" t="n">
        <x:v>50</x:v>
      </x:c>
      <x:c r="Q129" t="n">
        <x:v>17</x:v>
      </x:c>
      <x:c r="R129" t="n">
        <x:v>5</x:v>
      </x:c>
      <x:c r="S129" s="12" t="n">
        <x:f>E129*Q129</x:f>
        <x:v>1180.14</x:v>
      </x:c>
      <x:c r="T129" s="12" t="n">
        <x:f>ROUND(S129*F129+0.000000001,2)</x:f>
        <x:v>435.47</x:v>
      </x:c>
      <x:c r="U129" s="12" t="n">
        <x:f>E129*R129</x:f>
        <x:v>347.1</x:v>
      </x:c>
      <x:c r="V129" t="str">
        <x:f>IF(AND(C129="Active",Q129=0),"Active Zero Sales","Not Zero Sales")</x:f>
        <x:v>Not Zero Sales</x:v>
      </x:c>
      <x:c r="W129" s="12" t="n">
        <x:f>IF(V129="Active Zero Sales",U129,0)</x:f>
        <x:v>0</x:v>
      </x:c>
      <x:c r="X129" t="str">
        <x:f>IF(E129&lt;25,"Low &lt; 25",IF(E129&lt;100,"Medium 25-99",IF(E129&lt;300,"High 100-299","Premium 300+")))</x:f>
        <x:v>Medium 25-99</x:v>
      </x:c>
      <x:c r="Y129" t="n">
        <x:f>IF(C129="Active",1,0)</x:f>
        <x:v>1</x:v>
      </x:c>
    </x:row>
    <x:row r="130">
      <x:c r="A130" t="str">
        <x:v>SKU00129</x:v>
      </x:c>
      <x:c r="B130" t="str">
        <x:v>Sample Product 00129</x:v>
      </x:c>
      <x:c r="C130" t="str">
        <x:v>Blocked</x:v>
      </x:c>
      <x:c r="D130" t="str">
        <x:v>2026-01</x:v>
      </x:c>
      <x:c r="E130" s="12" t="n">
        <x:v>41.62</x:v>
      </x:c>
      <x:c r="F130" s="10" t="n">
        <x:v>0.349</x:v>
      </x:c>
      <x:c r="G130" t="str">
        <x:v>OTC &amp; Wellness</x:v>
      </x:c>
      <x:c r="H130" t="str">
        <x:v>Cold &amp; Allergy</x:v>
      </x:c>
      <x:c r="I130" t="str">
        <x:v>MFG016</x:v>
      </x:c>
      <x:c r="J130" t="str">
        <x:v>Manufacturer 016</x:v>
      </x:c>
      <x:c r="K130" t="str">
        <x:v>SUP013</x:v>
      </x:c>
      <x:c r="L130" t="str">
        <x:v>Supplier 013</x:v>
      </x:c>
      <x:c r="M130" t="str">
        <x:v>REG-437854</x:v>
      </x:c>
      <x:c r="N130" t="str">
        <x:v>Generic Ingredient 057</x:v>
      </x:c>
      <x:c r="O130" t="str">
        <x:v>Pharmacy Only</x:v>
      </x:c>
      <x:c r="P130" t="n">
        <x:v>58</x:v>
      </x:c>
      <x:c r="Q130" t="n">
        <x:v>8</x:v>
      </x:c>
      <x:c r="R130" t="n">
        <x:v>0</x:v>
      </x:c>
      <x:c r="S130" s="12" t="n">
        <x:f>E130*Q130</x:f>
        <x:v>332.96</x:v>
      </x:c>
      <x:c r="T130" s="12" t="n">
        <x:f>ROUND(S130*F130+0.000000001,2)</x:f>
        <x:v>116.2</x:v>
      </x:c>
      <x:c r="U130" s="12" t="n">
        <x:f>E130*R130</x:f>
        <x:v>0</x:v>
      </x:c>
      <x:c r="V130" t="str">
        <x:f>IF(AND(C130="Active",Q130=0),"Active Zero Sales","Not Zero Sales")</x:f>
        <x:v>Not Zero Sales</x:v>
      </x:c>
      <x:c r="W130" s="12" t="n">
        <x:f>IF(V130="Active Zero Sales",U130,0)</x:f>
        <x:v>0</x:v>
      </x:c>
      <x:c r="X130" t="str">
        <x:f>IF(E130&lt;25,"Low &lt; 25",IF(E130&lt;100,"Medium 25-99",IF(E130&lt;300,"High 100-299","Premium 300+")))</x:f>
        <x:v>Medium 25-99</x:v>
      </x:c>
      <x:c r="Y130" t="n">
        <x:f>IF(C130="Active",1,0)</x:f>
        <x:v>0</x:v>
      </x:c>
    </x:row>
    <x:row r="131">
      <x:c r="A131" t="str">
        <x:v>SKU00130</x:v>
      </x:c>
      <x:c r="B131" t="str">
        <x:v>Sample Product 00130</x:v>
      </x:c>
      <x:c r="C131" t="str">
        <x:v>Active</x:v>
      </x:c>
      <x:c r="D131" t="str">
        <x:v>2026-03</x:v>
      </x:c>
      <x:c r="E131" s="12" t="n">
        <x:v>41.56</x:v>
      </x:c>
      <x:c r="F131" s="10" t="n">
        <x:v>0.311</x:v>
      </x:c>
      <x:c r="G131" t="str">
        <x:v>Nutrition</x:v>
      </x:c>
      <x:c r="H131" t="str">
        <x:v>Healthy Snacks</x:v>
      </x:c>
      <x:c r="I131" t="str">
        <x:v>MFG016</x:v>
      </x:c>
      <x:c r="J131" t="str">
        <x:v>Manufacturer 016</x:v>
      </x:c>
      <x:c r="K131" t="str">
        <x:v>SUP010</x:v>
      </x:c>
      <x:c r="L131" t="str">
        <x:v>Supplier 010</x:v>
      </x:c>
      <x:c r="M131" t="str">
        <x:v>REG-743846</x:v>
      </x:c>
      <x:c r="N131" t="str">
        <x:v>Generic Ingredient 176</x:v>
      </x:c>
      <x:c r="O131" t="str">
        <x:v>General Sale</x:v>
      </x:c>
      <x:c r="P131" t="n">
        <x:v>21</x:v>
      </x:c>
      <x:c r="Q131" t="n">
        <x:v>9</x:v>
      </x:c>
      <x:c r="R131" t="n">
        <x:v>16</x:v>
      </x:c>
      <x:c r="S131" s="12" t="n">
        <x:f>E131*Q131</x:f>
        <x:v>374.04</x:v>
      </x:c>
      <x:c r="T131" s="12" t="n">
        <x:f>ROUND(S131*F131+0.000000001,2)</x:f>
        <x:v>116.33</x:v>
      </x:c>
      <x:c r="U131" s="12" t="n">
        <x:f>E131*R131</x:f>
        <x:v>664.96</x:v>
      </x:c>
      <x:c r="V131" t="str">
        <x:f>IF(AND(C131="Active",Q131=0),"Active Zero Sales","Not Zero Sales")</x:f>
        <x:v>Not Zero Sales</x:v>
      </x:c>
      <x:c r="W131" s="12" t="n">
        <x:f>IF(V131="Active Zero Sales",U131,0)</x:f>
        <x:v>0</x:v>
      </x:c>
      <x:c r="X131" t="str">
        <x:f>IF(E131&lt;25,"Low &lt; 25",IF(E131&lt;100,"Medium 25-99",IF(E131&lt;300,"High 100-299","Premium 300+")))</x:f>
        <x:v>Medium 25-99</x:v>
      </x:c>
      <x:c r="Y131" t="n">
        <x:f>IF(C131="Active",1,0)</x:f>
        <x:v>1</x:v>
      </x:c>
    </x:row>
    <x:row r="132">
      <x:c r="A132" t="str">
        <x:v>SKU00131</x:v>
      </x:c>
      <x:c r="B132" t="str">
        <x:v>Sample Product 00131</x:v>
      </x:c>
      <x:c r="C132" t="str">
        <x:v>Active</x:v>
      </x:c>
      <x:c r="D132" t="str">
        <x:v>2026-04</x:v>
      </x:c>
      <x:c r="E132" s="12" t="n">
        <x:v>53.62</x:v>
      </x:c>
      <x:c r="F132" s="10" t="n">
        <x:v>0.358</x:v>
      </x:c>
      <x:c r="G132" t="str">
        <x:v>Personal Care</x:v>
      </x:c>
      <x:c r="H132" t="str">
        <x:v>Hair Care</x:v>
      </x:c>
      <x:c r="I132" t="str">
        <x:v>MFG005</x:v>
      </x:c>
      <x:c r="J132" t="str">
        <x:v>Manufacturer 005</x:v>
      </x:c>
      <x:c r="K132" t="str">
        <x:v>SUP021</x:v>
      </x:c>
      <x:c r="L132" t="str">
        <x:v>Supplier 021</x:v>
      </x:c>
      <x:c r="M132" t="str">
        <x:v>REG-975129</x:v>
      </x:c>
      <x:c r="N132" t="str">
        <x:v>Generic Ingredient 047</x:v>
      </x:c>
      <x:c r="O132" t="str">
        <x:v>Pharmacy Only</x:v>
      </x:c>
      <x:c r="P132" t="n">
        <x:v>29</x:v>
      </x:c>
      <x:c r="Q132" t="n">
        <x:v>11</x:v>
      </x:c>
      <x:c r="R132" t="n">
        <x:v>11</x:v>
      </x:c>
      <x:c r="S132" s="12" t="n">
        <x:f>E132*Q132</x:f>
        <x:v>589.8199999999999</x:v>
      </x:c>
      <x:c r="T132" s="12" t="n">
        <x:f>ROUND(S132*F132+0.000000001,2)</x:f>
        <x:v>211.16</x:v>
      </x:c>
      <x:c r="U132" s="12" t="n">
        <x:f>E132*R132</x:f>
        <x:v>589.8199999999999</x:v>
      </x:c>
      <x:c r="V132" t="str">
        <x:f>IF(AND(C132="Active",Q132=0),"Active Zero Sales","Not Zero Sales")</x:f>
        <x:v>Not Zero Sales</x:v>
      </x:c>
      <x:c r="W132" s="12" t="n">
        <x:f>IF(V132="Active Zero Sales",U132,0)</x:f>
        <x:v>0</x:v>
      </x:c>
      <x:c r="X132" t="str">
        <x:f>IF(E132&lt;25,"Low &lt; 25",IF(E132&lt;100,"Medium 25-99",IF(E132&lt;300,"High 100-299","Premium 300+")))</x:f>
        <x:v>Medium 25-99</x:v>
      </x:c>
      <x:c r="Y132" t="n">
        <x:f>IF(C132="Active",1,0)</x:f>
        <x:v>1</x:v>
      </x:c>
    </x:row>
    <x:row r="133">
      <x:c r="A133" t="str">
        <x:v>SKU00132</x:v>
      </x:c>
      <x:c r="B133" t="str">
        <x:v>Sample Product 00132</x:v>
      </x:c>
      <x:c r="C133" t="str">
        <x:v>Active</x:v>
      </x:c>
      <x:c r="D133" t="str">
        <x:v>2026-03</x:v>
      </x:c>
      <x:c r="E133" s="12" t="n">
        <x:v>34.17</x:v>
      </x:c>
      <x:c r="F133" s="10" t="n">
        <x:v>0.231</x:v>
      </x:c>
      <x:c r="G133" t="str">
        <x:v>Nutrition</x:v>
      </x:c>
      <x:c r="H133" t="str">
        <x:v>Hydration</x:v>
      </x:c>
      <x:c r="I133" t="str">
        <x:v>MFG018</x:v>
      </x:c>
      <x:c r="J133" t="str">
        <x:v>Manufacturer 018</x:v>
      </x:c>
      <x:c r="K133" t="str">
        <x:v>SUP026</x:v>
      </x:c>
      <x:c r="L133" t="str">
        <x:v>Supplier 026</x:v>
      </x:c>
      <x:c r="M133" t="str">
        <x:v>REG-945715</x:v>
      </x:c>
      <x:c r="N133" t="str">
        <x:v>Generic Ingredient 060</x:v>
      </x:c>
      <x:c r="O133" t="str">
        <x:v>General Sale</x:v>
      </x:c>
      <x:c r="P133" t="n">
        <x:v>121</x:v>
      </x:c>
      <x:c r="Q133" t="n">
        <x:v>81</x:v>
      </x:c>
      <x:c r="R133" t="n">
        <x:v>10</x:v>
      </x:c>
      <x:c r="S133" s="12" t="n">
        <x:f>E133*Q133</x:f>
        <x:v>2767.77</x:v>
      </x:c>
      <x:c r="T133" s="12" t="n">
        <x:f>ROUND(S133*F133+0.000000001,2)</x:f>
        <x:v>639.35</x:v>
      </x:c>
      <x:c r="U133" s="12" t="n">
        <x:f>E133*R133</x:f>
        <x:v>341.70000000000005</x:v>
      </x:c>
      <x:c r="V133" t="str">
        <x:f>IF(AND(C133="Active",Q133=0),"Active Zero Sales","Not Zero Sales")</x:f>
        <x:v>Not Zero Sales</x:v>
      </x:c>
      <x:c r="W133" s="12" t="n">
        <x:f>IF(V133="Active Zero Sales",U133,0)</x:f>
        <x:v>0</x:v>
      </x:c>
      <x:c r="X133" t="str">
        <x:f>IF(E133&lt;25,"Low &lt; 25",IF(E133&lt;100,"Medium 25-99",IF(E133&lt;300,"High 100-299","Premium 300+")))</x:f>
        <x:v>Medium 25-99</x:v>
      </x:c>
      <x:c r="Y133" t="n">
        <x:f>IF(C133="Active",1,0)</x:f>
        <x:v>1</x:v>
      </x:c>
    </x:row>
    <x:row r="134">
      <x:c r="A134" t="str">
        <x:v>SKU00133</x:v>
      </x:c>
      <x:c r="B134" t="str">
        <x:v>Sample Product 00133</x:v>
      </x:c>
      <x:c r="C134" t="str">
        <x:v>Blocked</x:v>
      </x:c>
      <x:c r="D134" t="str">
        <x:v>2026-06</x:v>
      </x:c>
      <x:c r="E134" s="12" t="n">
        <x:v>84.73</x:v>
      </x:c>
      <x:c r="F134" s="10" t="n">
        <x:v>0.46</x:v>
      </x:c>
      <x:c r="G134" t="str">
        <x:v>Personal Care</x:v>
      </x:c>
      <x:c r="H134" t="str">
        <x:v>Hair Care</x:v>
      </x:c>
      <x:c r="I134" t="str">
        <x:v>MFG006</x:v>
      </x:c>
      <x:c r="J134" t="str">
        <x:v>Manufacturer 006</x:v>
      </x:c>
      <x:c r="K134" t="str">
        <x:v>SUP017</x:v>
      </x:c>
      <x:c r="L134" t="str">
        <x:v>Supplier 017</x:v>
      </x:c>
      <x:c r="M134" t="str">
        <x:v>REG-642409</x:v>
      </x:c>
      <x:c r="N134" t="str">
        <x:v>Generic Ingredient 070</x:v>
      </x:c>
      <x:c r="O134" t="str">
        <x:v>General Sale</x:v>
      </x:c>
      <x:c r="P134" t="n">
        <x:v>22</x:v>
      </x:c>
      <x:c r="Q134" t="n">
        <x:v>20</x:v>
      </x:c>
      <x:c r="R134" t="n">
        <x:v>0</x:v>
      </x:c>
      <x:c r="S134" s="12" t="n">
        <x:f>E134*Q134</x:f>
        <x:v>1694.6000000000001</x:v>
      </x:c>
      <x:c r="T134" s="12" t="n">
        <x:f>ROUND(S134*F134+0.000000001,2)</x:f>
        <x:v>779.52</x:v>
      </x:c>
      <x:c r="U134" s="12" t="n">
        <x:f>E134*R134</x:f>
        <x:v>0</x:v>
      </x:c>
      <x:c r="V134" t="str">
        <x:f>IF(AND(C134="Active",Q134=0),"Active Zero Sales","Not Zero Sales")</x:f>
        <x:v>Not Zero Sales</x:v>
      </x:c>
      <x:c r="W134" s="12" t="n">
        <x:f>IF(V134="Active Zero Sales",U134,0)</x:f>
        <x:v>0</x:v>
      </x:c>
      <x:c r="X134" t="str">
        <x:f>IF(E134&lt;25,"Low &lt; 25",IF(E134&lt;100,"Medium 25-99",IF(E134&lt;300,"High 100-299","Premium 300+")))</x:f>
        <x:v>Medium 25-99</x:v>
      </x:c>
      <x:c r="Y134" t="n">
        <x:f>IF(C134="Active",1,0)</x:f>
        <x:v>0</x:v>
      </x:c>
    </x:row>
    <x:row r="135">
      <x:c r="A135" t="str">
        <x:v>SKU00134</x:v>
      </x:c>
      <x:c r="B135" t="str">
        <x:v>Sample Product 00134</x:v>
      </x:c>
      <x:c r="C135" t="str">
        <x:v>Active</x:v>
      </x:c>
      <x:c r="D135" t="str">
        <x:v>2026-03</x:v>
      </x:c>
      <x:c r="E135" s="12" t="n">
        <x:v>66.55</x:v>
      </x:c>
      <x:c r="F135" s="10" t="n">
        <x:v>0.295</x:v>
      </x:c>
      <x:c r="G135" t="str">
        <x:v>Medical Devices</x:v>
      </x:c>
      <x:c r="H135" t="str">
        <x:v>Monitoring Supplies</x:v>
      </x:c>
      <x:c r="I135" t="str">
        <x:v>MFG007</x:v>
      </x:c>
      <x:c r="J135" t="str">
        <x:v>Manufacturer 007</x:v>
      </x:c>
      <x:c r="K135" t="str">
        <x:v>SUP028</x:v>
      </x:c>
      <x:c r="L135" t="str">
        <x:v>Supplier 028</x:v>
      </x:c>
      <x:c r="M135" t="str">
        <x:v>REG-131019</x:v>
      </x:c>
      <x:c r="N135" t="str">
        <x:v>Generic Ingredient 037</x:v>
      </x:c>
      <x:c r="O135" t="str">
        <x:v>General Sale</x:v>
      </x:c>
      <x:c r="P135" t="n">
        <x:v>57</x:v>
      </x:c>
      <x:c r="Q135" t="n">
        <x:v>44</x:v>
      </x:c>
      <x:c r="R135" t="n">
        <x:v>11</x:v>
      </x:c>
      <x:c r="S135" s="12" t="n">
        <x:f>E135*Q135</x:f>
        <x:v>2928.2</x:v>
      </x:c>
      <x:c r="T135" s="12" t="n">
        <x:f>ROUND(S135*F135+0.000000001,2)</x:f>
        <x:v>863.82</x:v>
      </x:c>
      <x:c r="U135" s="12" t="n">
        <x:f>E135*R135</x:f>
        <x:v>732.05</x:v>
      </x:c>
      <x:c r="V135" t="str">
        <x:f>IF(AND(C135="Active",Q135=0),"Active Zero Sales","Not Zero Sales")</x:f>
        <x:v>Not Zero Sales</x:v>
      </x:c>
      <x:c r="W135" s="12" t="n">
        <x:f>IF(V135="Active Zero Sales",U135,0)</x:f>
        <x:v>0</x:v>
      </x:c>
      <x:c r="X135" t="str">
        <x:f>IF(E135&lt;25,"Low &lt; 25",IF(E135&lt;100,"Medium 25-99",IF(E135&lt;300,"High 100-299","Premium 300+")))</x:f>
        <x:v>Medium 25-99</x:v>
      </x:c>
      <x:c r="Y135" t="n">
        <x:f>IF(C135="Active",1,0)</x:f>
        <x:v>1</x:v>
      </x:c>
    </x:row>
    <x:row r="136">
      <x:c r="A136" t="str">
        <x:v>SKU00135</x:v>
      </x:c>
      <x:c r="B136" t="str">
        <x:v>Sample Product 00135</x:v>
      </x:c>
      <x:c r="C136" t="str">
        <x:v>Active</x:v>
      </x:c>
      <x:c r="D136" t="str">
        <x:v>2026-06</x:v>
      </x:c>
      <x:c r="E136" s="12" t="n">
        <x:v>17.72</x:v>
      </x:c>
      <x:c r="F136" s="10" t="n">
        <x:v>0.272</x:v>
      </x:c>
      <x:c r="G136" t="str">
        <x:v>OTC &amp; Wellness</x:v>
      </x:c>
      <x:c r="H136" t="str">
        <x:v>Vitamins</x:v>
      </x:c>
      <x:c r="I136" t="str">
        <x:v>MFG009</x:v>
      </x:c>
      <x:c r="J136" t="str">
        <x:v>Manufacturer 009</x:v>
      </x:c>
      <x:c r="K136" t="str">
        <x:v>SUP026</x:v>
      </x:c>
      <x:c r="L136" t="str">
        <x:v>Supplier 026</x:v>
      </x:c>
      <x:c r="M136" t="str">
        <x:v>REG-389268</x:v>
      </x:c>
      <x:c r="N136" t="str">
        <x:v>Generic Ingredient 111</x:v>
      </x:c>
      <x:c r="O136" t="str">
        <x:v>General Sale</x:v>
      </x:c>
      <x:c r="P136" t="n">
        <x:v>66</x:v>
      </x:c>
      <x:c r="Q136" t="n">
        <x:v>0</x:v>
      </x:c>
      <x:c r="R136" t="n">
        <x:v>25</x:v>
      </x:c>
      <x:c r="S136" s="12" t="n">
        <x:f>E136*Q136</x:f>
        <x:v>0</x:v>
      </x:c>
      <x:c r="T136" s="12" t="n">
        <x:f>ROUND(S136*F136+0.000000001,2)</x:f>
        <x:v>0</x:v>
      </x:c>
      <x:c r="U136" s="12" t="n">
        <x:f>E136*R136</x:f>
        <x:v>443</x:v>
      </x:c>
      <x:c r="V136" t="str">
        <x:f>IF(AND(C136="Active",Q136=0),"Active Zero Sales","Not Zero Sales")</x:f>
        <x:v>Active Zero Sales</x:v>
      </x:c>
      <x:c r="W136" s="12" t="n">
        <x:f>IF(V136="Active Zero Sales",U136,0)</x:f>
        <x:v>443</x:v>
      </x:c>
      <x:c r="X136" t="str">
        <x:f>IF(E136&lt;25,"Low &lt; 25",IF(E136&lt;100,"Medium 25-99",IF(E136&lt;300,"High 100-299","Premium 300+")))</x:f>
        <x:v>Low &lt; 25</x:v>
      </x:c>
      <x:c r="Y136" t="n">
        <x:f>IF(C136="Active",1,0)</x:f>
        <x:v>1</x:v>
      </x:c>
    </x:row>
    <x:row r="137">
      <x:c r="A137" t="str">
        <x:v>SKU00136</x:v>
      </x:c>
      <x:c r="B137" t="str">
        <x:v>Sample Product 00136</x:v>
      </x:c>
      <x:c r="C137" t="str">
        <x:v>Active</x:v>
      </x:c>
      <x:c r="D137" t="str">
        <x:v>2026-06</x:v>
      </x:c>
      <x:c r="E137" s="12" t="n">
        <x:v>65.46</x:v>
      </x:c>
      <x:c r="F137" s="10" t="n">
        <x:v>0.304</x:v>
      </x:c>
      <x:c r="G137" t="str">
        <x:v>General Merchandise</x:v>
      </x:c>
      <x:c r="H137" t="str">
        <x:v>Seasonal Care</x:v>
      </x:c>
      <x:c r="I137" t="str">
        <x:v>MFG011</x:v>
      </x:c>
      <x:c r="J137" t="str">
        <x:v>Manufacturer 011</x:v>
      </x:c>
      <x:c r="K137" t="str">
        <x:v>SUP023</x:v>
      </x:c>
      <x:c r="L137" t="str">
        <x:v>Supplier 023</x:v>
      </x:c>
      <x:c r="M137" t="str">
        <x:v>REG-283641</x:v>
      </x:c>
      <x:c r="N137" t="str">
        <x:v>Generic Ingredient 114</x:v>
      </x:c>
      <x:c r="O137" t="str">
        <x:v>General Sale</x:v>
      </x:c>
      <x:c r="P137" t="n">
        <x:v>92</x:v>
      </x:c>
      <x:c r="Q137" t="n">
        <x:v>64</x:v>
      </x:c>
      <x:c r="R137" t="n">
        <x:v>31</x:v>
      </x:c>
      <x:c r="S137" s="12" t="n">
        <x:f>E137*Q137</x:f>
        <x:v>4189.44</x:v>
      </x:c>
      <x:c r="T137" s="12" t="n">
        <x:f>ROUND(S137*F137+0.000000001,2)</x:f>
        <x:v>1273.59</x:v>
      </x:c>
      <x:c r="U137" s="12" t="n">
        <x:f>E137*R137</x:f>
        <x:v>2029.2599999999998</x:v>
      </x:c>
      <x:c r="V137" t="str">
        <x:f>IF(AND(C137="Active",Q137=0),"Active Zero Sales","Not Zero Sales")</x:f>
        <x:v>Not Zero Sales</x:v>
      </x:c>
      <x:c r="W137" s="12" t="n">
        <x:f>IF(V137="Active Zero Sales",U137,0)</x:f>
        <x:v>0</x:v>
      </x:c>
      <x:c r="X137" t="str">
        <x:f>IF(E137&lt;25,"Low &lt; 25",IF(E137&lt;100,"Medium 25-99",IF(E137&lt;300,"High 100-299","Premium 300+")))</x:f>
        <x:v>Medium 25-99</x:v>
      </x:c>
      <x:c r="Y137" t="n">
        <x:f>IF(C137="Active",1,0)</x:f>
        <x:v>1</x:v>
      </x:c>
    </x:row>
    <x:row r="138">
      <x:c r="A138" t="str">
        <x:v>SKU00137</x:v>
      </x:c>
      <x:c r="B138" t="str">
        <x:v>Sample Product 00137</x:v>
      </x:c>
      <x:c r="C138" t="str">
        <x:v>Active</x:v>
      </x:c>
      <x:c r="D138" t="str">
        <x:v>2026-06</x:v>
      </x:c>
      <x:c r="E138" s="12" t="n">
        <x:v>13.49</x:v>
      </x:c>
      <x:c r="F138" s="10" t="n">
        <x:v>0.33</x:v>
      </x:c>
      <x:c r="G138" t="str">
        <x:v>OTC &amp; Wellness</x:v>
      </x:c>
      <x:c r="H138" t="str">
        <x:v>Pain Relief</x:v>
      </x:c>
      <x:c r="I138" t="str">
        <x:v>MFG011</x:v>
      </x:c>
      <x:c r="J138" t="str">
        <x:v>Manufacturer 011</x:v>
      </x:c>
      <x:c r="K138" t="str">
        <x:v>SUP027</x:v>
      </x:c>
      <x:c r="L138" t="str">
        <x:v>Supplier 027</x:v>
      </x:c>
      <x:c r="M138" t="str">
        <x:v>REG-119045</x:v>
      </x:c>
      <x:c r="N138" t="str">
        <x:v>Generic Ingredient 077</x:v>
      </x:c>
      <x:c r="O138" t="str">
        <x:v>General Sale</x:v>
      </x:c>
      <x:c r="P138" t="n">
        <x:v>101</x:v>
      </x:c>
      <x:c r="Q138" t="n">
        <x:v>47</x:v>
      </x:c>
      <x:c r="R138" t="n">
        <x:v>8</x:v>
      </x:c>
      <x:c r="S138" s="12" t="n">
        <x:f>E138*Q138</x:f>
        <x:v>634.03</x:v>
      </x:c>
      <x:c r="T138" s="12" t="n">
        <x:f>ROUND(S138*F138+0.000000001,2)</x:f>
        <x:v>209.23</x:v>
      </x:c>
      <x:c r="U138" s="12" t="n">
        <x:f>E138*R138</x:f>
        <x:v>107.92</x:v>
      </x:c>
      <x:c r="V138" t="str">
        <x:f>IF(AND(C138="Active",Q138=0),"Active Zero Sales","Not Zero Sales")</x:f>
        <x:v>Not Zero Sales</x:v>
      </x:c>
      <x:c r="W138" s="12" t="n">
        <x:f>IF(V138="Active Zero Sales",U138,0)</x:f>
        <x:v>0</x:v>
      </x:c>
      <x:c r="X138" t="str">
        <x:f>IF(E138&lt;25,"Low &lt; 25",IF(E138&lt;100,"Medium 25-99",IF(E138&lt;300,"High 100-299","Premium 300+")))</x:f>
        <x:v>Low &lt; 25</x:v>
      </x:c>
      <x:c r="Y138" t="n">
        <x:f>IF(C138="Active",1,0)</x:f>
        <x:v>1</x:v>
      </x:c>
    </x:row>
    <x:row r="139">
      <x:c r="A139" t="str">
        <x:v>SKU00138</x:v>
      </x:c>
      <x:c r="B139" t="str">
        <x:v>Sample Product 00138</x:v>
      </x:c>
      <x:c r="C139" t="str">
        <x:v>Active</x:v>
      </x:c>
      <x:c r="D139" t="str">
        <x:v>2026-06</x:v>
      </x:c>
      <x:c r="E139" s="12" t="n">
        <x:v>81.23</x:v>
      </x:c>
      <x:c r="F139" s="10" t="n">
        <x:v>0.283</x:v>
      </x:c>
      <x:c r="G139" t="str">
        <x:v>OTC &amp; Wellness</x:v>
      </x:c>
      <x:c r="H139" t="str">
        <x:v>Digestive Care</x:v>
      </x:c>
      <x:c r="I139" t="str">
        <x:v>MFG001</x:v>
      </x:c>
      <x:c r="J139" t="str">
        <x:v>Manufacturer 001</x:v>
      </x:c>
      <x:c r="K139" t="str">
        <x:v>SUP009</x:v>
      </x:c>
      <x:c r="L139" t="str">
        <x:v>Supplier 009</x:v>
      </x:c>
      <x:c r="M139" t="str">
        <x:v>REG-827062</x:v>
      </x:c>
      <x:c r="N139" t="str">
        <x:v>Generic Ingredient 046</x:v>
      </x:c>
      <x:c r="O139" t="str">
        <x:v>General Sale</x:v>
      </x:c>
      <x:c r="P139" t="n">
        <x:v>17</x:v>
      </x:c>
      <x:c r="Q139" t="n">
        <x:v>19</x:v>
      </x:c>
      <x:c r="R139" t="n">
        <x:v>8</x:v>
      </x:c>
      <x:c r="S139" s="12" t="n">
        <x:f>E139*Q139</x:f>
        <x:v>1543.3700000000001</x:v>
      </x:c>
      <x:c r="T139" s="12" t="n">
        <x:f>ROUND(S139*F139+0.000000001,2)</x:f>
        <x:v>436.77</x:v>
      </x:c>
      <x:c r="U139" s="12" t="n">
        <x:f>E139*R139</x:f>
        <x:v>649.84</x:v>
      </x:c>
      <x:c r="V139" t="str">
        <x:f>IF(AND(C139="Active",Q139=0),"Active Zero Sales","Not Zero Sales")</x:f>
        <x:v>Not Zero Sales</x:v>
      </x:c>
      <x:c r="W139" s="12" t="n">
        <x:f>IF(V139="Active Zero Sales",U139,0)</x:f>
        <x:v>0</x:v>
      </x:c>
      <x:c r="X139" t="str">
        <x:f>IF(E139&lt;25,"Low &lt; 25",IF(E139&lt;100,"Medium 25-99",IF(E139&lt;300,"High 100-299","Premium 300+")))</x:f>
        <x:v>Medium 25-99</x:v>
      </x:c>
      <x:c r="Y139" t="n">
        <x:f>IF(C139="Active",1,0)</x:f>
        <x:v>1</x:v>
      </x:c>
    </x:row>
    <x:row r="140">
      <x:c r="A140" t="str">
        <x:v>SKU00139</x:v>
      </x:c>
      <x:c r="B140" t="str">
        <x:v>Sample Product 00139</x:v>
      </x:c>
      <x:c r="C140" t="str">
        <x:v>Active</x:v>
      </x:c>
      <x:c r="D140" t="str">
        <x:v>2026-01</x:v>
      </x:c>
      <x:c r="E140" s="12" t="n">
        <x:v>283.14</x:v>
      </x:c>
      <x:c r="F140" s="10" t="n">
        <x:v>0.495</x:v>
      </x:c>
      <x:c r="G140" t="str">
        <x:v>Personal Care</x:v>
      </x:c>
      <x:c r="H140" t="str">
        <x:v>Hygiene</x:v>
      </x:c>
      <x:c r="I140" t="str">
        <x:v>MFG004</x:v>
      </x:c>
      <x:c r="J140" t="str">
        <x:v>Manufacturer 004</x:v>
      </x:c>
      <x:c r="K140" t="str">
        <x:v>SUP023</x:v>
      </x:c>
      <x:c r="L140" t="str">
        <x:v>Supplier 023</x:v>
      </x:c>
      <x:c r="M140" t="str">
        <x:v>REG-534797</x:v>
      </x:c>
      <x:c r="N140" t="str">
        <x:v>Generic Ingredient 058</x:v>
      </x:c>
      <x:c r="O140" t="str">
        <x:v>Pharmacy Only</x:v>
      </x:c>
      <x:c r="P140" t="n">
        <x:v>37</x:v>
      </x:c>
      <x:c r="Q140" t="n">
        <x:v>9</x:v>
      </x:c>
      <x:c r="R140" t="n">
        <x:v>8</x:v>
      </x:c>
      <x:c r="S140" s="12" t="n">
        <x:f>E140*Q140</x:f>
        <x:v>2548.2599999999998</x:v>
      </x:c>
      <x:c r="T140" s="12" t="n">
        <x:f>ROUND(S140*F140+0.000000001,2)</x:f>
        <x:v>1261.39</x:v>
      </x:c>
      <x:c r="U140" s="12" t="n">
        <x:f>E140*R140</x:f>
        <x:v>2265.12</x:v>
      </x:c>
      <x:c r="V140" t="str">
        <x:f>IF(AND(C140="Active",Q140=0),"Active Zero Sales","Not Zero Sales")</x:f>
        <x:v>Not Zero Sales</x:v>
      </x:c>
      <x:c r="W140" s="12" t="n">
        <x:f>IF(V140="Active Zero Sales",U140,0)</x:f>
        <x:v>0</x:v>
      </x:c>
      <x:c r="X140" t="str">
        <x:f>IF(E140&lt;25,"Low &lt; 25",IF(E140&lt;100,"Medium 25-99",IF(E140&lt;300,"High 100-299","Premium 300+")))</x:f>
        <x:v>High 100-299</x:v>
      </x:c>
      <x:c r="Y140" t="n">
        <x:f>IF(C140="Active",1,0)</x:f>
        <x:v>1</x:v>
      </x:c>
    </x:row>
    <x:row r="141">
      <x:c r="A141" t="str">
        <x:v>SKU00140</x:v>
      </x:c>
      <x:c r="B141" t="str">
        <x:v>Sample Product 00140</x:v>
      </x:c>
      <x:c r="C141" t="str">
        <x:v>Active</x:v>
      </x:c>
      <x:c r="D141" t="str">
        <x:v>2026-01</x:v>
      </x:c>
      <x:c r="E141" s="12" t="n">
        <x:v>29.71</x:v>
      </x:c>
      <x:c r="F141" s="10" t="n">
        <x:v>0.202</x:v>
      </x:c>
      <x:c r="G141" t="str">
        <x:v>Medical Devices</x:v>
      </x:c>
      <x:c r="H141" t="str">
        <x:v>Mobility Aids</x:v>
      </x:c>
      <x:c r="I141" t="str">
        <x:v>MFG003</x:v>
      </x:c>
      <x:c r="J141" t="str">
        <x:v>Manufacturer 003</x:v>
      </x:c>
      <x:c r="K141" t="str">
        <x:v>SUP011</x:v>
      </x:c>
      <x:c r="L141" t="str">
        <x:v>Supplier 011</x:v>
      </x:c>
      <x:c r="M141" t="str">
        <x:v>REG-459185</x:v>
      </x:c>
      <x:c r="N141" t="str">
        <x:v>Generic Ingredient 171</x:v>
      </x:c>
      <x:c r="O141" t="str">
        <x:v>General Sale</x:v>
      </x:c>
      <x:c r="P141" t="n">
        <x:v>67</x:v>
      </x:c>
      <x:c r="Q141" t="n">
        <x:v>32</x:v>
      </x:c>
      <x:c r="R141" t="n">
        <x:v>27</x:v>
      </x:c>
      <x:c r="S141" s="12" t="n">
        <x:f>E141*Q141</x:f>
        <x:v>950.72</x:v>
      </x:c>
      <x:c r="T141" s="12" t="n">
        <x:f>ROUND(S141*F141+0.000000001,2)</x:f>
        <x:v>192.05</x:v>
      </x:c>
      <x:c r="U141" s="12" t="n">
        <x:f>E141*R141</x:f>
        <x:v>802.1700000000001</x:v>
      </x:c>
      <x:c r="V141" t="str">
        <x:f>IF(AND(C141="Active",Q141=0),"Active Zero Sales","Not Zero Sales")</x:f>
        <x:v>Not Zero Sales</x:v>
      </x:c>
      <x:c r="W141" s="12" t="n">
        <x:f>IF(V141="Active Zero Sales",U141,0)</x:f>
        <x:v>0</x:v>
      </x:c>
      <x:c r="X141" t="str">
        <x:f>IF(E141&lt;25,"Low &lt; 25",IF(E141&lt;100,"Medium 25-99",IF(E141&lt;300,"High 100-299","Premium 300+")))</x:f>
        <x:v>Medium 25-99</x:v>
      </x:c>
      <x:c r="Y141" t="n">
        <x:f>IF(C141="Active",1,0)</x:f>
        <x:v>1</x:v>
      </x:c>
    </x:row>
    <x:row r="142">
      <x:c r="A142" t="str">
        <x:v>SKU00141</x:v>
      </x:c>
      <x:c r="B142" t="str">
        <x:v>Sample Product 00141</x:v>
      </x:c>
      <x:c r="C142" t="str">
        <x:v>Active</x:v>
      </x:c>
      <x:c r="D142" t="str">
        <x:v>2026-03</x:v>
      </x:c>
      <x:c r="E142" s="12" t="n">
        <x:v>5.22</x:v>
      </x:c>
      <x:c r="F142" s="10" t="n">
        <x:v>0.263</x:v>
      </x:c>
      <x:c r="G142" t="str">
        <x:v>Medical Devices</x:v>
      </x:c>
      <x:c r="H142" t="str">
        <x:v>Home Diagnostics</x:v>
      </x:c>
      <x:c r="I142" t="str">
        <x:v>MFG018</x:v>
      </x:c>
      <x:c r="J142" t="str">
        <x:v>Manufacturer 018</x:v>
      </x:c>
      <x:c r="K142" t="str">
        <x:v>SUP003</x:v>
      </x:c>
      <x:c r="L142" t="str">
        <x:v>Supplier 003</x:v>
      </x:c>
      <x:c r="M142" t="str">
        <x:v>REG-489314</x:v>
      </x:c>
      <x:c r="N142" t="str">
        <x:v>Generic Ingredient 178</x:v>
      </x:c>
      <x:c r="O142" t="str">
        <x:v>General Sale</x:v>
      </x:c>
      <x:c r="P142" t="n">
        <x:v>60</x:v>
      </x:c>
      <x:c r="Q142" t="n">
        <x:v>12</x:v>
      </x:c>
      <x:c r="R142" t="n">
        <x:v>11</x:v>
      </x:c>
      <x:c r="S142" s="12" t="n">
        <x:f>E142*Q142</x:f>
        <x:v>62.64</x:v>
      </x:c>
      <x:c r="T142" s="12" t="n">
        <x:f>ROUND(S142*F142+0.000000001,2)</x:f>
        <x:v>16.47</x:v>
      </x:c>
      <x:c r="U142" s="12" t="n">
        <x:f>E142*R142</x:f>
        <x:v>57.419999999999995</x:v>
      </x:c>
      <x:c r="V142" t="str">
        <x:f>IF(AND(C142="Active",Q142=0),"Active Zero Sales","Not Zero Sales")</x:f>
        <x:v>Not Zero Sales</x:v>
      </x:c>
      <x:c r="W142" s="12" t="n">
        <x:f>IF(V142="Active Zero Sales",U142,0)</x:f>
        <x:v>0</x:v>
      </x:c>
      <x:c r="X142" t="str">
        <x:f>IF(E142&lt;25,"Low &lt; 25",IF(E142&lt;100,"Medium 25-99",IF(E142&lt;300,"High 100-299","Premium 300+")))</x:f>
        <x:v>Low &lt; 25</x:v>
      </x:c>
      <x:c r="Y142" t="n">
        <x:f>IF(C142="Active",1,0)</x:f>
        <x:v>1</x:v>
      </x:c>
    </x:row>
    <x:row r="143">
      <x:c r="A143" t="str">
        <x:v>SKU00142</x:v>
      </x:c>
      <x:c r="B143" t="str">
        <x:v>Sample Product 00142</x:v>
      </x:c>
      <x:c r="C143" t="str">
        <x:v>Active</x:v>
      </x:c>
      <x:c r="D143" t="str">
        <x:v>2026-06</x:v>
      </x:c>
      <x:c r="E143" s="12" t="n">
        <x:v>33.82</x:v>
      </x:c>
      <x:c r="F143" s="10" t="n">
        <x:v>0.352</x:v>
      </x:c>
      <x:c r="G143" t="str">
        <x:v>General Merchandise</x:v>
      </x:c>
      <x:c r="H143" t="str">
        <x:v>Baby Essentials</x:v>
      </x:c>
      <x:c r="I143" t="str">
        <x:v>MFG010</x:v>
      </x:c>
      <x:c r="J143" t="str">
        <x:v>Manufacturer 010</x:v>
      </x:c>
      <x:c r="K143" t="str">
        <x:v>SUP001</x:v>
      </x:c>
      <x:c r="L143" t="str">
        <x:v>Supplier 001</x:v>
      </x:c>
      <x:c r="M143" t="str">
        <x:v>REG-526155</x:v>
      </x:c>
      <x:c r="N143" t="str">
        <x:v>Generic Ingredient 169</x:v>
      </x:c>
      <x:c r="O143" t="str">
        <x:v>General Sale</x:v>
      </x:c>
      <x:c r="P143" t="n">
        <x:v>26</x:v>
      </x:c>
      <x:c r="Q143" t="n">
        <x:v>11</x:v>
      </x:c>
      <x:c r="R143" t="n">
        <x:v>0</x:v>
      </x:c>
      <x:c r="S143" s="12" t="n">
        <x:f>E143*Q143</x:f>
        <x:v>372.02</x:v>
      </x:c>
      <x:c r="T143" s="12" t="n">
        <x:f>ROUND(S143*F143+0.000000001,2)</x:f>
        <x:v>130.95</x:v>
      </x:c>
      <x:c r="U143" s="12" t="n">
        <x:f>E143*R143</x:f>
        <x:v>0</x:v>
      </x:c>
      <x:c r="V143" t="str">
        <x:f>IF(AND(C143="Active",Q143=0),"Active Zero Sales","Not Zero Sales")</x:f>
        <x:v>Not Zero Sales</x:v>
      </x:c>
      <x:c r="W143" s="12" t="n">
        <x:f>IF(V143="Active Zero Sales",U143,0)</x:f>
        <x:v>0</x:v>
      </x:c>
      <x:c r="X143" t="str">
        <x:f>IF(E143&lt;25,"Low &lt; 25",IF(E143&lt;100,"Medium 25-99",IF(E143&lt;300,"High 100-299","Premium 300+")))</x:f>
        <x:v>Medium 25-99</x:v>
      </x:c>
      <x:c r="Y143" t="n">
        <x:f>IF(C143="Active",1,0)</x:f>
        <x:v>1</x:v>
      </x:c>
    </x:row>
    <x:row r="144">
      <x:c r="A144" t="str">
        <x:v>SKU00143</x:v>
      </x:c>
      <x:c r="B144" t="str">
        <x:v>Sample Product 00143</x:v>
      </x:c>
      <x:c r="C144" t="str">
        <x:v>Active</x:v>
      </x:c>
      <x:c r="D144" t="str">
        <x:v>2026-03</x:v>
      </x:c>
      <x:c r="E144" s="12" t="n">
        <x:v>113.12</x:v>
      </x:c>
      <x:c r="F144" s="10" t="n">
        <x:v>0.465</x:v>
      </x:c>
      <x:c r="G144" t="str">
        <x:v>Personal Care</x:v>
      </x:c>
      <x:c r="H144" t="str">
        <x:v>Skin Care</x:v>
      </x:c>
      <x:c r="I144" t="str">
        <x:v>MFG007</x:v>
      </x:c>
      <x:c r="J144" t="str">
        <x:v>Manufacturer 007</x:v>
      </x:c>
      <x:c r="K144" t="str">
        <x:v>SUP011</x:v>
      </x:c>
      <x:c r="L144" t="str">
        <x:v>Supplier 011</x:v>
      </x:c>
      <x:c r="M144" t="str">
        <x:v>REG-570847</x:v>
      </x:c>
      <x:c r="N144" t="str">
        <x:v>Generic Ingredient 118</x:v>
      </x:c>
      <x:c r="O144" t="str">
        <x:v>General Sale</x:v>
      </x:c>
      <x:c r="P144" t="n">
        <x:v>53</x:v>
      </x:c>
      <x:c r="Q144" t="n">
        <x:v>41</x:v>
      </x:c>
      <x:c r="R144" t="n">
        <x:v>18</x:v>
      </x:c>
      <x:c r="S144" s="12" t="n">
        <x:f>E144*Q144</x:f>
        <x:v>4637.92</x:v>
      </x:c>
      <x:c r="T144" s="12" t="n">
        <x:f>ROUND(S144*F144+0.000000001,2)</x:f>
        <x:v>2156.63</x:v>
      </x:c>
      <x:c r="U144" s="12" t="n">
        <x:f>E144*R144</x:f>
        <x:v>2036.16</x:v>
      </x:c>
      <x:c r="V144" t="str">
        <x:f>IF(AND(C144="Active",Q144=0),"Active Zero Sales","Not Zero Sales")</x:f>
        <x:v>Not Zero Sales</x:v>
      </x:c>
      <x:c r="W144" s="12" t="n">
        <x:f>IF(V144="Active Zero Sales",U144,0)</x:f>
        <x:v>0</x:v>
      </x:c>
      <x:c r="X144" t="str">
        <x:f>IF(E144&lt;25,"Low &lt; 25",IF(E144&lt;100,"Medium 25-99",IF(E144&lt;300,"High 100-299","Premium 300+")))</x:f>
        <x:v>High 100-299</x:v>
      </x:c>
      <x:c r="Y144" t="n">
        <x:f>IF(C144="Active",1,0)</x:f>
        <x:v>1</x:v>
      </x:c>
    </x:row>
    <x:row r="145">
      <x:c r="A145" t="str">
        <x:v>SKU00144</x:v>
      </x:c>
      <x:c r="B145" t="str">
        <x:v>Sample Product 00144</x:v>
      </x:c>
      <x:c r="C145" t="str">
        <x:v>Active</x:v>
      </x:c>
      <x:c r="D145" t="str">
        <x:v>2026-06</x:v>
      </x:c>
      <x:c r="E145" s="12" t="n">
        <x:v>8.3</x:v>
      </x:c>
      <x:c r="F145" s="10" t="n">
        <x:v>0.306</x:v>
      </x:c>
      <x:c r="G145" t="str">
        <x:v>Nutrition</x:v>
      </x:c>
      <x:c r="H145" t="str">
        <x:v>Sports Nutrition</x:v>
      </x:c>
      <x:c r="I145" t="str">
        <x:v>MFG016</x:v>
      </x:c>
      <x:c r="J145" t="str">
        <x:v>Manufacturer 016</x:v>
      </x:c>
      <x:c r="K145" t="str">
        <x:v>SUP018</x:v>
      </x:c>
      <x:c r="L145" t="str">
        <x:v>Supplier 018</x:v>
      </x:c>
      <x:c r="M145" t="str">
        <x:v>REG-108116</x:v>
      </x:c>
      <x:c r="N145" t="str">
        <x:v>Generic Ingredient 076</x:v>
      </x:c>
      <x:c r="O145" t="str">
        <x:v>General Sale</x:v>
      </x:c>
      <x:c r="P145" t="n">
        <x:v>55</x:v>
      </x:c>
      <x:c r="Q145" t="n">
        <x:v>19</x:v>
      </x:c>
      <x:c r="R145" t="n">
        <x:v>19</x:v>
      </x:c>
      <x:c r="S145" s="12" t="n">
        <x:f>E145*Q145</x:f>
        <x:v>157.70000000000002</x:v>
      </x:c>
      <x:c r="T145" s="12" t="n">
        <x:f>ROUND(S145*F145+0.000000001,2)</x:f>
        <x:v>48.26</x:v>
      </x:c>
      <x:c r="U145" s="12" t="n">
        <x:f>E145*R145</x:f>
        <x:v>157.70000000000002</x:v>
      </x:c>
      <x:c r="V145" t="str">
        <x:f>IF(AND(C145="Active",Q145=0),"Active Zero Sales","Not Zero Sales")</x:f>
        <x:v>Not Zero Sales</x:v>
      </x:c>
      <x:c r="W145" s="12" t="n">
        <x:f>IF(V145="Active Zero Sales",U145,0)</x:f>
        <x:v>0</x:v>
      </x:c>
      <x:c r="X145" t="str">
        <x:f>IF(E145&lt;25,"Low &lt; 25",IF(E145&lt;100,"Medium 25-99",IF(E145&lt;300,"High 100-299","Premium 300+")))</x:f>
        <x:v>Low &lt; 25</x:v>
      </x:c>
      <x:c r="Y145" t="n">
        <x:f>IF(C145="Active",1,0)</x:f>
        <x:v>1</x:v>
      </x:c>
    </x:row>
    <x:row r="146">
      <x:c r="A146" t="str">
        <x:v>SKU00145</x:v>
      </x:c>
      <x:c r="B146" t="str">
        <x:v>Sample Product 00145</x:v>
      </x:c>
      <x:c r="C146" t="str">
        <x:v>Active</x:v>
      </x:c>
      <x:c r="D146" t="str">
        <x:v>2026-06</x:v>
      </x:c>
      <x:c r="E146" s="12" t="n">
        <x:v>529.48</x:v>
      </x:c>
      <x:c r="F146" s="10" t="n">
        <x:v>0.373</x:v>
      </x:c>
      <x:c r="G146" t="str">
        <x:v>Medical Devices</x:v>
      </x:c>
      <x:c r="H146" t="str">
        <x:v>Home Diagnostics</x:v>
      </x:c>
      <x:c r="I146" t="str">
        <x:v>MFG002</x:v>
      </x:c>
      <x:c r="J146" t="str">
        <x:v>Manufacturer 002</x:v>
      </x:c>
      <x:c r="K146" t="str">
        <x:v>SUP003</x:v>
      </x:c>
      <x:c r="L146" t="str">
        <x:v>Supplier 003</x:v>
      </x:c>
      <x:c r="M146" t="str">
        <x:v>REG-369958</x:v>
      </x:c>
      <x:c r="N146" t="str">
        <x:v>Generic Ingredient 053</x:v>
      </x:c>
      <x:c r="O146" t="str">
        <x:v>Pharmacy Only</x:v>
      </x:c>
      <x:c r="P146" t="n">
        <x:v>30</x:v>
      </x:c>
      <x:c r="Q146" t="n">
        <x:v>0</x:v>
      </x:c>
      <x:c r="R146" t="n">
        <x:v>38</x:v>
      </x:c>
      <x:c r="S146" s="12" t="n">
        <x:f>E146*Q146</x:f>
        <x:v>0</x:v>
      </x:c>
      <x:c r="T146" s="12" t="n">
        <x:f>ROUND(S146*F146+0.000000001,2)</x:f>
        <x:v>0</x:v>
      </x:c>
      <x:c r="U146" s="12" t="n">
        <x:f>E146*R146</x:f>
        <x:v>20120.24</x:v>
      </x:c>
      <x:c r="V146" t="str">
        <x:f>IF(AND(C146="Active",Q146=0),"Active Zero Sales","Not Zero Sales")</x:f>
        <x:v>Active Zero Sales</x:v>
      </x:c>
      <x:c r="W146" s="12" t="n">
        <x:f>IF(V146="Active Zero Sales",U146,0)</x:f>
        <x:v>20120.24</x:v>
      </x:c>
      <x:c r="X146" t="str">
        <x:f>IF(E146&lt;25,"Low &lt; 25",IF(E146&lt;100,"Medium 25-99",IF(E146&lt;300,"High 100-299","Premium 300+")))</x:f>
        <x:v>Premium 300+</x:v>
      </x:c>
      <x:c r="Y146" t="n">
        <x:f>IF(C146="Active",1,0)</x:f>
        <x:v>1</x:v>
      </x:c>
    </x:row>
    <x:row r="147">
      <x:c r="A147" t="str">
        <x:v>SKU00146</x:v>
      </x:c>
      <x:c r="B147" t="str">
        <x:v>Sample Product 00146</x:v>
      </x:c>
      <x:c r="C147" t="str">
        <x:v>Active</x:v>
      </x:c>
      <x:c r="D147" t="str">
        <x:v>2026-04</x:v>
      </x:c>
      <x:c r="E147" s="12" t="n">
        <x:v>18.16</x:v>
      </x:c>
      <x:c r="F147" s="10" t="n">
        <x:v>0.37</x:v>
      </x:c>
      <x:c r="G147" t="str">
        <x:v>Personal Care</x:v>
      </x:c>
      <x:c r="H147" t="str">
        <x:v>Skin Care</x:v>
      </x:c>
      <x:c r="I147" t="str">
        <x:v>MFG018</x:v>
      </x:c>
      <x:c r="J147" t="str">
        <x:v>Manufacturer 018</x:v>
      </x:c>
      <x:c r="K147" t="str">
        <x:v>SUP010</x:v>
      </x:c>
      <x:c r="L147" t="str">
        <x:v>Supplier 010</x:v>
      </x:c>
      <x:c r="M147" t="str">
        <x:v>REG-557820</x:v>
      </x:c>
      <x:c r="N147" t="str">
        <x:v>Generic Ingredient 017</x:v>
      </x:c>
      <x:c r="O147" t="str">
        <x:v>Pharmacy Only</x:v>
      </x:c>
      <x:c r="P147" t="n">
        <x:v>303</x:v>
      </x:c>
      <x:c r="Q147" t="n">
        <x:v>184</x:v>
      </x:c>
      <x:c r="R147" t="n">
        <x:v>79</x:v>
      </x:c>
      <x:c r="S147" s="12" t="n">
        <x:f>E147*Q147</x:f>
        <x:v>3341.44</x:v>
      </x:c>
      <x:c r="T147" s="12" t="n">
        <x:f>ROUND(S147*F147+0.000000001,2)</x:f>
        <x:v>1236.33</x:v>
      </x:c>
      <x:c r="U147" s="12" t="n">
        <x:f>E147*R147</x:f>
        <x:v>1434.64</x:v>
      </x:c>
      <x:c r="V147" t="str">
        <x:f>IF(AND(C147="Active",Q147=0),"Active Zero Sales","Not Zero Sales")</x:f>
        <x:v>Not Zero Sales</x:v>
      </x:c>
      <x:c r="W147" s="12" t="n">
        <x:f>IF(V147="Active Zero Sales",U147,0)</x:f>
        <x:v>0</x:v>
      </x:c>
      <x:c r="X147" t="str">
        <x:f>IF(E147&lt;25,"Low &lt; 25",IF(E147&lt;100,"Medium 25-99",IF(E147&lt;300,"High 100-299","Premium 300+")))</x:f>
        <x:v>Low &lt; 25</x:v>
      </x:c>
      <x:c r="Y147" t="n">
        <x:f>IF(C147="Active",1,0)</x:f>
        <x:v>1</x:v>
      </x:c>
    </x:row>
    <x:row r="148">
      <x:c r="A148" t="str">
        <x:v>SKU00147</x:v>
      </x:c>
      <x:c r="B148" t="str">
        <x:v>Sample Product 00147</x:v>
      </x:c>
      <x:c r="C148" t="str">
        <x:v>Active</x:v>
      </x:c>
      <x:c r="D148" t="str">
        <x:v>2026-06</x:v>
      </x:c>
      <x:c r="E148" s="12" t="n">
        <x:v>160.8</x:v>
      </x:c>
      <x:c r="F148" s="10" t="n">
        <x:v>0.446</x:v>
      </x:c>
      <x:c r="G148" t="str">
        <x:v>OTC &amp; Wellness</x:v>
      </x:c>
      <x:c r="H148" t="str">
        <x:v>Digestive Care</x:v>
      </x:c>
      <x:c r="I148" t="str">
        <x:v>MFG009</x:v>
      </x:c>
      <x:c r="J148" t="str">
        <x:v>Manufacturer 009</x:v>
      </x:c>
      <x:c r="K148" t="str">
        <x:v>SUP009</x:v>
      </x:c>
      <x:c r="L148" t="str">
        <x:v>Supplier 009</x:v>
      </x:c>
      <x:c r="M148" t="str">
        <x:v>REG-319818</x:v>
      </x:c>
      <x:c r="N148" t="str">
        <x:v>Generic Ingredient 020</x:v>
      </x:c>
      <x:c r="O148" t="str">
        <x:v>General Sale</x:v>
      </x:c>
      <x:c r="P148" t="n">
        <x:v>72</x:v>
      </x:c>
      <x:c r="Q148" t="n">
        <x:v>17</x:v>
      </x:c>
      <x:c r="R148" t="n">
        <x:v>20</x:v>
      </x:c>
      <x:c r="S148" s="12" t="n">
        <x:f>E148*Q148</x:f>
        <x:v>2733.6000000000004</x:v>
      </x:c>
      <x:c r="T148" s="12" t="n">
        <x:f>ROUND(S148*F148+0.000000001,2)</x:f>
        <x:v>1219.19</x:v>
      </x:c>
      <x:c r="U148" s="12" t="n">
        <x:f>E148*R148</x:f>
        <x:v>3216</x:v>
      </x:c>
      <x:c r="V148" t="str">
        <x:f>IF(AND(C148="Active",Q148=0),"Active Zero Sales","Not Zero Sales")</x:f>
        <x:v>Not Zero Sales</x:v>
      </x:c>
      <x:c r="W148" s="12" t="n">
        <x:f>IF(V148="Active Zero Sales",U148,0)</x:f>
        <x:v>0</x:v>
      </x:c>
      <x:c r="X148" t="str">
        <x:f>IF(E148&lt;25,"Low &lt; 25",IF(E148&lt;100,"Medium 25-99",IF(E148&lt;300,"High 100-299","Premium 300+")))</x:f>
        <x:v>High 100-299</x:v>
      </x:c>
      <x:c r="Y148" t="n">
        <x:f>IF(C148="Active",1,0)</x:f>
        <x:v>1</x:v>
      </x:c>
    </x:row>
    <x:row r="149">
      <x:c r="A149" t="str">
        <x:v>SKU00148</x:v>
      </x:c>
      <x:c r="B149" t="str">
        <x:v>Sample Product 00148</x:v>
      </x:c>
      <x:c r="C149" t="str">
        <x:v>Active</x:v>
      </x:c>
      <x:c r="D149" t="str">
        <x:v>2026-04</x:v>
      </x:c>
      <x:c r="E149" s="12" t="n">
        <x:v>323.43</x:v>
      </x:c>
      <x:c r="F149" s="10" t="n">
        <x:v>0.256</x:v>
      </x:c>
      <x:c r="G149" t="str">
        <x:v>Medical Devices</x:v>
      </x:c>
      <x:c r="H149" t="str">
        <x:v>Monitoring Supplies</x:v>
      </x:c>
      <x:c r="I149" t="str">
        <x:v>MFG003</x:v>
      </x:c>
      <x:c r="J149" t="str">
        <x:v>Manufacturer 003</x:v>
      </x:c>
      <x:c r="K149" t="str">
        <x:v>SUP003</x:v>
      </x:c>
      <x:c r="L149" t="str">
        <x:v>Supplier 003</x:v>
      </x:c>
      <x:c r="M149" t="str">
        <x:v>REG-415425</x:v>
      </x:c>
      <x:c r="N149" t="str">
        <x:v>Generic Ingredient 018</x:v>
      </x:c>
      <x:c r="O149" t="str">
        <x:v>Pharmacy Only</x:v>
      </x:c>
      <x:c r="P149" t="n">
        <x:v>97</x:v>
      </x:c>
      <x:c r="Q149" t="n">
        <x:v>68</x:v>
      </x:c>
      <x:c r="R149" t="n">
        <x:v>6</x:v>
      </x:c>
      <x:c r="S149" s="12" t="n">
        <x:f>E149*Q149</x:f>
        <x:v>21993.24</x:v>
      </x:c>
      <x:c r="T149" s="12" t="n">
        <x:f>ROUND(S149*F149+0.000000001,2)</x:f>
        <x:v>5630.27</x:v>
      </x:c>
      <x:c r="U149" s="12" t="n">
        <x:f>E149*R149</x:f>
        <x:v>1940.58</x:v>
      </x:c>
      <x:c r="V149" t="str">
        <x:f>IF(AND(C149="Active",Q149=0),"Active Zero Sales","Not Zero Sales")</x:f>
        <x:v>Not Zero Sales</x:v>
      </x:c>
      <x:c r="W149" s="12" t="n">
        <x:f>IF(V149="Active Zero Sales",U149,0)</x:f>
        <x:v>0</x:v>
      </x:c>
      <x:c r="X149" t="str">
        <x:f>IF(E149&lt;25,"Low &lt; 25",IF(E149&lt;100,"Medium 25-99",IF(E149&lt;300,"High 100-299","Premium 300+")))</x:f>
        <x:v>Premium 300+</x:v>
      </x:c>
      <x:c r="Y149" t="n">
        <x:f>IF(C149="Active",1,0)</x:f>
        <x:v>1</x:v>
      </x:c>
    </x:row>
    <x:row r="150">
      <x:c r="A150" t="str">
        <x:v>SKU00149</x:v>
      </x:c>
      <x:c r="B150" t="str">
        <x:v>Sample Product 00149</x:v>
      </x:c>
      <x:c r="C150" t="str">
        <x:v>Active</x:v>
      </x:c>
      <x:c r="D150" t="str">
        <x:v>2026-02</x:v>
      </x:c>
      <x:c r="E150" s="12" t="n">
        <x:v>56.86</x:v>
      </x:c>
      <x:c r="F150" s="10" t="n">
        <x:v>0.37</x:v>
      </x:c>
      <x:c r="G150" t="str">
        <x:v>Nutrition</x:v>
      </x:c>
      <x:c r="H150" t="str">
        <x:v>Healthy Snacks</x:v>
      </x:c>
      <x:c r="I150" t="str">
        <x:v>MFG016</x:v>
      </x:c>
      <x:c r="J150" t="str">
        <x:v>Manufacturer 016</x:v>
      </x:c>
      <x:c r="K150" t="str">
        <x:v>SUP006</x:v>
      </x:c>
      <x:c r="L150" t="str">
        <x:v>Supplier 006</x:v>
      </x:c>
      <x:c r="M150" t="str">
        <x:v>REG-143336</x:v>
      </x:c>
      <x:c r="N150" t="str">
        <x:v>Generic Ingredient 021</x:v>
      </x:c>
      <x:c r="O150" t="str">
        <x:v>General Sale</x:v>
      </x:c>
      <x:c r="P150" t="n">
        <x:v>88</x:v>
      </x:c>
      <x:c r="Q150" t="n">
        <x:v>19</x:v>
      </x:c>
      <x:c r="R150" t="n">
        <x:v>19</x:v>
      </x:c>
      <x:c r="S150" s="12" t="n">
        <x:f>E150*Q150</x:f>
        <x:v>1080.34</x:v>
      </x:c>
      <x:c r="T150" s="12" t="n">
        <x:f>ROUND(S150*F150+0.000000001,2)</x:f>
        <x:v>399.73</x:v>
      </x:c>
      <x:c r="U150" s="12" t="n">
        <x:f>E150*R150</x:f>
        <x:v>1080.34</x:v>
      </x:c>
      <x:c r="V150" t="str">
        <x:f>IF(AND(C150="Active",Q150=0),"Active Zero Sales","Not Zero Sales")</x:f>
        <x:v>Not Zero Sales</x:v>
      </x:c>
      <x:c r="W150" s="12" t="n">
        <x:f>IF(V150="Active Zero Sales",U150,0)</x:f>
        <x:v>0</x:v>
      </x:c>
      <x:c r="X150" t="str">
        <x:f>IF(E150&lt;25,"Low &lt; 25",IF(E150&lt;100,"Medium 25-99",IF(E150&lt;300,"High 100-299","Premium 300+")))</x:f>
        <x:v>Medium 25-99</x:v>
      </x:c>
      <x:c r="Y150" t="n">
        <x:f>IF(C150="Active",1,0)</x:f>
        <x:v>1</x:v>
      </x:c>
    </x:row>
    <x:row r="151">
      <x:c r="A151" t="str">
        <x:v>SKU00150</x:v>
      </x:c>
      <x:c r="B151" t="str">
        <x:v>Sample Product 00150</x:v>
      </x:c>
      <x:c r="C151" t="str">
        <x:v>Active</x:v>
      </x:c>
      <x:c r="D151" t="str">
        <x:v>2026-01</x:v>
      </x:c>
      <x:c r="E151" s="12" t="n">
        <x:v>90.71</x:v>
      </x:c>
      <x:c r="F151" s="10" t="n">
        <x:v>0.275</x:v>
      </x:c>
      <x:c r="G151" t="str">
        <x:v>Nutrition</x:v>
      </x:c>
      <x:c r="H151" t="str">
        <x:v>Hydration</x:v>
      </x:c>
      <x:c r="I151" t="str">
        <x:v>MFG004</x:v>
      </x:c>
      <x:c r="J151" t="str">
        <x:v>Manufacturer 004</x:v>
      </x:c>
      <x:c r="K151" t="str">
        <x:v>SUP014</x:v>
      </x:c>
      <x:c r="L151" t="str">
        <x:v>Supplier 014</x:v>
      </x:c>
      <x:c r="M151" t="str">
        <x:v>REG-816981</x:v>
      </x:c>
      <x:c r="N151" t="str">
        <x:v>Generic Ingredient 180</x:v>
      </x:c>
      <x:c r="O151" t="str">
        <x:v>General Sale</x:v>
      </x:c>
      <x:c r="P151" t="n">
        <x:v>11</x:v>
      </x:c>
      <x:c r="Q151" t="n">
        <x:v>4</x:v>
      </x:c>
      <x:c r="R151" t="n">
        <x:v>16</x:v>
      </x:c>
      <x:c r="S151" s="12" t="n">
        <x:f>E151*Q151</x:f>
        <x:v>362.84</x:v>
      </x:c>
      <x:c r="T151" s="12" t="n">
        <x:f>ROUND(S151*F151+0.000000001,2)</x:f>
        <x:v>99.78</x:v>
      </x:c>
      <x:c r="U151" s="12" t="n">
        <x:f>E151*R151</x:f>
        <x:v>1451.36</x:v>
      </x:c>
      <x:c r="V151" t="str">
        <x:f>IF(AND(C151="Active",Q151=0),"Active Zero Sales","Not Zero Sales")</x:f>
        <x:v>Not Zero Sales</x:v>
      </x:c>
      <x:c r="W151" s="12" t="n">
        <x:f>IF(V151="Active Zero Sales",U151,0)</x:f>
        <x:v>0</x:v>
      </x:c>
      <x:c r="X151" t="str">
        <x:f>IF(E151&lt;25,"Low &lt; 25",IF(E151&lt;100,"Medium 25-99",IF(E151&lt;300,"High 100-299","Premium 300+")))</x:f>
        <x:v>Medium 25-99</x:v>
      </x:c>
      <x:c r="Y151" t="n">
        <x:f>IF(C151="Active",1,0)</x:f>
        <x:v>1</x:v>
      </x:c>
    </x:row>
    <x:row r="152">
      <x:c r="A152" t="str">
        <x:v>SKU00151</x:v>
      </x:c>
      <x:c r="B152" t="str">
        <x:v>Sample Product 00151</x:v>
      </x:c>
      <x:c r="C152" t="str">
        <x:v>Active</x:v>
      </x:c>
      <x:c r="D152" t="str">
        <x:v>2026-05</x:v>
      </x:c>
      <x:c r="E152" s="12" t="n">
        <x:v>52.65</x:v>
      </x:c>
      <x:c r="F152" s="10" t="n">
        <x:v>0.398</x:v>
      </x:c>
      <x:c r="G152" t="str">
        <x:v>Personal Care</x:v>
      </x:c>
      <x:c r="H152" t="str">
        <x:v>Skin Care</x:v>
      </x:c>
      <x:c r="I152" t="str">
        <x:v>MFG011</x:v>
      </x:c>
      <x:c r="J152" t="str">
        <x:v>Manufacturer 011</x:v>
      </x:c>
      <x:c r="K152" t="str">
        <x:v>SUP026</x:v>
      </x:c>
      <x:c r="L152" t="str">
        <x:v>Supplier 026</x:v>
      </x:c>
      <x:c r="M152" t="str">
        <x:v>REG-132161</x:v>
      </x:c>
      <x:c r="N152" t="str">
        <x:v>Generic Ingredient 074</x:v>
      </x:c>
      <x:c r="O152" t="str">
        <x:v>General Sale</x:v>
      </x:c>
      <x:c r="P152" t="n">
        <x:v>90</x:v>
      </x:c>
      <x:c r="Q152" t="n">
        <x:v>0</x:v>
      </x:c>
      <x:c r="R152" t="n">
        <x:v>58</x:v>
      </x:c>
      <x:c r="S152" s="12" t="n">
        <x:f>E152*Q152</x:f>
        <x:v>0</x:v>
      </x:c>
      <x:c r="T152" s="12" t="n">
        <x:f>ROUND(S152*F152+0.000000001,2)</x:f>
        <x:v>0</x:v>
      </x:c>
      <x:c r="U152" s="12" t="n">
        <x:f>E152*R152</x:f>
        <x:v>3053.7</x:v>
      </x:c>
      <x:c r="V152" t="str">
        <x:f>IF(AND(C152="Active",Q152=0),"Active Zero Sales","Not Zero Sales")</x:f>
        <x:v>Active Zero Sales</x:v>
      </x:c>
      <x:c r="W152" s="12" t="n">
        <x:f>IF(V152="Active Zero Sales",U152,0)</x:f>
        <x:v>3053.7</x:v>
      </x:c>
      <x:c r="X152" t="str">
        <x:f>IF(E152&lt;25,"Low &lt; 25",IF(E152&lt;100,"Medium 25-99",IF(E152&lt;300,"High 100-299","Premium 300+")))</x:f>
        <x:v>Medium 25-99</x:v>
      </x:c>
      <x:c r="Y152" t="n">
        <x:f>IF(C152="Active",1,0)</x:f>
        <x:v>1</x:v>
      </x:c>
    </x:row>
    <x:row r="153">
      <x:c r="A153" t="str">
        <x:v>SKU00152</x:v>
      </x:c>
      <x:c r="B153" t="str">
        <x:v>Sample Product 00152</x:v>
      </x:c>
      <x:c r="C153" t="str">
        <x:v>Active</x:v>
      </x:c>
      <x:c r="D153" t="str">
        <x:v>2026-06</x:v>
      </x:c>
      <x:c r="E153" s="12" t="n">
        <x:v>42.52</x:v>
      </x:c>
      <x:c r="F153" s="10" t="n">
        <x:v>0.463</x:v>
      </x:c>
      <x:c r="G153" t="str">
        <x:v>Personal Care</x:v>
      </x:c>
      <x:c r="H153" t="str">
        <x:v>Hair Care</x:v>
      </x:c>
      <x:c r="I153" t="str">
        <x:v>MFG010</x:v>
      </x:c>
      <x:c r="J153" t="str">
        <x:v>Manufacturer 010</x:v>
      </x:c>
      <x:c r="K153" t="str">
        <x:v>SUP018</x:v>
      </x:c>
      <x:c r="L153" t="str">
        <x:v>Supplier 018</x:v>
      </x:c>
      <x:c r="M153" t="str">
        <x:v>REG-446507</x:v>
      </x:c>
      <x:c r="N153" t="str">
        <x:v>Generic Ingredient 100</x:v>
      </x:c>
      <x:c r="O153" t="str">
        <x:v>General Sale</x:v>
      </x:c>
      <x:c r="P153" t="n">
        <x:v>29</x:v>
      </x:c>
      <x:c r="Q153" t="n">
        <x:v>10</x:v>
      </x:c>
      <x:c r="R153" t="n">
        <x:v>14</x:v>
      </x:c>
      <x:c r="S153" s="12" t="n">
        <x:f>E153*Q153</x:f>
        <x:v>425.20000000000005</x:v>
      </x:c>
      <x:c r="T153" s="12" t="n">
        <x:f>ROUND(S153*F153+0.000000001,2)</x:f>
        <x:v>196.87</x:v>
      </x:c>
      <x:c r="U153" s="12" t="n">
        <x:f>E153*R153</x:f>
        <x:v>595.2800000000001</x:v>
      </x:c>
      <x:c r="V153" t="str">
        <x:f>IF(AND(C153="Active",Q153=0),"Active Zero Sales","Not Zero Sales")</x:f>
        <x:v>Not Zero Sales</x:v>
      </x:c>
      <x:c r="W153" s="12" t="n">
        <x:f>IF(V153="Active Zero Sales",U153,0)</x:f>
        <x:v>0</x:v>
      </x:c>
      <x:c r="X153" t="str">
        <x:f>IF(E153&lt;25,"Low &lt; 25",IF(E153&lt;100,"Medium 25-99",IF(E153&lt;300,"High 100-299","Premium 300+")))</x:f>
        <x:v>Medium 25-99</x:v>
      </x:c>
      <x:c r="Y153" t="n">
        <x:f>IF(C153="Active",1,0)</x:f>
        <x:v>1</x:v>
      </x:c>
    </x:row>
    <x:row r="154">
      <x:c r="A154" t="str">
        <x:v>SKU00153</x:v>
      </x:c>
      <x:c r="B154" t="str">
        <x:v>Sample Product 00153</x:v>
      </x:c>
      <x:c r="C154" t="str">
        <x:v>Active</x:v>
      </x:c>
      <x:c r="D154" t="str">
        <x:v>2026-01</x:v>
      </x:c>
      <x:c r="E154" s="12" t="n">
        <x:v>61.03</x:v>
      </x:c>
      <x:c r="F154" s="10" t="n">
        <x:v>0.171</x:v>
      </x:c>
      <x:c r="G154" t="str">
        <x:v>OTC &amp; Wellness</x:v>
      </x:c>
      <x:c r="H154" t="str">
        <x:v>Cold &amp; Allergy</x:v>
      </x:c>
      <x:c r="I154" t="str">
        <x:v>MFG004</x:v>
      </x:c>
      <x:c r="J154" t="str">
        <x:v>Manufacturer 004</x:v>
      </x:c>
      <x:c r="K154" t="str">
        <x:v>SUP016</x:v>
      </x:c>
      <x:c r="L154" t="str">
        <x:v>Supplier 016</x:v>
      </x:c>
      <x:c r="M154" t="str">
        <x:v>REG-510400</x:v>
      </x:c>
      <x:c r="N154" t="str">
        <x:v>Generic Ingredient 173</x:v>
      </x:c>
      <x:c r="O154" t="str">
        <x:v>General Sale</x:v>
      </x:c>
      <x:c r="P154" t="n">
        <x:v>51</x:v>
      </x:c>
      <x:c r="Q154" t="n">
        <x:v>20</x:v>
      </x:c>
      <x:c r="R154" t="n">
        <x:v>1</x:v>
      </x:c>
      <x:c r="S154" s="12" t="n">
        <x:f>E154*Q154</x:f>
        <x:v>1220.6</x:v>
      </x:c>
      <x:c r="T154" s="12" t="n">
        <x:f>ROUND(S154*F154+0.000000001,2)</x:f>
        <x:v>208.72</x:v>
      </x:c>
      <x:c r="U154" s="12" t="n">
        <x:f>E154*R154</x:f>
        <x:v>61.03</x:v>
      </x:c>
      <x:c r="V154" t="str">
        <x:f>IF(AND(C154="Active",Q154=0),"Active Zero Sales","Not Zero Sales")</x:f>
        <x:v>Not Zero Sales</x:v>
      </x:c>
      <x:c r="W154" s="12" t="n">
        <x:f>IF(V154="Active Zero Sales",U154,0)</x:f>
        <x:v>0</x:v>
      </x:c>
      <x:c r="X154" t="str">
        <x:f>IF(E154&lt;25,"Low &lt; 25",IF(E154&lt;100,"Medium 25-99",IF(E154&lt;300,"High 100-299","Premium 300+")))</x:f>
        <x:v>Medium 25-99</x:v>
      </x:c>
      <x:c r="Y154" t="n">
        <x:f>IF(C154="Active",1,0)</x:f>
        <x:v>1</x:v>
      </x:c>
    </x:row>
    <x:row r="155">
      <x:c r="A155" t="str">
        <x:v>SKU00154</x:v>
      </x:c>
      <x:c r="B155" t="str">
        <x:v>Sample Product 00154</x:v>
      </x:c>
      <x:c r="C155" t="str">
        <x:v>Active</x:v>
      </x:c>
      <x:c r="D155" t="str">
        <x:v>2026-06</x:v>
      </x:c>
      <x:c r="E155" s="12" t="n">
        <x:v>29.68</x:v>
      </x:c>
      <x:c r="F155" s="10" t="n">
        <x:v>0.281</x:v>
      </x:c>
      <x:c r="G155" t="str">
        <x:v>OTC &amp; Wellness</x:v>
      </x:c>
      <x:c r="H155" t="str">
        <x:v>Vitamins</x:v>
      </x:c>
      <x:c r="I155" t="str">
        <x:v>MFG014</x:v>
      </x:c>
      <x:c r="J155" t="str">
        <x:v>Manufacturer 014</x:v>
      </x:c>
      <x:c r="K155" t="str">
        <x:v>SUP018</x:v>
      </x:c>
      <x:c r="L155" t="str">
        <x:v>Supplier 018</x:v>
      </x:c>
      <x:c r="M155" t="str">
        <x:v>REG-732022</x:v>
      </x:c>
      <x:c r="N155" t="str">
        <x:v>Generic Ingredient 010</x:v>
      </x:c>
      <x:c r="O155" t="str">
        <x:v>General Sale</x:v>
      </x:c>
      <x:c r="P155" t="n">
        <x:v>71</x:v>
      </x:c>
      <x:c r="Q155" t="n">
        <x:v>0</x:v>
      </x:c>
      <x:c r="R155" t="n">
        <x:v>50</x:v>
      </x:c>
      <x:c r="S155" s="12" t="n">
        <x:f>E155*Q155</x:f>
        <x:v>0</x:v>
      </x:c>
      <x:c r="T155" s="12" t="n">
        <x:f>ROUND(S155*F155+0.000000001,2)</x:f>
        <x:v>0</x:v>
      </x:c>
      <x:c r="U155" s="12" t="n">
        <x:f>E155*R155</x:f>
        <x:v>1484</x:v>
      </x:c>
      <x:c r="V155" t="str">
        <x:f>IF(AND(C155="Active",Q155=0),"Active Zero Sales","Not Zero Sales")</x:f>
        <x:v>Active Zero Sales</x:v>
      </x:c>
      <x:c r="W155" s="12" t="n">
        <x:f>IF(V155="Active Zero Sales",U155,0)</x:f>
        <x:v>1484</x:v>
      </x:c>
      <x:c r="X155" t="str">
        <x:f>IF(E155&lt;25,"Low &lt; 25",IF(E155&lt;100,"Medium 25-99",IF(E155&lt;300,"High 100-299","Premium 300+")))</x:f>
        <x:v>Medium 25-99</x:v>
      </x:c>
      <x:c r="Y155" t="n">
        <x:f>IF(C155="Active",1,0)</x:f>
        <x:v>1</x:v>
      </x:c>
    </x:row>
    <x:row r="156">
      <x:c r="A156" t="str">
        <x:v>SKU00155</x:v>
      </x:c>
      <x:c r="B156" t="str">
        <x:v>Sample Product 00155</x:v>
      </x:c>
      <x:c r="C156" t="str">
        <x:v>Active</x:v>
      </x:c>
      <x:c r="D156" t="str">
        <x:v>2026-04</x:v>
      </x:c>
      <x:c r="E156" s="12" t="n">
        <x:v>298.44</x:v>
      </x:c>
      <x:c r="F156" s="10" t="n">
        <x:v>0.371</x:v>
      </x:c>
      <x:c r="G156" t="str">
        <x:v>OTC &amp; Wellness</x:v>
      </x:c>
      <x:c r="H156" t="str">
        <x:v>Digestive Care</x:v>
      </x:c>
      <x:c r="I156" t="str">
        <x:v>MFG006</x:v>
      </x:c>
      <x:c r="J156" t="str">
        <x:v>Manufacturer 006</x:v>
      </x:c>
      <x:c r="K156" t="str">
        <x:v>SUP012</x:v>
      </x:c>
      <x:c r="L156" t="str">
        <x:v>Supplier 012</x:v>
      </x:c>
      <x:c r="M156" t="str">
        <x:v>REG-695578</x:v>
      </x:c>
      <x:c r="N156" t="str">
        <x:v>Generic Ingredient 100</x:v>
      </x:c>
      <x:c r="O156" t="str">
        <x:v>Pharmacy Only</x:v>
      </x:c>
      <x:c r="P156" t="n">
        <x:v>90</x:v>
      </x:c>
      <x:c r="Q156" t="n">
        <x:v>45</x:v>
      </x:c>
      <x:c r="R156" t="n">
        <x:v>13</x:v>
      </x:c>
      <x:c r="S156" s="12" t="n">
        <x:f>E156*Q156</x:f>
        <x:v>13429.8</x:v>
      </x:c>
      <x:c r="T156" s="12" t="n">
        <x:f>ROUND(S156*F156+0.000000001,2)</x:f>
        <x:v>4982.46</x:v>
      </x:c>
      <x:c r="U156" s="12" t="n">
        <x:f>E156*R156</x:f>
        <x:v>3879.72</x:v>
      </x:c>
      <x:c r="V156" t="str">
        <x:f>IF(AND(C156="Active",Q156=0),"Active Zero Sales","Not Zero Sales")</x:f>
        <x:v>Not Zero Sales</x:v>
      </x:c>
      <x:c r="W156" s="12" t="n">
        <x:f>IF(V156="Active Zero Sales",U156,0)</x:f>
        <x:v>0</x:v>
      </x:c>
      <x:c r="X156" t="str">
        <x:f>IF(E156&lt;25,"Low &lt; 25",IF(E156&lt;100,"Medium 25-99",IF(E156&lt;300,"High 100-299","Premium 300+")))</x:f>
        <x:v>High 100-299</x:v>
      </x:c>
      <x:c r="Y156" t="n">
        <x:f>IF(C156="Active",1,0)</x:f>
        <x:v>1</x:v>
      </x:c>
    </x:row>
    <x:row r="157">
      <x:c r="A157" t="str">
        <x:v>SKU00156</x:v>
      </x:c>
      <x:c r="B157" t="str">
        <x:v>Sample Product 00156</x:v>
      </x:c>
      <x:c r="C157" t="str">
        <x:v>Active</x:v>
      </x:c>
      <x:c r="D157" t="str">
        <x:v>2026-03</x:v>
      </x:c>
      <x:c r="E157" s="12" t="n">
        <x:v>4.5</x:v>
      </x:c>
      <x:c r="F157" s="10" t="n">
        <x:v>0.368</x:v>
      </x:c>
      <x:c r="G157" t="str">
        <x:v>Personal Care</x:v>
      </x:c>
      <x:c r="H157" t="str">
        <x:v>Oral Care</x:v>
      </x:c>
      <x:c r="I157" t="str">
        <x:v>MFG004</x:v>
      </x:c>
      <x:c r="J157" t="str">
        <x:v>Manufacturer 004</x:v>
      </x:c>
      <x:c r="K157" t="str">
        <x:v>SUP012</x:v>
      </x:c>
      <x:c r="L157" t="str">
        <x:v>Supplier 012</x:v>
      </x:c>
      <x:c r="M157" t="str">
        <x:v>REG-214376</x:v>
      </x:c>
      <x:c r="N157" t="str">
        <x:v>Generic Ingredient 127</x:v>
      </x:c>
      <x:c r="O157" t="str">
        <x:v>Pharmacy Only</x:v>
      </x:c>
      <x:c r="P157" t="n">
        <x:v>103</x:v>
      </x:c>
      <x:c r="Q157" t="n">
        <x:v>57</x:v>
      </x:c>
      <x:c r="R157" t="n">
        <x:v>12</x:v>
      </x:c>
      <x:c r="S157" s="12" t="n">
        <x:f>E157*Q157</x:f>
        <x:v>256.5</x:v>
      </x:c>
      <x:c r="T157" s="12" t="n">
        <x:f>ROUND(S157*F157+0.000000001,2)</x:f>
        <x:v>94.39</x:v>
      </x:c>
      <x:c r="U157" s="12" t="n">
        <x:f>E157*R157</x:f>
        <x:v>54</x:v>
      </x:c>
      <x:c r="V157" t="str">
        <x:f>IF(AND(C157="Active",Q157=0),"Active Zero Sales","Not Zero Sales")</x:f>
        <x:v>Not Zero Sales</x:v>
      </x:c>
      <x:c r="W157" s="12" t="n">
        <x:f>IF(V157="Active Zero Sales",U157,0)</x:f>
        <x:v>0</x:v>
      </x:c>
      <x:c r="X157" t="str">
        <x:f>IF(E157&lt;25,"Low &lt; 25",IF(E157&lt;100,"Medium 25-99",IF(E157&lt;300,"High 100-299","Premium 300+")))</x:f>
        <x:v>Low &lt; 25</x:v>
      </x:c>
      <x:c r="Y157" t="n">
        <x:f>IF(C157="Active",1,0)</x:f>
        <x:v>1</x:v>
      </x:c>
    </x:row>
    <x:row r="158">
      <x:c r="A158" t="str">
        <x:v>SKU00157</x:v>
      </x:c>
      <x:c r="B158" t="str">
        <x:v>Sample Product 00157</x:v>
      </x:c>
      <x:c r="C158" t="str">
        <x:v>Blocked</x:v>
      </x:c>
      <x:c r="D158" t="str">
        <x:v>2026-03</x:v>
      </x:c>
      <x:c r="E158" s="12" t="n">
        <x:v>248.47</x:v>
      </x:c>
      <x:c r="F158" s="10" t="n">
        <x:v>0.218</x:v>
      </x:c>
      <x:c r="G158" t="str">
        <x:v>Nutrition</x:v>
      </x:c>
      <x:c r="H158" t="str">
        <x:v>Healthy Snacks</x:v>
      </x:c>
      <x:c r="I158" t="str">
        <x:v>MFG016</x:v>
      </x:c>
      <x:c r="J158" t="str">
        <x:v>Manufacturer 016</x:v>
      </x:c>
      <x:c r="K158" t="str">
        <x:v>SUP008</x:v>
      </x:c>
      <x:c r="L158" t="str">
        <x:v>Supplier 008</x:v>
      </x:c>
      <x:c r="M158" t="str">
        <x:v>REG-884528</x:v>
      </x:c>
      <x:c r="N158" t="str">
        <x:v>Generic Ingredient 101</x:v>
      </x:c>
      <x:c r="O158" t="str">
        <x:v>General Sale</x:v>
      </x:c>
      <x:c r="P158" t="n">
        <x:v>0</x:v>
      </x:c>
      <x:c r="Q158" t="n">
        <x:v>0</x:v>
      </x:c>
      <x:c r="R158" t="n">
        <x:v>0</x:v>
      </x:c>
      <x:c r="S158" s="12" t="n">
        <x:f>E158*Q158</x:f>
        <x:v>0</x:v>
      </x:c>
      <x:c r="T158" s="12" t="n">
        <x:f>ROUND(S158*F158+0.000000001,2)</x:f>
        <x:v>0</x:v>
      </x:c>
      <x:c r="U158" s="12" t="n">
        <x:f>E158*R158</x:f>
        <x:v>0</x:v>
      </x:c>
      <x:c r="V158" t="str">
        <x:f>IF(AND(C158="Active",Q158=0),"Active Zero Sales","Not Zero Sales")</x:f>
        <x:v>Not Zero Sales</x:v>
      </x:c>
      <x:c r="W158" s="12" t="n">
        <x:f>IF(V158="Active Zero Sales",U158,0)</x:f>
        <x:v>0</x:v>
      </x:c>
      <x:c r="X158" t="str">
        <x:f>IF(E158&lt;25,"Low &lt; 25",IF(E158&lt;100,"Medium 25-99",IF(E158&lt;300,"High 100-299","Premium 300+")))</x:f>
        <x:v>High 100-299</x:v>
      </x:c>
      <x:c r="Y158" t="n">
        <x:f>IF(C158="Active",1,0)</x:f>
        <x:v>0</x:v>
      </x:c>
    </x:row>
    <x:row r="159">
      <x:c r="A159" t="str">
        <x:v>SKU00158</x:v>
      </x:c>
      <x:c r="B159" t="str">
        <x:v>Sample Product 00158</x:v>
      </x:c>
      <x:c r="C159" t="str">
        <x:v>Active</x:v>
      </x:c>
      <x:c r="D159" t="str">
        <x:v>2026-06</x:v>
      </x:c>
      <x:c r="E159" s="12" t="n">
        <x:v>49.4</x:v>
      </x:c>
      <x:c r="F159" s="10" t="n">
        <x:v>0.188</x:v>
      </x:c>
      <x:c r="G159" t="str">
        <x:v>OTC &amp; Wellness</x:v>
      </x:c>
      <x:c r="H159" t="str">
        <x:v>Pain Relief</x:v>
      </x:c>
      <x:c r="I159" t="str">
        <x:v>MFG013</x:v>
      </x:c>
      <x:c r="J159" t="str">
        <x:v>Manufacturer 013</x:v>
      </x:c>
      <x:c r="K159" t="str">
        <x:v>SUP028</x:v>
      </x:c>
      <x:c r="L159" t="str">
        <x:v>Supplier 028</x:v>
      </x:c>
      <x:c r="M159" t="str">
        <x:v>REG-404498</x:v>
      </x:c>
      <x:c r="N159" t="str">
        <x:v>Generic Ingredient 144</x:v>
      </x:c>
      <x:c r="O159" t="str">
        <x:v>General Sale</x:v>
      </x:c>
      <x:c r="P159" t="n">
        <x:v>64</x:v>
      </x:c>
      <x:c r="Q159" t="n">
        <x:v>21</x:v>
      </x:c>
      <x:c r="R159" t="n">
        <x:v>0</x:v>
      </x:c>
      <x:c r="S159" s="12" t="n">
        <x:f>E159*Q159</x:f>
        <x:v>1037.3999999999999</x:v>
      </x:c>
      <x:c r="T159" s="12" t="n">
        <x:f>ROUND(S159*F159+0.000000001,2)</x:f>
        <x:v>195.03</x:v>
      </x:c>
      <x:c r="U159" s="12" t="n">
        <x:f>E159*R159</x:f>
        <x:v>0</x:v>
      </x:c>
      <x:c r="V159" t="str">
        <x:f>IF(AND(C159="Active",Q159=0),"Active Zero Sales","Not Zero Sales")</x:f>
        <x:v>Not Zero Sales</x:v>
      </x:c>
      <x:c r="W159" s="12" t="n">
        <x:f>IF(V159="Active Zero Sales",U159,0)</x:f>
        <x:v>0</x:v>
      </x:c>
      <x:c r="X159" t="str">
        <x:f>IF(E159&lt;25,"Low &lt; 25",IF(E159&lt;100,"Medium 25-99",IF(E159&lt;300,"High 100-299","Premium 300+")))</x:f>
        <x:v>Medium 25-99</x:v>
      </x:c>
      <x:c r="Y159" t="n">
        <x:f>IF(C159="Active",1,0)</x:f>
        <x:v>1</x:v>
      </x:c>
    </x:row>
    <x:row r="160">
      <x:c r="A160" t="str">
        <x:v>SKU00159</x:v>
      </x:c>
      <x:c r="B160" t="str">
        <x:v>Sample Product 00159</x:v>
      </x:c>
      <x:c r="C160" t="str">
        <x:v>Active</x:v>
      </x:c>
      <x:c r="D160" t="str">
        <x:v>2026-03</x:v>
      </x:c>
      <x:c r="E160" s="12" t="n">
        <x:v>262.97</x:v>
      </x:c>
      <x:c r="F160" s="10" t="n">
        <x:v>0.327</x:v>
      </x:c>
      <x:c r="G160" t="str">
        <x:v>Medical Devices</x:v>
      </x:c>
      <x:c r="H160" t="str">
        <x:v>Monitoring Supplies</x:v>
      </x:c>
      <x:c r="I160" t="str">
        <x:v>MFG018</x:v>
      </x:c>
      <x:c r="J160" t="str">
        <x:v>Manufacturer 018</x:v>
      </x:c>
      <x:c r="K160" t="str">
        <x:v>SUP008</x:v>
      </x:c>
      <x:c r="L160" t="str">
        <x:v>Supplier 008</x:v>
      </x:c>
      <x:c r="M160" t="str">
        <x:v>REG-167080</x:v>
      </x:c>
      <x:c r="N160" t="str">
        <x:v>Generic Ingredient 167</x:v>
      </x:c>
      <x:c r="O160" t="str">
        <x:v>General Sale</x:v>
      </x:c>
      <x:c r="P160" t="n">
        <x:v>38</x:v>
      </x:c>
      <x:c r="Q160" t="n">
        <x:v>24</x:v>
      </x:c>
      <x:c r="R160" t="n">
        <x:v>0</x:v>
      </x:c>
      <x:c r="S160" s="12" t="n">
        <x:f>E160*Q160</x:f>
        <x:v>6311.280000000001</x:v>
      </x:c>
      <x:c r="T160" s="12" t="n">
        <x:f>ROUND(S160*F160+0.000000001,2)</x:f>
        <x:v>2063.79</x:v>
      </x:c>
      <x:c r="U160" s="12" t="n">
        <x:f>E160*R160</x:f>
        <x:v>0</x:v>
      </x:c>
      <x:c r="V160" t="str">
        <x:f>IF(AND(C160="Active",Q160=0),"Active Zero Sales","Not Zero Sales")</x:f>
        <x:v>Not Zero Sales</x:v>
      </x:c>
      <x:c r="W160" s="12" t="n">
        <x:f>IF(V160="Active Zero Sales",U160,0)</x:f>
        <x:v>0</x:v>
      </x:c>
      <x:c r="X160" t="str">
        <x:f>IF(E160&lt;25,"Low &lt; 25",IF(E160&lt;100,"Medium 25-99",IF(E160&lt;300,"High 100-299","Premium 300+")))</x:f>
        <x:v>High 100-299</x:v>
      </x:c>
      <x:c r="Y160" t="n">
        <x:f>IF(C160="Active",1,0)</x:f>
        <x:v>1</x:v>
      </x:c>
    </x:row>
    <x:row r="161">
      <x:c r="A161" t="str">
        <x:v>SKU00160</x:v>
      </x:c>
      <x:c r="B161" t="str">
        <x:v>Sample Product 00160</x:v>
      </x:c>
      <x:c r="C161" t="str">
        <x:v>Active</x:v>
      </x:c>
      <x:c r="D161" t="str">
        <x:v>2026-02</x:v>
      </x:c>
      <x:c r="E161" s="12" t="n">
        <x:v>9.49</x:v>
      </x:c>
      <x:c r="F161" s="10" t="n">
        <x:v>0.365</x:v>
      </x:c>
      <x:c r="G161" t="str">
        <x:v>Medical Devices</x:v>
      </x:c>
      <x:c r="H161" t="str">
        <x:v>Mobility Aids</x:v>
      </x:c>
      <x:c r="I161" t="str">
        <x:v>MFG020</x:v>
      </x:c>
      <x:c r="J161" t="str">
        <x:v>Manufacturer 020</x:v>
      </x:c>
      <x:c r="K161" t="str">
        <x:v>SUP011</x:v>
      </x:c>
      <x:c r="L161" t="str">
        <x:v>Supplier 011</x:v>
      </x:c>
      <x:c r="M161" t="str">
        <x:v>REG-753729</x:v>
      </x:c>
      <x:c r="N161" t="str">
        <x:v>Generic Ingredient 153</x:v>
      </x:c>
      <x:c r="O161" t="str">
        <x:v>Pharmacy Only</x:v>
      </x:c>
      <x:c r="P161" t="n">
        <x:v>38</x:v>
      </x:c>
      <x:c r="Q161" t="n">
        <x:v>0</x:v>
      </x:c>
      <x:c r="R161" t="n">
        <x:v>43</x:v>
      </x:c>
      <x:c r="S161" s="12" t="n">
        <x:f>E161*Q161</x:f>
        <x:v>0</x:v>
      </x:c>
      <x:c r="T161" s="12" t="n">
        <x:f>ROUND(S161*F161+0.000000001,2)</x:f>
        <x:v>0</x:v>
      </x:c>
      <x:c r="U161" s="12" t="n">
        <x:f>E161*R161</x:f>
        <x:v>408.07</x:v>
      </x:c>
      <x:c r="V161" t="str">
        <x:f>IF(AND(C161="Active",Q161=0),"Active Zero Sales","Not Zero Sales")</x:f>
        <x:v>Active Zero Sales</x:v>
      </x:c>
      <x:c r="W161" s="12" t="n">
        <x:f>IF(V161="Active Zero Sales",U161,0)</x:f>
        <x:v>408.07</x:v>
      </x:c>
      <x:c r="X161" t="str">
        <x:f>IF(E161&lt;25,"Low &lt; 25",IF(E161&lt;100,"Medium 25-99",IF(E161&lt;300,"High 100-299","Premium 300+")))</x:f>
        <x:v>Low &lt; 25</x:v>
      </x:c>
      <x:c r="Y161" t="n">
        <x:f>IF(C161="Active",1,0)</x:f>
        <x:v>1</x:v>
      </x:c>
    </x:row>
    <x:row r="162">
      <x:c r="A162" t="str">
        <x:v>SKU00161</x:v>
      </x:c>
      <x:c r="B162" t="str">
        <x:v>Sample Product 00161</x:v>
      </x:c>
      <x:c r="C162" t="str">
        <x:v>Active</x:v>
      </x:c>
      <x:c r="D162" t="str">
        <x:v>2026-03</x:v>
      </x:c>
      <x:c r="E162" s="12" t="n">
        <x:v>140.57</x:v>
      </x:c>
      <x:c r="F162" s="10" t="n">
        <x:v>0.245</x:v>
      </x:c>
      <x:c r="G162" t="str">
        <x:v>Medical Devices</x:v>
      </x:c>
      <x:c r="H162" t="str">
        <x:v>Mobility Aids</x:v>
      </x:c>
      <x:c r="I162" t="str">
        <x:v>MFG014</x:v>
      </x:c>
      <x:c r="J162" t="str">
        <x:v>Manufacturer 014</x:v>
      </x:c>
      <x:c r="K162" t="str">
        <x:v>SUP011</x:v>
      </x:c>
      <x:c r="L162" t="str">
        <x:v>Supplier 011</x:v>
      </x:c>
      <x:c r="M162" t="str">
        <x:v>REG-348412</x:v>
      </x:c>
      <x:c r="N162" t="str">
        <x:v>Generic Ingredient 049</x:v>
      </x:c>
      <x:c r="O162" t="str">
        <x:v>General Sale</x:v>
      </x:c>
      <x:c r="P162" t="n">
        <x:v>87</x:v>
      </x:c>
      <x:c r="Q162" t="n">
        <x:v>0</x:v>
      </x:c>
      <x:c r="R162" t="n">
        <x:v>64</x:v>
      </x:c>
      <x:c r="S162" s="12" t="n">
        <x:f>E162*Q162</x:f>
        <x:v>0</x:v>
      </x:c>
      <x:c r="T162" s="12" t="n">
        <x:f>ROUND(S162*F162+0.000000001,2)</x:f>
        <x:v>0</x:v>
      </x:c>
      <x:c r="U162" s="12" t="n">
        <x:f>E162*R162</x:f>
        <x:v>8996.48</x:v>
      </x:c>
      <x:c r="V162" t="str">
        <x:f>IF(AND(C162="Active",Q162=0),"Active Zero Sales","Not Zero Sales")</x:f>
        <x:v>Active Zero Sales</x:v>
      </x:c>
      <x:c r="W162" s="12" t="n">
        <x:f>IF(V162="Active Zero Sales",U162,0)</x:f>
        <x:v>8996.48</x:v>
      </x:c>
      <x:c r="X162" t="str">
        <x:f>IF(E162&lt;25,"Low &lt; 25",IF(E162&lt;100,"Medium 25-99",IF(E162&lt;300,"High 100-299","Premium 300+")))</x:f>
        <x:v>High 100-299</x:v>
      </x:c>
      <x:c r="Y162" t="n">
        <x:f>IF(C162="Active",1,0)</x:f>
        <x:v>1</x:v>
      </x:c>
    </x:row>
    <x:row r="163">
      <x:c r="A163" t="str">
        <x:v>SKU00162</x:v>
      </x:c>
      <x:c r="B163" t="str">
        <x:v>Sample Product 00162</x:v>
      </x:c>
      <x:c r="C163" t="str">
        <x:v>Active</x:v>
      </x:c>
      <x:c r="D163" t="str">
        <x:v>2026-04</x:v>
      </x:c>
      <x:c r="E163" s="12" t="n">
        <x:v>500.42</x:v>
      </x:c>
      <x:c r="F163" s="10" t="n">
        <x:v>0.155</x:v>
      </x:c>
      <x:c r="G163" t="str">
        <x:v>Nutrition</x:v>
      </x:c>
      <x:c r="H163" t="str">
        <x:v>Sports Nutrition</x:v>
      </x:c>
      <x:c r="I163" t="str">
        <x:v>MFG006</x:v>
      </x:c>
      <x:c r="J163" t="str">
        <x:v>Manufacturer 006</x:v>
      </x:c>
      <x:c r="K163" t="str">
        <x:v>SUP016</x:v>
      </x:c>
      <x:c r="L163" t="str">
        <x:v>Supplier 016</x:v>
      </x:c>
      <x:c r="M163" t="str">
        <x:v>REG-314430</x:v>
      </x:c>
      <x:c r="N163" t="str">
        <x:v>Generic Ingredient 136</x:v>
      </x:c>
      <x:c r="O163" t="str">
        <x:v>General Sale</x:v>
      </x:c>
      <x:c r="P163" t="n">
        <x:v>55</x:v>
      </x:c>
      <x:c r="Q163" t="n">
        <x:v>30</x:v>
      </x:c>
      <x:c r="R163" t="n">
        <x:v>0</x:v>
      </x:c>
      <x:c r="S163" s="12" t="n">
        <x:f>E163*Q163</x:f>
        <x:v>15012.6</x:v>
      </x:c>
      <x:c r="T163" s="12" t="n">
        <x:f>ROUND(S163*F163+0.000000001,2)</x:f>
        <x:v>2326.95</x:v>
      </x:c>
      <x:c r="U163" s="12" t="n">
        <x:f>E163*R163</x:f>
        <x:v>0</x:v>
      </x:c>
      <x:c r="V163" t="str">
        <x:f>IF(AND(C163="Active",Q163=0),"Active Zero Sales","Not Zero Sales")</x:f>
        <x:v>Not Zero Sales</x:v>
      </x:c>
      <x:c r="W163" s="12" t="n">
        <x:f>IF(V163="Active Zero Sales",U163,0)</x:f>
        <x:v>0</x:v>
      </x:c>
      <x:c r="X163" t="str">
        <x:f>IF(E163&lt;25,"Low &lt; 25",IF(E163&lt;100,"Medium 25-99",IF(E163&lt;300,"High 100-299","Premium 300+")))</x:f>
        <x:v>Premium 300+</x:v>
      </x:c>
      <x:c r="Y163" t="n">
        <x:f>IF(C163="Active",1,0)</x:f>
        <x:v>1</x:v>
      </x:c>
    </x:row>
    <x:row r="164">
      <x:c r="A164" t="str">
        <x:v>SKU00163</x:v>
      </x:c>
      <x:c r="B164" t="str">
        <x:v>Sample Product 00163</x:v>
      </x:c>
      <x:c r="C164" t="str">
        <x:v>Blocked</x:v>
      </x:c>
      <x:c r="D164" t="str">
        <x:v>2026-06</x:v>
      </x:c>
      <x:c r="E164" s="12" t="n">
        <x:v>38.44</x:v>
      </x:c>
      <x:c r="F164" s="10" t="n">
        <x:v>0.431</x:v>
      </x:c>
      <x:c r="G164" t="str">
        <x:v>Nutrition</x:v>
      </x:c>
      <x:c r="H164" t="str">
        <x:v>Adult Nutrition</x:v>
      </x:c>
      <x:c r="I164" t="str">
        <x:v>MFG020</x:v>
      </x:c>
      <x:c r="J164" t="str">
        <x:v>Manufacturer 020</x:v>
      </x:c>
      <x:c r="K164" t="str">
        <x:v>SUP015</x:v>
      </x:c>
      <x:c r="L164" t="str">
        <x:v>Supplier 015</x:v>
      </x:c>
      <x:c r="M164" t="str">
        <x:v>REG-812731</x:v>
      </x:c>
      <x:c r="N164" t="str">
        <x:v>Generic Ingredient 005</x:v>
      </x:c>
      <x:c r="O164" t="str">
        <x:v>Pharmacy Only</x:v>
      </x:c>
      <x:c r="P164" t="n">
        <x:v>0</x:v>
      </x:c>
      <x:c r="Q164" t="n">
        <x:v>0</x:v>
      </x:c>
      <x:c r="R164" t="n">
        <x:v>0</x:v>
      </x:c>
      <x:c r="S164" s="12" t="n">
        <x:f>E164*Q164</x:f>
        <x:v>0</x:v>
      </x:c>
      <x:c r="T164" s="12" t="n">
        <x:f>ROUND(S164*F164+0.000000001,2)</x:f>
        <x:v>0</x:v>
      </x:c>
      <x:c r="U164" s="12" t="n">
        <x:f>E164*R164</x:f>
        <x:v>0</x:v>
      </x:c>
      <x:c r="V164" t="str">
        <x:f>IF(AND(C164="Active",Q164=0),"Active Zero Sales","Not Zero Sales")</x:f>
        <x:v>Not Zero Sales</x:v>
      </x:c>
      <x:c r="W164" s="12" t="n">
        <x:f>IF(V164="Active Zero Sales",U164,0)</x:f>
        <x:v>0</x:v>
      </x:c>
      <x:c r="X164" t="str">
        <x:f>IF(E164&lt;25,"Low &lt; 25",IF(E164&lt;100,"Medium 25-99",IF(E164&lt;300,"High 100-299","Premium 300+")))</x:f>
        <x:v>Medium 25-99</x:v>
      </x:c>
      <x:c r="Y164" t="n">
        <x:f>IF(C164="Active",1,0)</x:f>
        <x:v>0</x:v>
      </x:c>
    </x:row>
    <x:row r="165">
      <x:c r="A165" t="str">
        <x:v>SKU00164</x:v>
      </x:c>
      <x:c r="B165" t="str">
        <x:v>Sample Product 00164</x:v>
      </x:c>
      <x:c r="C165" t="str">
        <x:v>Blocked</x:v>
      </x:c>
      <x:c r="D165" t="str">
        <x:v>2026-05</x:v>
      </x:c>
      <x:c r="E165" s="12" t="n">
        <x:v>25.2</x:v>
      </x:c>
      <x:c r="F165" s="10" t="n">
        <x:v>0.329</x:v>
      </x:c>
      <x:c r="G165" t="str">
        <x:v>General Merchandise</x:v>
      </x:c>
      <x:c r="H165" t="str">
        <x:v>Seasonal Care</x:v>
      </x:c>
      <x:c r="I165" t="str">
        <x:v>MFG014</x:v>
      </x:c>
      <x:c r="J165" t="str">
        <x:v>Manufacturer 014</x:v>
      </x:c>
      <x:c r="K165" t="str">
        <x:v>SUP016</x:v>
      </x:c>
      <x:c r="L165" t="str">
        <x:v>Supplier 016</x:v>
      </x:c>
      <x:c r="M165" t="str">
        <x:v>REG-380733</x:v>
      </x:c>
      <x:c r="N165" t="str">
        <x:v>Generic Ingredient 031</x:v>
      </x:c>
      <x:c r="O165" t="str">
        <x:v>Pharmacy Only</x:v>
      </x:c>
      <x:c r="P165" t="n">
        <x:v>46</x:v>
      </x:c>
      <x:c r="Q165" t="n">
        <x:v>0</x:v>
      </x:c>
      <x:c r="R165" t="n">
        <x:v>0</x:v>
      </x:c>
      <x:c r="S165" s="12" t="n">
        <x:f>E165*Q165</x:f>
        <x:v>0</x:v>
      </x:c>
      <x:c r="T165" s="12" t="n">
        <x:f>ROUND(S165*F165+0.000000001,2)</x:f>
        <x:v>0</x:v>
      </x:c>
      <x:c r="U165" s="12" t="n">
        <x:f>E165*R165</x:f>
        <x:v>0</x:v>
      </x:c>
      <x:c r="V165" t="str">
        <x:f>IF(AND(C165="Active",Q165=0),"Active Zero Sales","Not Zero Sales")</x:f>
        <x:v>Not Zero Sales</x:v>
      </x:c>
      <x:c r="W165" s="12" t="n">
        <x:f>IF(V165="Active Zero Sales",U165,0)</x:f>
        <x:v>0</x:v>
      </x:c>
      <x:c r="X165" t="str">
        <x:f>IF(E165&lt;25,"Low &lt; 25",IF(E165&lt;100,"Medium 25-99",IF(E165&lt;300,"High 100-299","Premium 300+")))</x:f>
        <x:v>Medium 25-99</x:v>
      </x:c>
      <x:c r="Y165" t="n">
        <x:f>IF(C165="Active",1,0)</x:f>
        <x:v>0</x:v>
      </x:c>
    </x:row>
    <x:row r="166">
      <x:c r="A166" t="str">
        <x:v>SKU00165</x:v>
      </x:c>
      <x:c r="B166" t="str">
        <x:v>Sample Product 00165</x:v>
      </x:c>
      <x:c r="C166" t="str">
        <x:v>Active</x:v>
      </x:c>
      <x:c r="D166" t="str">
        <x:v>2026-06</x:v>
      </x:c>
      <x:c r="E166" s="12" t="n">
        <x:v>12.45</x:v>
      </x:c>
      <x:c r="F166" s="10" t="n">
        <x:v>0.32</x:v>
      </x:c>
      <x:c r="G166" t="str">
        <x:v>Medical Devices</x:v>
      </x:c>
      <x:c r="H166" t="str">
        <x:v>Monitoring Supplies</x:v>
      </x:c>
      <x:c r="I166" t="str">
        <x:v>MFG016</x:v>
      </x:c>
      <x:c r="J166" t="str">
        <x:v>Manufacturer 016</x:v>
      </x:c>
      <x:c r="K166" t="str">
        <x:v>SUP005</x:v>
      </x:c>
      <x:c r="L166" t="str">
        <x:v>Supplier 005</x:v>
      </x:c>
      <x:c r="M166" t="str">
        <x:v>REG-464976</x:v>
      </x:c>
      <x:c r="N166" t="str">
        <x:v>Generic Ingredient 001</x:v>
      </x:c>
      <x:c r="O166" t="str">
        <x:v>General Sale</x:v>
      </x:c>
      <x:c r="P166" t="n">
        <x:v>69</x:v>
      </x:c>
      <x:c r="Q166" t="n">
        <x:v>26</x:v>
      </x:c>
      <x:c r="R166" t="n">
        <x:v>2</x:v>
      </x:c>
      <x:c r="S166" s="12" t="n">
        <x:f>E166*Q166</x:f>
        <x:v>323.7</x:v>
      </x:c>
      <x:c r="T166" s="12" t="n">
        <x:f>ROUND(S166*F166+0.000000001,2)</x:f>
        <x:v>103.58</x:v>
      </x:c>
      <x:c r="U166" s="12" t="n">
        <x:f>E166*R166</x:f>
        <x:v>24.9</x:v>
      </x:c>
      <x:c r="V166" t="str">
        <x:f>IF(AND(C166="Active",Q166=0),"Active Zero Sales","Not Zero Sales")</x:f>
        <x:v>Not Zero Sales</x:v>
      </x:c>
      <x:c r="W166" s="12" t="n">
        <x:f>IF(V166="Active Zero Sales",U166,0)</x:f>
        <x:v>0</x:v>
      </x:c>
      <x:c r="X166" t="str">
        <x:f>IF(E166&lt;25,"Low &lt; 25",IF(E166&lt;100,"Medium 25-99",IF(E166&lt;300,"High 100-299","Premium 300+")))</x:f>
        <x:v>Low &lt; 25</x:v>
      </x:c>
      <x:c r="Y166" t="n">
        <x:f>IF(C166="Active",1,0)</x:f>
        <x:v>1</x:v>
      </x:c>
    </x:row>
    <x:row r="167">
      <x:c r="A167" t="str">
        <x:v>SKU00166</x:v>
      </x:c>
      <x:c r="B167" t="str">
        <x:v>Sample Product 00166</x:v>
      </x:c>
      <x:c r="C167" t="str">
        <x:v>Active</x:v>
      </x:c>
      <x:c r="D167" t="str">
        <x:v>2026-06</x:v>
      </x:c>
      <x:c r="E167" s="12" t="n">
        <x:v>43.2</x:v>
      </x:c>
      <x:c r="F167" s="10" t="n">
        <x:v>0.354</x:v>
      </x:c>
      <x:c r="G167" t="str">
        <x:v>OTC &amp; Wellness</x:v>
      </x:c>
      <x:c r="H167" t="str">
        <x:v>Vitamins</x:v>
      </x:c>
      <x:c r="I167" t="str">
        <x:v>MFG016</x:v>
      </x:c>
      <x:c r="J167" t="str">
        <x:v>Manufacturer 016</x:v>
      </x:c>
      <x:c r="K167" t="str">
        <x:v>SUP003</x:v>
      </x:c>
      <x:c r="L167" t="str">
        <x:v>Supplier 003</x:v>
      </x:c>
      <x:c r="M167" t="str">
        <x:v>REG-827261</x:v>
      </x:c>
      <x:c r="N167" t="str">
        <x:v>Generic Ingredient 097</x:v>
      </x:c>
      <x:c r="O167" t="str">
        <x:v>General Sale</x:v>
      </x:c>
      <x:c r="P167" t="n">
        <x:v>42</x:v>
      </x:c>
      <x:c r="Q167" t="n">
        <x:v>14</x:v>
      </x:c>
      <x:c r="R167" t="n">
        <x:v>11</x:v>
      </x:c>
      <x:c r="S167" s="12" t="n">
        <x:f>E167*Q167</x:f>
        <x:v>604.8000000000001</x:v>
      </x:c>
      <x:c r="T167" s="12" t="n">
        <x:f>ROUND(S167*F167+0.000000001,2)</x:f>
        <x:v>214.1</x:v>
      </x:c>
      <x:c r="U167" s="12" t="n">
        <x:f>E167*R167</x:f>
        <x:v>475.20000000000005</x:v>
      </x:c>
      <x:c r="V167" t="str">
        <x:f>IF(AND(C167="Active",Q167=0),"Active Zero Sales","Not Zero Sales")</x:f>
        <x:v>Not Zero Sales</x:v>
      </x:c>
      <x:c r="W167" s="12" t="n">
        <x:f>IF(V167="Active Zero Sales",U167,0)</x:f>
        <x:v>0</x:v>
      </x:c>
      <x:c r="X167" t="str">
        <x:f>IF(E167&lt;25,"Low &lt; 25",IF(E167&lt;100,"Medium 25-99",IF(E167&lt;300,"High 100-299","Premium 300+")))</x:f>
        <x:v>Medium 25-99</x:v>
      </x:c>
      <x:c r="Y167" t="n">
        <x:f>IF(C167="Active",1,0)</x:f>
        <x:v>1</x:v>
      </x:c>
    </x:row>
    <x:row r="168">
      <x:c r="A168" t="str">
        <x:v>SKU00167</x:v>
      </x:c>
      <x:c r="B168" t="str">
        <x:v>Sample Product 00167</x:v>
      </x:c>
      <x:c r="C168" t="str">
        <x:v>Blocked</x:v>
      </x:c>
      <x:c r="D168" t="str">
        <x:v>2026-03</x:v>
      </x:c>
      <x:c r="E168" s="12" t="n">
        <x:v>34.69</x:v>
      </x:c>
      <x:c r="F168" s="10" t="n">
        <x:v>0.266</x:v>
      </x:c>
      <x:c r="G168" t="str">
        <x:v>OTC &amp; Wellness</x:v>
      </x:c>
      <x:c r="H168" t="str">
        <x:v>Pain Relief</x:v>
      </x:c>
      <x:c r="I168" t="str">
        <x:v>MFG006</x:v>
      </x:c>
      <x:c r="J168" t="str">
        <x:v>Manufacturer 006</x:v>
      </x:c>
      <x:c r="K168" t="str">
        <x:v>SUP011</x:v>
      </x:c>
      <x:c r="L168" t="str">
        <x:v>Supplier 011</x:v>
      </x:c>
      <x:c r="M168" t="str">
        <x:v>REG-872400</x:v>
      </x:c>
      <x:c r="N168" t="str">
        <x:v>Generic Ingredient 119</x:v>
      </x:c>
      <x:c r="O168" t="str">
        <x:v>General Sale</x:v>
      </x:c>
      <x:c r="P168" t="n">
        <x:v>56</x:v>
      </x:c>
      <x:c r="Q168" t="n">
        <x:v>29</x:v>
      </x:c>
      <x:c r="R168" t="n">
        <x:v>14</x:v>
      </x:c>
      <x:c r="S168" s="12" t="n">
        <x:f>E168*Q168</x:f>
        <x:v>1006.01</x:v>
      </x:c>
      <x:c r="T168" s="12" t="n">
        <x:f>ROUND(S168*F168+0.000000001,2)</x:f>
        <x:v>267.6</x:v>
      </x:c>
      <x:c r="U168" s="12" t="n">
        <x:f>E168*R168</x:f>
        <x:v>485.65999999999997</x:v>
      </x:c>
      <x:c r="V168" t="str">
        <x:f>IF(AND(C168="Active",Q168=0),"Active Zero Sales","Not Zero Sales")</x:f>
        <x:v>Not Zero Sales</x:v>
      </x:c>
      <x:c r="W168" s="12" t="n">
        <x:f>IF(V168="Active Zero Sales",U168,0)</x:f>
        <x:v>0</x:v>
      </x:c>
      <x:c r="X168" t="str">
        <x:f>IF(E168&lt;25,"Low &lt; 25",IF(E168&lt;100,"Medium 25-99",IF(E168&lt;300,"High 100-299","Premium 300+")))</x:f>
        <x:v>Medium 25-99</x:v>
      </x:c>
      <x:c r="Y168" t="n">
        <x:f>IF(C168="Active",1,0)</x:f>
        <x:v>0</x:v>
      </x:c>
    </x:row>
    <x:row r="169">
      <x:c r="A169" t="str">
        <x:v>SKU00168</x:v>
      </x:c>
      <x:c r="B169" t="str">
        <x:v>Sample Product 00168</x:v>
      </x:c>
      <x:c r="C169" t="str">
        <x:v>Active</x:v>
      </x:c>
      <x:c r="D169" t="str">
        <x:v>2026-06</x:v>
      </x:c>
      <x:c r="E169" s="12" t="n">
        <x:v>43.5</x:v>
      </x:c>
      <x:c r="F169" s="10" t="n">
        <x:v>0.254</x:v>
      </x:c>
      <x:c r="G169" t="str">
        <x:v>OTC &amp; Wellness</x:v>
      </x:c>
      <x:c r="H169" t="str">
        <x:v>Vitamins</x:v>
      </x:c>
      <x:c r="I169" t="str">
        <x:v>MFG006</x:v>
      </x:c>
      <x:c r="J169" t="str">
        <x:v>Manufacturer 006</x:v>
      </x:c>
      <x:c r="K169" t="str">
        <x:v>SUP005</x:v>
      </x:c>
      <x:c r="L169" t="str">
        <x:v>Supplier 005</x:v>
      </x:c>
      <x:c r="M169" t="str">
        <x:v>REG-829018</x:v>
      </x:c>
      <x:c r="N169" t="str">
        <x:v>Generic Ingredient 175</x:v>
      </x:c>
      <x:c r="O169" t="str">
        <x:v>General Sale</x:v>
      </x:c>
      <x:c r="P169" t="n">
        <x:v>11</x:v>
      </x:c>
      <x:c r="Q169" t="n">
        <x:v>4</x:v>
      </x:c>
      <x:c r="R169" t="n">
        <x:v>0</x:v>
      </x:c>
      <x:c r="S169" s="12" t="n">
        <x:f>E169*Q169</x:f>
        <x:v>174</x:v>
      </x:c>
      <x:c r="T169" s="12" t="n">
        <x:f>ROUND(S169*F169+0.000000001,2)</x:f>
        <x:v>44.2</x:v>
      </x:c>
      <x:c r="U169" s="12" t="n">
        <x:f>E169*R169</x:f>
        <x:v>0</x:v>
      </x:c>
      <x:c r="V169" t="str">
        <x:f>IF(AND(C169="Active",Q169=0),"Active Zero Sales","Not Zero Sales")</x:f>
        <x:v>Not Zero Sales</x:v>
      </x:c>
      <x:c r="W169" s="12" t="n">
        <x:f>IF(V169="Active Zero Sales",U169,0)</x:f>
        <x:v>0</x:v>
      </x:c>
      <x:c r="X169" t="str">
        <x:f>IF(E169&lt;25,"Low &lt; 25",IF(E169&lt;100,"Medium 25-99",IF(E169&lt;300,"High 100-299","Premium 300+")))</x:f>
        <x:v>Medium 25-99</x:v>
      </x:c>
      <x:c r="Y169" t="n">
        <x:f>IF(C169="Active",1,0)</x:f>
        <x:v>1</x:v>
      </x:c>
    </x:row>
    <x:row r="170">
      <x:c r="A170" t="str">
        <x:v>SKU00169</x:v>
      </x:c>
      <x:c r="B170" t="str">
        <x:v>Sample Product 00169</x:v>
      </x:c>
      <x:c r="C170" t="str">
        <x:v>Active</x:v>
      </x:c>
      <x:c r="D170" t="str">
        <x:v>2026-02</x:v>
      </x:c>
      <x:c r="E170" s="12" t="n">
        <x:v>11.45</x:v>
      </x:c>
      <x:c r="F170" s="10" t="n">
        <x:v>0.344</x:v>
      </x:c>
      <x:c r="G170" t="str">
        <x:v>General Merchandise</x:v>
      </x:c>
      <x:c r="H170" t="str">
        <x:v>Baby Essentials</x:v>
      </x:c>
      <x:c r="I170" t="str">
        <x:v>MFG003</x:v>
      </x:c>
      <x:c r="J170" t="str">
        <x:v>Manufacturer 003</x:v>
      </x:c>
      <x:c r="K170" t="str">
        <x:v>SUP007</x:v>
      </x:c>
      <x:c r="L170" t="str">
        <x:v>Supplier 007</x:v>
      </x:c>
      <x:c r="M170" t="str">
        <x:v>REG-512642</x:v>
      </x:c>
      <x:c r="N170" t="str">
        <x:v>Generic Ingredient 117</x:v>
      </x:c>
      <x:c r="O170" t="str">
        <x:v>General Sale</x:v>
      </x:c>
      <x:c r="P170" t="n">
        <x:v>203</x:v>
      </x:c>
      <x:c r="Q170" t="n">
        <x:v>118</x:v>
      </x:c>
      <x:c r="R170" t="n">
        <x:v>56</x:v>
      </x:c>
      <x:c r="S170" s="12" t="n">
        <x:f>E170*Q170</x:f>
        <x:v>1351.1</x:v>
      </x:c>
      <x:c r="T170" s="12" t="n">
        <x:f>ROUND(S170*F170+0.000000001,2)</x:f>
        <x:v>464.78</x:v>
      </x:c>
      <x:c r="U170" s="12" t="n">
        <x:f>E170*R170</x:f>
        <x:v>641.1999999999999</x:v>
      </x:c>
      <x:c r="V170" t="str">
        <x:f>IF(AND(C170="Active",Q170=0),"Active Zero Sales","Not Zero Sales")</x:f>
        <x:v>Not Zero Sales</x:v>
      </x:c>
      <x:c r="W170" s="12" t="n">
        <x:f>IF(V170="Active Zero Sales",U170,0)</x:f>
        <x:v>0</x:v>
      </x:c>
      <x:c r="X170" t="str">
        <x:f>IF(E170&lt;25,"Low &lt; 25",IF(E170&lt;100,"Medium 25-99",IF(E170&lt;300,"High 100-299","Premium 300+")))</x:f>
        <x:v>Low &lt; 25</x:v>
      </x:c>
      <x:c r="Y170" t="n">
        <x:f>IF(C170="Active",1,0)</x:f>
        <x:v>1</x:v>
      </x:c>
    </x:row>
    <x:row r="171">
      <x:c r="A171" t="str">
        <x:v>SKU00170</x:v>
      </x:c>
      <x:c r="B171" t="str">
        <x:v>Sample Product 00170</x:v>
      </x:c>
      <x:c r="C171" t="str">
        <x:v>Active</x:v>
      </x:c>
      <x:c r="D171" t="str">
        <x:v>2026-02</x:v>
      </x:c>
      <x:c r="E171" s="12" t="n">
        <x:v>10.64</x:v>
      </x:c>
      <x:c r="F171" s="10" t="n">
        <x:v>0.344</x:v>
      </x:c>
      <x:c r="G171" t="str">
        <x:v>Personal Care</x:v>
      </x:c>
      <x:c r="H171" t="str">
        <x:v>Hair Care</x:v>
      </x:c>
      <x:c r="I171" t="str">
        <x:v>MFG015</x:v>
      </x:c>
      <x:c r="J171" t="str">
        <x:v>Manufacturer 015</x:v>
      </x:c>
      <x:c r="K171" t="str">
        <x:v>SUP014</x:v>
      </x:c>
      <x:c r="L171" t="str">
        <x:v>Supplier 014</x:v>
      </x:c>
      <x:c r="M171" t="str">
        <x:v>REG-424204</x:v>
      </x:c>
      <x:c r="N171" t="str">
        <x:v>Generic Ingredient 068</x:v>
      </x:c>
      <x:c r="O171" t="str">
        <x:v>General Sale</x:v>
      </x:c>
      <x:c r="P171" t="n">
        <x:v>94</x:v>
      </x:c>
      <x:c r="Q171" t="n">
        <x:v>35</x:v>
      </x:c>
      <x:c r="R171" t="n">
        <x:v>29</x:v>
      </x:c>
      <x:c r="S171" s="12" t="n">
        <x:f>E171*Q171</x:f>
        <x:v>372.40000000000003</x:v>
      </x:c>
      <x:c r="T171" s="12" t="n">
        <x:f>ROUND(S171*F171+0.000000001,2)</x:f>
        <x:v>128.11</x:v>
      </x:c>
      <x:c r="U171" s="12" t="n">
        <x:f>E171*R171</x:f>
        <x:v>308.56</x:v>
      </x:c>
      <x:c r="V171" t="str">
        <x:f>IF(AND(C171="Active",Q171=0),"Active Zero Sales","Not Zero Sales")</x:f>
        <x:v>Not Zero Sales</x:v>
      </x:c>
      <x:c r="W171" s="12" t="n">
        <x:f>IF(V171="Active Zero Sales",U171,0)</x:f>
        <x:v>0</x:v>
      </x:c>
      <x:c r="X171" t="str">
        <x:f>IF(E171&lt;25,"Low &lt; 25",IF(E171&lt;100,"Medium 25-99",IF(E171&lt;300,"High 100-299","Premium 300+")))</x:f>
        <x:v>Low &lt; 25</x:v>
      </x:c>
      <x:c r="Y171" t="n">
        <x:f>IF(C171="Active",1,0)</x:f>
        <x:v>1</x:v>
      </x:c>
    </x:row>
    <x:row r="172">
      <x:c r="A172" t="str">
        <x:v>SKU00171</x:v>
      </x:c>
      <x:c r="B172" t="str">
        <x:v>Sample Product 00171</x:v>
      </x:c>
      <x:c r="C172" t="str">
        <x:v>Active</x:v>
      </x:c>
      <x:c r="D172" t="str">
        <x:v>2026-02</x:v>
      </x:c>
      <x:c r="E172" s="12" t="n">
        <x:v>204.41</x:v>
      </x:c>
      <x:c r="F172" s="10" t="n">
        <x:v>0.39</x:v>
      </x:c>
      <x:c r="G172" t="str">
        <x:v>General Merchandise</x:v>
      </x:c>
      <x:c r="H172" t="str">
        <x:v>Travel Health</x:v>
      </x:c>
      <x:c r="I172" t="str">
        <x:v>MFG013</x:v>
      </x:c>
      <x:c r="J172" t="str">
        <x:v>Manufacturer 013</x:v>
      </x:c>
      <x:c r="K172" t="str">
        <x:v>SUP019</x:v>
      </x:c>
      <x:c r="L172" t="str">
        <x:v>Supplier 019</x:v>
      </x:c>
      <x:c r="M172" t="str">
        <x:v>REG-133876</x:v>
      </x:c>
      <x:c r="N172" t="str">
        <x:v>Generic Ingredient 008</x:v>
      </x:c>
      <x:c r="O172" t="str">
        <x:v>General Sale</x:v>
      </x:c>
      <x:c r="P172" t="n">
        <x:v>107</x:v>
      </x:c>
      <x:c r="Q172" t="n">
        <x:v>37</x:v>
      </x:c>
      <x:c r="R172" t="n">
        <x:v>27</x:v>
      </x:c>
      <x:c r="S172" s="12" t="n">
        <x:f>E172*Q172</x:f>
        <x:v>7563.17</x:v>
      </x:c>
      <x:c r="T172" s="12" t="n">
        <x:f>ROUND(S172*F172+0.000000001,2)</x:f>
        <x:v>2949.64</x:v>
      </x:c>
      <x:c r="U172" s="12" t="n">
        <x:f>E172*R172</x:f>
        <x:v>5519.07</x:v>
      </x:c>
      <x:c r="V172" t="str">
        <x:f>IF(AND(C172="Active",Q172=0),"Active Zero Sales","Not Zero Sales")</x:f>
        <x:v>Not Zero Sales</x:v>
      </x:c>
      <x:c r="W172" s="12" t="n">
        <x:f>IF(V172="Active Zero Sales",U172,0)</x:f>
        <x:v>0</x:v>
      </x:c>
      <x:c r="X172" t="str">
        <x:f>IF(E172&lt;25,"Low &lt; 25",IF(E172&lt;100,"Medium 25-99",IF(E172&lt;300,"High 100-299","Premium 300+")))</x:f>
        <x:v>High 100-299</x:v>
      </x:c>
      <x:c r="Y172" t="n">
        <x:f>IF(C172="Active",1,0)</x:f>
        <x:v>1</x:v>
      </x:c>
    </x:row>
    <x:row r="173">
      <x:c r="A173" t="str">
        <x:v>SKU00172</x:v>
      </x:c>
      <x:c r="B173" t="str">
        <x:v>Sample Product 00172</x:v>
      </x:c>
      <x:c r="C173" t="str">
        <x:v>Active</x:v>
      </x:c>
      <x:c r="D173" t="str">
        <x:v>2026-05</x:v>
      </x:c>
      <x:c r="E173" s="12" t="n">
        <x:v>265.47</x:v>
      </x:c>
      <x:c r="F173" s="10" t="n">
        <x:v>0.384</x:v>
      </x:c>
      <x:c r="G173" t="str">
        <x:v>General Merchandise</x:v>
      </x:c>
      <x:c r="H173" t="str">
        <x:v>Seasonal Care</x:v>
      </x:c>
      <x:c r="I173" t="str">
        <x:v>MFG017</x:v>
      </x:c>
      <x:c r="J173" t="str">
        <x:v>Manufacturer 017</x:v>
      </x:c>
      <x:c r="K173" t="str">
        <x:v>SUP020</x:v>
      </x:c>
      <x:c r="L173" t="str">
        <x:v>Supplier 020</x:v>
      </x:c>
      <x:c r="M173" t="str">
        <x:v>REG-628346</x:v>
      </x:c>
      <x:c r="N173" t="str">
        <x:v>Generic Ingredient 102</x:v>
      </x:c>
      <x:c r="O173" t="str">
        <x:v>General Sale</x:v>
      </x:c>
      <x:c r="P173" t="n">
        <x:v>19</x:v>
      </x:c>
      <x:c r="Q173" t="n">
        <x:v>15</x:v>
      </x:c>
      <x:c r="R173" t="n">
        <x:v>0</x:v>
      </x:c>
      <x:c r="S173" s="12" t="n">
        <x:f>E173*Q173</x:f>
        <x:v>3982.05</x:v>
      </x:c>
      <x:c r="T173" s="12" t="n">
        <x:f>ROUND(S173*F173+0.000000001,2)</x:f>
        <x:v>1529.11</x:v>
      </x:c>
      <x:c r="U173" s="12" t="n">
        <x:f>E173*R173</x:f>
        <x:v>0</x:v>
      </x:c>
      <x:c r="V173" t="str">
        <x:f>IF(AND(C173="Active",Q173=0),"Active Zero Sales","Not Zero Sales")</x:f>
        <x:v>Not Zero Sales</x:v>
      </x:c>
      <x:c r="W173" s="12" t="n">
        <x:f>IF(V173="Active Zero Sales",U173,0)</x:f>
        <x:v>0</x:v>
      </x:c>
      <x:c r="X173" t="str">
        <x:f>IF(E173&lt;25,"Low &lt; 25",IF(E173&lt;100,"Medium 25-99",IF(E173&lt;300,"High 100-299","Premium 300+")))</x:f>
        <x:v>High 100-299</x:v>
      </x:c>
      <x:c r="Y173" t="n">
        <x:f>IF(C173="Active",1,0)</x:f>
        <x:v>1</x:v>
      </x:c>
    </x:row>
    <x:row r="174">
      <x:c r="A174" t="str">
        <x:v>SKU00173</x:v>
      </x:c>
      <x:c r="B174" t="str">
        <x:v>Sample Product 00173</x:v>
      </x:c>
      <x:c r="C174" t="str">
        <x:v>Active</x:v>
      </x:c>
      <x:c r="D174" t="str">
        <x:v>2026-03</x:v>
      </x:c>
      <x:c r="E174" s="12" t="n">
        <x:v>110.58</x:v>
      </x:c>
      <x:c r="F174" s="10" t="n">
        <x:v>0.351</x:v>
      </x:c>
      <x:c r="G174" t="str">
        <x:v>OTC &amp; Wellness</x:v>
      </x:c>
      <x:c r="H174" t="str">
        <x:v>Cold &amp; Allergy</x:v>
      </x:c>
      <x:c r="I174" t="str">
        <x:v>MFG004</x:v>
      </x:c>
      <x:c r="J174" t="str">
        <x:v>Manufacturer 004</x:v>
      </x:c>
      <x:c r="K174" t="str">
        <x:v>SUP029</x:v>
      </x:c>
      <x:c r="L174" t="str">
        <x:v>Supplier 029</x:v>
      </x:c>
      <x:c r="M174" t="str">
        <x:v>REG-195213</x:v>
      </x:c>
      <x:c r="N174" t="str">
        <x:v>Generic Ingredient 093</x:v>
      </x:c>
      <x:c r="O174" t="str">
        <x:v>Pharmacy Only</x:v>
      </x:c>
      <x:c r="P174" t="n">
        <x:v>203</x:v>
      </x:c>
      <x:c r="Q174" t="n">
        <x:v>127</x:v>
      </x:c>
      <x:c r="R174" t="n">
        <x:v>55</x:v>
      </x:c>
      <x:c r="S174" s="12" t="n">
        <x:f>E174*Q174</x:f>
        <x:v>14043.66</x:v>
      </x:c>
      <x:c r="T174" s="12" t="n">
        <x:f>ROUND(S174*F174+0.000000001,2)</x:f>
        <x:v>4929.32</x:v>
      </x:c>
      <x:c r="U174" s="12" t="n">
        <x:f>E174*R174</x:f>
        <x:v>6081.9</x:v>
      </x:c>
      <x:c r="V174" t="str">
        <x:f>IF(AND(C174="Active",Q174=0),"Active Zero Sales","Not Zero Sales")</x:f>
        <x:v>Not Zero Sales</x:v>
      </x:c>
      <x:c r="W174" s="12" t="n">
        <x:f>IF(V174="Active Zero Sales",U174,0)</x:f>
        <x:v>0</x:v>
      </x:c>
      <x:c r="X174" t="str">
        <x:f>IF(E174&lt;25,"Low &lt; 25",IF(E174&lt;100,"Medium 25-99",IF(E174&lt;300,"High 100-299","Premium 300+")))</x:f>
        <x:v>High 100-299</x:v>
      </x:c>
      <x:c r="Y174" t="n">
        <x:f>IF(C174="Active",1,0)</x:f>
        <x:v>1</x:v>
      </x:c>
    </x:row>
    <x:row r="175">
      <x:c r="A175" t="str">
        <x:v>SKU00174</x:v>
      </x:c>
      <x:c r="B175" t="str">
        <x:v>Sample Product 00174</x:v>
      </x:c>
      <x:c r="C175" t="str">
        <x:v>Active</x:v>
      </x:c>
      <x:c r="D175" t="str">
        <x:v>2026-05</x:v>
      </x:c>
      <x:c r="E175" s="12" t="n">
        <x:v>7.05</x:v>
      </x:c>
      <x:c r="F175" s="10" t="n">
        <x:v>0.274</x:v>
      </x:c>
      <x:c r="G175" t="str">
        <x:v>Medical Devices</x:v>
      </x:c>
      <x:c r="H175" t="str">
        <x:v>Home Diagnostics</x:v>
      </x:c>
      <x:c r="I175" t="str">
        <x:v>MFG004</x:v>
      </x:c>
      <x:c r="J175" t="str">
        <x:v>Manufacturer 004</x:v>
      </x:c>
      <x:c r="K175" t="str">
        <x:v>SUP003</x:v>
      </x:c>
      <x:c r="L175" t="str">
        <x:v>Supplier 003</x:v>
      </x:c>
      <x:c r="M175" t="str">
        <x:v>REG-824908</x:v>
      </x:c>
      <x:c r="N175" t="str">
        <x:v>Generic Ingredient 113</x:v>
      </x:c>
      <x:c r="O175" t="str">
        <x:v>General Sale</x:v>
      </x:c>
      <x:c r="P175" t="n">
        <x:v>82</x:v>
      </x:c>
      <x:c r="Q175" t="n">
        <x:v>31</x:v>
      </x:c>
      <x:c r="R175" t="n">
        <x:v>13</x:v>
      </x:c>
      <x:c r="S175" s="12" t="n">
        <x:f>E175*Q175</x:f>
        <x:v>218.54999999999998</x:v>
      </x:c>
      <x:c r="T175" s="12" t="n">
        <x:f>ROUND(S175*F175+0.000000001,2)</x:f>
        <x:v>59.88</x:v>
      </x:c>
      <x:c r="U175" s="12" t="n">
        <x:f>E175*R175</x:f>
        <x:v>91.64999999999999</x:v>
      </x:c>
      <x:c r="V175" t="str">
        <x:f>IF(AND(C175="Active",Q175=0),"Active Zero Sales","Not Zero Sales")</x:f>
        <x:v>Not Zero Sales</x:v>
      </x:c>
      <x:c r="W175" s="12" t="n">
        <x:f>IF(V175="Active Zero Sales",U175,0)</x:f>
        <x:v>0</x:v>
      </x:c>
      <x:c r="X175" t="str">
        <x:f>IF(E175&lt;25,"Low &lt; 25",IF(E175&lt;100,"Medium 25-99",IF(E175&lt;300,"High 100-299","Premium 300+")))</x:f>
        <x:v>Low &lt; 25</x:v>
      </x:c>
      <x:c r="Y175" t="n">
        <x:f>IF(C175="Active",1,0)</x:f>
        <x:v>1</x:v>
      </x:c>
    </x:row>
    <x:row r="176">
      <x:c r="A176" t="str">
        <x:v>SKU00175</x:v>
      </x:c>
      <x:c r="B176" t="str">
        <x:v>Sample Product 00175</x:v>
      </x:c>
      <x:c r="C176" t="str">
        <x:v>Active</x:v>
      </x:c>
      <x:c r="D176" t="str">
        <x:v>2026-01</x:v>
      </x:c>
      <x:c r="E176" s="12" t="n">
        <x:v>144.9</x:v>
      </x:c>
      <x:c r="F176" s="10" t="n">
        <x:v>0.366</x:v>
      </x:c>
      <x:c r="G176" t="str">
        <x:v>Personal Care</x:v>
      </x:c>
      <x:c r="H176" t="str">
        <x:v>Oral Care</x:v>
      </x:c>
      <x:c r="I176" t="str">
        <x:v>MFG001</x:v>
      </x:c>
      <x:c r="J176" t="str">
        <x:v>Manufacturer 001</x:v>
      </x:c>
      <x:c r="K176" t="str">
        <x:v>SUP022</x:v>
      </x:c>
      <x:c r="L176" t="str">
        <x:v>Supplier 022</x:v>
      </x:c>
      <x:c r="M176" t="str">
        <x:v>REG-180911</x:v>
      </x:c>
      <x:c r="N176" t="str">
        <x:v>Generic Ingredient 085</x:v>
      </x:c>
      <x:c r="O176" t="str">
        <x:v>General Sale</x:v>
      </x:c>
      <x:c r="P176" t="n">
        <x:v>32</x:v>
      </x:c>
      <x:c r="Q176" t="n">
        <x:v>9</x:v>
      </x:c>
      <x:c r="R176" t="n">
        <x:v>0</x:v>
      </x:c>
      <x:c r="S176" s="12" t="n">
        <x:f>E176*Q176</x:f>
        <x:v>1304.1000000000001</x:v>
      </x:c>
      <x:c r="T176" s="12" t="n">
        <x:f>ROUND(S176*F176+0.000000001,2)</x:f>
        <x:v>477.3</x:v>
      </x:c>
      <x:c r="U176" s="12" t="n">
        <x:f>E176*R176</x:f>
        <x:v>0</x:v>
      </x:c>
      <x:c r="V176" t="str">
        <x:f>IF(AND(C176="Active",Q176=0),"Active Zero Sales","Not Zero Sales")</x:f>
        <x:v>Not Zero Sales</x:v>
      </x:c>
      <x:c r="W176" s="12" t="n">
        <x:f>IF(V176="Active Zero Sales",U176,0)</x:f>
        <x:v>0</x:v>
      </x:c>
      <x:c r="X176" t="str">
        <x:f>IF(E176&lt;25,"Low &lt; 25",IF(E176&lt;100,"Medium 25-99",IF(E176&lt;300,"High 100-299","Premium 300+")))</x:f>
        <x:v>High 100-299</x:v>
      </x:c>
      <x:c r="Y176" t="n">
        <x:f>IF(C176="Active",1,0)</x:f>
        <x:v>1</x:v>
      </x:c>
    </x:row>
    <x:row r="177">
      <x:c r="A177" t="str">
        <x:v>SKU00176</x:v>
      </x:c>
      <x:c r="B177" t="str">
        <x:v>Sample Product 00176</x:v>
      </x:c>
      <x:c r="C177" t="str">
        <x:v>Active</x:v>
      </x:c>
      <x:c r="D177" t="str">
        <x:v>2026-05</x:v>
      </x:c>
      <x:c r="E177" s="12" t="n">
        <x:v>456.75</x:v>
      </x:c>
      <x:c r="F177" s="10" t="n">
        <x:v>0.439</x:v>
      </x:c>
      <x:c r="G177" t="str">
        <x:v>Personal Care</x:v>
      </x:c>
      <x:c r="H177" t="str">
        <x:v>Hygiene</x:v>
      </x:c>
      <x:c r="I177" t="str">
        <x:v>MFG006</x:v>
      </x:c>
      <x:c r="J177" t="str">
        <x:v>Manufacturer 006</x:v>
      </x:c>
      <x:c r="K177" t="str">
        <x:v>SUP024</x:v>
      </x:c>
      <x:c r="L177" t="str">
        <x:v>Supplier 024</x:v>
      </x:c>
      <x:c r="M177" t="str">
        <x:v>REG-736388</x:v>
      </x:c>
      <x:c r="N177" t="str">
        <x:v>Generic Ingredient 045</x:v>
      </x:c>
      <x:c r="O177" t="str">
        <x:v>Pharmacy Only</x:v>
      </x:c>
      <x:c r="P177" t="n">
        <x:v>198</x:v>
      </x:c>
      <x:c r="Q177" t="n">
        <x:v>136</x:v>
      </x:c>
      <x:c r="R177" t="n">
        <x:v>37</x:v>
      </x:c>
      <x:c r="S177" s="12" t="n">
        <x:f>E177*Q177</x:f>
        <x:v>62118</x:v>
      </x:c>
      <x:c r="T177" s="12" t="n">
        <x:f>ROUND(S177*F177+0.000000001,2)</x:f>
        <x:v>27269.8</x:v>
      </x:c>
      <x:c r="U177" s="12" t="n">
        <x:f>E177*R177</x:f>
        <x:v>16899.75</x:v>
      </x:c>
      <x:c r="V177" t="str">
        <x:f>IF(AND(C177="Active",Q177=0),"Active Zero Sales","Not Zero Sales")</x:f>
        <x:v>Not Zero Sales</x:v>
      </x:c>
      <x:c r="W177" s="12" t="n">
        <x:f>IF(V177="Active Zero Sales",U177,0)</x:f>
        <x:v>0</x:v>
      </x:c>
      <x:c r="X177" t="str">
        <x:f>IF(E177&lt;25,"Low &lt; 25",IF(E177&lt;100,"Medium 25-99",IF(E177&lt;300,"High 100-299","Premium 300+")))</x:f>
        <x:v>Premium 300+</x:v>
      </x:c>
      <x:c r="Y177" t="n">
        <x:f>IF(C177="Active",1,0)</x:f>
        <x:v>1</x:v>
      </x:c>
    </x:row>
    <x:row r="178">
      <x:c r="A178" t="str">
        <x:v>SKU00177</x:v>
      </x:c>
      <x:c r="B178" t="str">
        <x:v>Sample Product 00177</x:v>
      </x:c>
      <x:c r="C178" t="str">
        <x:v>Active</x:v>
      </x:c>
      <x:c r="D178" t="str">
        <x:v>2026-04</x:v>
      </x:c>
      <x:c r="E178" s="12" t="n">
        <x:v>117.51</x:v>
      </x:c>
      <x:c r="F178" s="10" t="n">
        <x:v>0.31</x:v>
      </x:c>
      <x:c r="G178" t="str">
        <x:v>Medical Devices</x:v>
      </x:c>
      <x:c r="H178" t="str">
        <x:v>Mobility Aids</x:v>
      </x:c>
      <x:c r="I178" t="str">
        <x:v>MFG002</x:v>
      </x:c>
      <x:c r="J178" t="str">
        <x:v>Manufacturer 002</x:v>
      </x:c>
      <x:c r="K178" t="str">
        <x:v>SUP011</x:v>
      </x:c>
      <x:c r="L178" t="str">
        <x:v>Supplier 011</x:v>
      </x:c>
      <x:c r="M178" t="str">
        <x:v>REG-570559</x:v>
      </x:c>
      <x:c r="N178" t="str">
        <x:v>Generic Ingredient 164</x:v>
      </x:c>
      <x:c r="O178" t="str">
        <x:v>General Sale</x:v>
      </x:c>
      <x:c r="P178" t="n">
        <x:v>118</x:v>
      </x:c>
      <x:c r="Q178" t="n">
        <x:v>44</x:v>
      </x:c>
      <x:c r="R178" t="n">
        <x:v>28</x:v>
      </x:c>
      <x:c r="S178" s="12" t="n">
        <x:f>E178*Q178</x:f>
        <x:v>5170.4400000000005</x:v>
      </x:c>
      <x:c r="T178" s="12" t="n">
        <x:f>ROUND(S178*F178+0.000000001,2)</x:f>
        <x:v>1602.84</x:v>
      </x:c>
      <x:c r="U178" s="12" t="n">
        <x:f>E178*R178</x:f>
        <x:v>3290.28</x:v>
      </x:c>
      <x:c r="V178" t="str">
        <x:f>IF(AND(C178="Active",Q178=0),"Active Zero Sales","Not Zero Sales")</x:f>
        <x:v>Not Zero Sales</x:v>
      </x:c>
      <x:c r="W178" s="12" t="n">
        <x:f>IF(V178="Active Zero Sales",U178,0)</x:f>
        <x:v>0</x:v>
      </x:c>
      <x:c r="X178" t="str">
        <x:f>IF(E178&lt;25,"Low &lt; 25",IF(E178&lt;100,"Medium 25-99",IF(E178&lt;300,"High 100-299","Premium 300+")))</x:f>
        <x:v>High 100-299</x:v>
      </x:c>
      <x:c r="Y178" t="n">
        <x:f>IF(C178="Active",1,0)</x:f>
        <x:v>1</x:v>
      </x:c>
    </x:row>
    <x:row r="179">
      <x:c r="A179" t="str">
        <x:v>SKU00178</x:v>
      </x:c>
      <x:c r="B179" t="str">
        <x:v>Sample Product 00178</x:v>
      </x:c>
      <x:c r="C179" t="str">
        <x:v>Active</x:v>
      </x:c>
      <x:c r="D179" t="str">
        <x:v>2026-03</x:v>
      </x:c>
      <x:c r="E179" s="12" t="n">
        <x:v>295.99</x:v>
      </x:c>
      <x:c r="F179" s="10" t="n">
        <x:v>0.268</x:v>
      </x:c>
      <x:c r="G179" t="str">
        <x:v>OTC &amp; Wellness</x:v>
      </x:c>
      <x:c r="H179" t="str">
        <x:v>Pain Relief</x:v>
      </x:c>
      <x:c r="I179" t="str">
        <x:v>MFG017</x:v>
      </x:c>
      <x:c r="J179" t="str">
        <x:v>Manufacturer 017</x:v>
      </x:c>
      <x:c r="K179" t="str">
        <x:v>SUP002</x:v>
      </x:c>
      <x:c r="L179" t="str">
        <x:v>Supplier 002</x:v>
      </x:c>
      <x:c r="M179" t="str">
        <x:v>REG-394841</x:v>
      </x:c>
      <x:c r="N179" t="str">
        <x:v>Generic Ingredient 161</x:v>
      </x:c>
      <x:c r="O179" t="str">
        <x:v>General Sale</x:v>
      </x:c>
      <x:c r="P179" t="n">
        <x:v>67</x:v>
      </x:c>
      <x:c r="Q179" t="n">
        <x:v>18</x:v>
      </x:c>
      <x:c r="R179" t="n">
        <x:v>2</x:v>
      </x:c>
      <x:c r="S179" s="12" t="n">
        <x:f>E179*Q179</x:f>
        <x:v>5327.82</x:v>
      </x:c>
      <x:c r="T179" s="12" t="n">
        <x:f>ROUND(S179*F179+0.000000001,2)</x:f>
        <x:v>1427.86</x:v>
      </x:c>
      <x:c r="U179" s="12" t="n">
        <x:f>E179*R179</x:f>
        <x:v>591.98</x:v>
      </x:c>
      <x:c r="V179" t="str">
        <x:f>IF(AND(C179="Active",Q179=0),"Active Zero Sales","Not Zero Sales")</x:f>
        <x:v>Not Zero Sales</x:v>
      </x:c>
      <x:c r="W179" s="12" t="n">
        <x:f>IF(V179="Active Zero Sales",U179,0)</x:f>
        <x:v>0</x:v>
      </x:c>
      <x:c r="X179" t="str">
        <x:f>IF(E179&lt;25,"Low &lt; 25",IF(E179&lt;100,"Medium 25-99",IF(E179&lt;300,"High 100-299","Premium 300+")))</x:f>
        <x:v>High 100-299</x:v>
      </x:c>
      <x:c r="Y179" t="n">
        <x:f>IF(C179="Active",1,0)</x:f>
        <x:v>1</x:v>
      </x:c>
    </x:row>
    <x:row r="180">
      <x:c r="A180" t="str">
        <x:v>SKU00179</x:v>
      </x:c>
      <x:c r="B180" t="str">
        <x:v>Sample Product 00179</x:v>
      </x:c>
      <x:c r="C180" t="str">
        <x:v>Active</x:v>
      </x:c>
      <x:c r="D180" t="str">
        <x:v>2026-06</x:v>
      </x:c>
      <x:c r="E180" s="12" t="n">
        <x:v>30.25</x:v>
      </x:c>
      <x:c r="F180" s="10" t="n">
        <x:v>0.415</x:v>
      </x:c>
      <x:c r="G180" t="str">
        <x:v>Personal Care</x:v>
      </x:c>
      <x:c r="H180" t="str">
        <x:v>Hygiene</x:v>
      </x:c>
      <x:c r="I180" t="str">
        <x:v>MFG019</x:v>
      </x:c>
      <x:c r="J180" t="str">
        <x:v>Manufacturer 019</x:v>
      </x:c>
      <x:c r="K180" t="str">
        <x:v>SUP024</x:v>
      </x:c>
      <x:c r="L180" t="str">
        <x:v>Supplier 024</x:v>
      </x:c>
      <x:c r="M180" t="str">
        <x:v>REG-458258</x:v>
      </x:c>
      <x:c r="N180" t="str">
        <x:v>Generic Ingredient 127</x:v>
      </x:c>
      <x:c r="O180" t="str">
        <x:v>General Sale</x:v>
      </x:c>
      <x:c r="P180" t="n">
        <x:v>75</x:v>
      </x:c>
      <x:c r="Q180" t="n">
        <x:v>0</x:v>
      </x:c>
      <x:c r="R180" t="n">
        <x:v>40</x:v>
      </x:c>
      <x:c r="S180" s="12" t="n">
        <x:f>E180*Q180</x:f>
        <x:v>0</x:v>
      </x:c>
      <x:c r="T180" s="12" t="n">
        <x:f>ROUND(S180*F180+0.000000001,2)</x:f>
        <x:v>0</x:v>
      </x:c>
      <x:c r="U180" s="12" t="n">
        <x:f>E180*R180</x:f>
        <x:v>1210</x:v>
      </x:c>
      <x:c r="V180" t="str">
        <x:f>IF(AND(C180="Active",Q180=0),"Active Zero Sales","Not Zero Sales")</x:f>
        <x:v>Active Zero Sales</x:v>
      </x:c>
      <x:c r="W180" s="12" t="n">
        <x:f>IF(V180="Active Zero Sales",U180,0)</x:f>
        <x:v>1210</x:v>
      </x:c>
      <x:c r="X180" t="str">
        <x:f>IF(E180&lt;25,"Low &lt; 25",IF(E180&lt;100,"Medium 25-99",IF(E180&lt;300,"High 100-299","Premium 300+")))</x:f>
        <x:v>Medium 25-99</x:v>
      </x:c>
      <x:c r="Y180" t="n">
        <x:f>IF(C180="Active",1,0)</x:f>
        <x:v>1</x:v>
      </x:c>
    </x:row>
    <x:row r="181">
      <x:c r="A181" t="str">
        <x:v>SKU00180</x:v>
      </x:c>
      <x:c r="B181" t="str">
        <x:v>Sample Product 00180</x:v>
      </x:c>
      <x:c r="C181" t="str">
        <x:v>Active</x:v>
      </x:c>
      <x:c r="D181" t="str">
        <x:v>2026-06</x:v>
      </x:c>
      <x:c r="E181" s="12" t="n">
        <x:v>25.49</x:v>
      </x:c>
      <x:c r="F181" s="10" t="n">
        <x:v>0.285</x:v>
      </x:c>
      <x:c r="G181" t="str">
        <x:v>Medical Devices</x:v>
      </x:c>
      <x:c r="H181" t="str">
        <x:v>Monitoring Supplies</x:v>
      </x:c>
      <x:c r="I181" t="str">
        <x:v>MFG004</x:v>
      </x:c>
      <x:c r="J181" t="str">
        <x:v>Manufacturer 004</x:v>
      </x:c>
      <x:c r="K181" t="str">
        <x:v>SUP027</x:v>
      </x:c>
      <x:c r="L181" t="str">
        <x:v>Supplier 027</x:v>
      </x:c>
      <x:c r="M181" t="str">
        <x:v>REG-207520</x:v>
      </x:c>
      <x:c r="N181" t="str">
        <x:v>Generic Ingredient 051</x:v>
      </x:c>
      <x:c r="O181" t="str">
        <x:v>General Sale</x:v>
      </x:c>
      <x:c r="P181" t="n">
        <x:v>98</x:v>
      </x:c>
      <x:c r="Q181" t="n">
        <x:v>24</x:v>
      </x:c>
      <x:c r="R181" t="n">
        <x:v>29</x:v>
      </x:c>
      <x:c r="S181" s="12" t="n">
        <x:f>E181*Q181</x:f>
        <x:v>611.76</x:v>
      </x:c>
      <x:c r="T181" s="12" t="n">
        <x:f>ROUND(S181*F181+0.000000001,2)</x:f>
        <x:v>174.35</x:v>
      </x:c>
      <x:c r="U181" s="12" t="n">
        <x:f>E181*R181</x:f>
        <x:v>739.2099999999999</x:v>
      </x:c>
      <x:c r="V181" t="str">
        <x:f>IF(AND(C181="Active",Q181=0),"Active Zero Sales","Not Zero Sales")</x:f>
        <x:v>Not Zero Sales</x:v>
      </x:c>
      <x:c r="W181" s="12" t="n">
        <x:f>IF(V181="Active Zero Sales",U181,0)</x:f>
        <x:v>0</x:v>
      </x:c>
      <x:c r="X181" t="str">
        <x:f>IF(E181&lt;25,"Low &lt; 25",IF(E181&lt;100,"Medium 25-99",IF(E181&lt;300,"High 100-299","Premium 300+")))</x:f>
        <x:v>Medium 25-99</x:v>
      </x:c>
      <x:c r="Y181" t="n">
        <x:f>IF(C181="Active",1,0)</x:f>
        <x:v>1</x:v>
      </x:c>
    </x:row>
    <x:row r="182">
      <x:c r="A182" t="str">
        <x:v>SKU00181</x:v>
      </x:c>
      <x:c r="B182" t="str">
        <x:v>Sample Product 00181</x:v>
      </x:c>
      <x:c r="C182" t="str">
        <x:v>Active</x:v>
      </x:c>
      <x:c r="D182" t="str">
        <x:v>2026-02</x:v>
      </x:c>
      <x:c r="E182" s="12" t="n">
        <x:v>14.3</x:v>
      </x:c>
      <x:c r="F182" s="10" t="n">
        <x:v>0.388</x:v>
      </x:c>
      <x:c r="G182" t="str">
        <x:v>OTC &amp; Wellness</x:v>
      </x:c>
      <x:c r="H182" t="str">
        <x:v>Vitamins</x:v>
      </x:c>
      <x:c r="I182" t="str">
        <x:v>MFG015</x:v>
      </x:c>
      <x:c r="J182" t="str">
        <x:v>Manufacturer 015</x:v>
      </x:c>
      <x:c r="K182" t="str">
        <x:v>SUP022</x:v>
      </x:c>
      <x:c r="L182" t="str">
        <x:v>Supplier 022</x:v>
      </x:c>
      <x:c r="M182" t="str">
        <x:v>REG-798106</x:v>
      </x:c>
      <x:c r="N182" t="str">
        <x:v>Generic Ingredient 168</x:v>
      </x:c>
      <x:c r="O182" t="str">
        <x:v>General Sale</x:v>
      </x:c>
      <x:c r="P182" t="n">
        <x:v>41</x:v>
      </x:c>
      <x:c r="Q182" t="n">
        <x:v>30</x:v>
      </x:c>
      <x:c r="R182" t="n">
        <x:v>19</x:v>
      </x:c>
      <x:c r="S182" s="12" t="n">
        <x:f>E182*Q182</x:f>
        <x:v>429</x:v>
      </x:c>
      <x:c r="T182" s="12" t="n">
        <x:f>ROUND(S182*F182+0.000000001,2)</x:f>
        <x:v>166.45</x:v>
      </x:c>
      <x:c r="U182" s="12" t="n">
        <x:f>E182*R182</x:f>
        <x:v>271.7</x:v>
      </x:c>
      <x:c r="V182" t="str">
        <x:f>IF(AND(C182="Active",Q182=0),"Active Zero Sales","Not Zero Sales")</x:f>
        <x:v>Not Zero Sales</x:v>
      </x:c>
      <x:c r="W182" s="12" t="n">
        <x:f>IF(V182="Active Zero Sales",U182,0)</x:f>
        <x:v>0</x:v>
      </x:c>
      <x:c r="X182" t="str">
        <x:f>IF(E182&lt;25,"Low &lt; 25",IF(E182&lt;100,"Medium 25-99",IF(E182&lt;300,"High 100-299","Premium 300+")))</x:f>
        <x:v>Low &lt; 25</x:v>
      </x:c>
      <x:c r="Y182" t="n">
        <x:f>IF(C182="Active",1,0)</x:f>
        <x:v>1</x:v>
      </x:c>
    </x:row>
    <x:row r="183">
      <x:c r="A183" t="str">
        <x:v>SKU00182</x:v>
      </x:c>
      <x:c r="B183" t="str">
        <x:v>Sample Product 00182</x:v>
      </x:c>
      <x:c r="C183" t="str">
        <x:v>Active</x:v>
      </x:c>
      <x:c r="D183" t="str">
        <x:v>2026-01</x:v>
      </x:c>
      <x:c r="E183" s="12" t="n">
        <x:v>220.87</x:v>
      </x:c>
      <x:c r="F183" s="10" t="n">
        <x:v>0.404</x:v>
      </x:c>
      <x:c r="G183" t="str">
        <x:v>Nutrition</x:v>
      </x:c>
      <x:c r="H183" t="str">
        <x:v>Sports Nutrition</x:v>
      </x:c>
      <x:c r="I183" t="str">
        <x:v>MFG020</x:v>
      </x:c>
      <x:c r="J183" t="str">
        <x:v>Manufacturer 020</x:v>
      </x:c>
      <x:c r="K183" t="str">
        <x:v>SUP008</x:v>
      </x:c>
      <x:c r="L183" t="str">
        <x:v>Supplier 008</x:v>
      </x:c>
      <x:c r="M183" t="str">
        <x:v>REG-332670</x:v>
      </x:c>
      <x:c r="N183" t="str">
        <x:v>Generic Ingredient 032</x:v>
      </x:c>
      <x:c r="O183" t="str">
        <x:v>General Sale</x:v>
      </x:c>
      <x:c r="P183" t="n">
        <x:v>25</x:v>
      </x:c>
      <x:c r="Q183" t="n">
        <x:v>13</x:v>
      </x:c>
      <x:c r="R183" t="n">
        <x:v>1</x:v>
      </x:c>
      <x:c r="S183" s="12" t="n">
        <x:f>E183*Q183</x:f>
        <x:v>2871.31</x:v>
      </x:c>
      <x:c r="T183" s="12" t="n">
        <x:f>ROUND(S183*F183+0.000000001,2)</x:f>
        <x:v>1160.01</x:v>
      </x:c>
      <x:c r="U183" s="12" t="n">
        <x:f>E183*R183</x:f>
        <x:v>220.87</x:v>
      </x:c>
      <x:c r="V183" t="str">
        <x:f>IF(AND(C183="Active",Q183=0),"Active Zero Sales","Not Zero Sales")</x:f>
        <x:v>Not Zero Sales</x:v>
      </x:c>
      <x:c r="W183" s="12" t="n">
        <x:f>IF(V183="Active Zero Sales",U183,0)</x:f>
        <x:v>0</x:v>
      </x:c>
      <x:c r="X183" t="str">
        <x:f>IF(E183&lt;25,"Low &lt; 25",IF(E183&lt;100,"Medium 25-99",IF(E183&lt;300,"High 100-299","Premium 300+")))</x:f>
        <x:v>High 100-299</x:v>
      </x:c>
      <x:c r="Y183" t="n">
        <x:f>IF(C183="Active",1,0)</x:f>
        <x:v>1</x:v>
      </x:c>
    </x:row>
    <x:row r="184">
      <x:c r="A184" t="str">
        <x:v>SKU00183</x:v>
      </x:c>
      <x:c r="B184" t="str">
        <x:v>Sample Product 00183</x:v>
      </x:c>
      <x:c r="C184" t="str">
        <x:v>Active</x:v>
      </x:c>
      <x:c r="D184" t="str">
        <x:v>2026-02</x:v>
      </x:c>
      <x:c r="E184" s="12" t="n">
        <x:v>50.28</x:v>
      </x:c>
      <x:c r="F184" s="10" t="n">
        <x:v>0.271</x:v>
      </x:c>
      <x:c r="G184" t="str">
        <x:v>Medical Devices</x:v>
      </x:c>
      <x:c r="H184" t="str">
        <x:v>Home Diagnostics</x:v>
      </x:c>
      <x:c r="I184" t="str">
        <x:v>MFG003</x:v>
      </x:c>
      <x:c r="J184" t="str">
        <x:v>Manufacturer 003</x:v>
      </x:c>
      <x:c r="K184" t="str">
        <x:v>SUP003</x:v>
      </x:c>
      <x:c r="L184" t="str">
        <x:v>Supplier 003</x:v>
      </x:c>
      <x:c r="M184" t="str">
        <x:v>REG-873781</x:v>
      </x:c>
      <x:c r="N184" t="str">
        <x:v>Generic Ingredient 022</x:v>
      </x:c>
      <x:c r="O184" t="str">
        <x:v>General Sale</x:v>
      </x:c>
      <x:c r="P184" t="n">
        <x:v>79</x:v>
      </x:c>
      <x:c r="Q184" t="n">
        <x:v>24</x:v>
      </x:c>
      <x:c r="R184" t="n">
        <x:v>8</x:v>
      </x:c>
      <x:c r="S184" s="12" t="n">
        <x:f>E184*Q184</x:f>
        <x:v>1206.72</x:v>
      </x:c>
      <x:c r="T184" s="12" t="n">
        <x:f>ROUND(S184*F184+0.000000001,2)</x:f>
        <x:v>327.02</x:v>
      </x:c>
      <x:c r="U184" s="12" t="n">
        <x:f>E184*R184</x:f>
        <x:v>402.24</x:v>
      </x:c>
      <x:c r="V184" t="str">
        <x:f>IF(AND(C184="Active",Q184=0),"Active Zero Sales","Not Zero Sales")</x:f>
        <x:v>Not Zero Sales</x:v>
      </x:c>
      <x:c r="W184" s="12" t="n">
        <x:f>IF(V184="Active Zero Sales",U184,0)</x:f>
        <x:v>0</x:v>
      </x:c>
      <x:c r="X184" t="str">
        <x:f>IF(E184&lt;25,"Low &lt; 25",IF(E184&lt;100,"Medium 25-99",IF(E184&lt;300,"High 100-299","Premium 300+")))</x:f>
        <x:v>Medium 25-99</x:v>
      </x:c>
      <x:c r="Y184" t="n">
        <x:f>IF(C184="Active",1,0)</x:f>
        <x:v>1</x:v>
      </x:c>
    </x:row>
    <x:row r="185">
      <x:c r="A185" t="str">
        <x:v>SKU00184</x:v>
      </x:c>
      <x:c r="B185" t="str">
        <x:v>Sample Product 00184</x:v>
      </x:c>
      <x:c r="C185" t="str">
        <x:v>Active</x:v>
      </x:c>
      <x:c r="D185" t="str">
        <x:v>2026-03</x:v>
      </x:c>
      <x:c r="E185" s="12" t="n">
        <x:v>261.19</x:v>
      </x:c>
      <x:c r="F185" s="10" t="n">
        <x:v>0.344</x:v>
      </x:c>
      <x:c r="G185" t="str">
        <x:v>OTC &amp; Wellness</x:v>
      </x:c>
      <x:c r="H185" t="str">
        <x:v>Cold &amp; Allergy</x:v>
      </x:c>
      <x:c r="I185" t="str">
        <x:v>MFG003</x:v>
      </x:c>
      <x:c r="J185" t="str">
        <x:v>Manufacturer 003</x:v>
      </x:c>
      <x:c r="K185" t="str">
        <x:v>SUP005</x:v>
      </x:c>
      <x:c r="L185" t="str">
        <x:v>Supplier 005</x:v>
      </x:c>
      <x:c r="M185" t="str">
        <x:v>REG-900837</x:v>
      </x:c>
      <x:c r="N185" t="str">
        <x:v>Generic Ingredient 167</x:v>
      </x:c>
      <x:c r="O185" t="str">
        <x:v>General Sale</x:v>
      </x:c>
      <x:c r="P185" t="n">
        <x:v>34</x:v>
      </x:c>
      <x:c r="Q185" t="n">
        <x:v>30</x:v>
      </x:c>
      <x:c r="R185" t="n">
        <x:v>13</x:v>
      </x:c>
      <x:c r="S185" s="12" t="n">
        <x:f>E185*Q185</x:f>
        <x:v>7835.7</x:v>
      </x:c>
      <x:c r="T185" s="12" t="n">
        <x:f>ROUND(S185*F185+0.000000001,2)</x:f>
        <x:v>2695.48</x:v>
      </x:c>
      <x:c r="U185" s="12" t="n">
        <x:f>E185*R185</x:f>
        <x:v>3395.47</x:v>
      </x:c>
      <x:c r="V185" t="str">
        <x:f>IF(AND(C185="Active",Q185=0),"Active Zero Sales","Not Zero Sales")</x:f>
        <x:v>Not Zero Sales</x:v>
      </x:c>
      <x:c r="W185" s="12" t="n">
        <x:f>IF(V185="Active Zero Sales",U185,0)</x:f>
        <x:v>0</x:v>
      </x:c>
      <x:c r="X185" t="str">
        <x:f>IF(E185&lt;25,"Low &lt; 25",IF(E185&lt;100,"Medium 25-99",IF(E185&lt;300,"High 100-299","Premium 300+")))</x:f>
        <x:v>High 100-299</x:v>
      </x:c>
      <x:c r="Y185" t="n">
        <x:f>IF(C185="Active",1,0)</x:f>
        <x:v>1</x:v>
      </x:c>
    </x:row>
    <x:row r="186">
      <x:c r="A186" t="str">
        <x:v>SKU00185</x:v>
      </x:c>
      <x:c r="B186" t="str">
        <x:v>Sample Product 00185</x:v>
      </x:c>
      <x:c r="C186" t="str">
        <x:v>Active</x:v>
      </x:c>
      <x:c r="D186" t="str">
        <x:v>2026-01</x:v>
      </x:c>
      <x:c r="E186" s="12" t="n">
        <x:v>6.12</x:v>
      </x:c>
      <x:c r="F186" s="10" t="n">
        <x:v>0.421</x:v>
      </x:c>
      <x:c r="G186" t="str">
        <x:v>Personal Care</x:v>
      </x:c>
      <x:c r="H186" t="str">
        <x:v>Oral Care</x:v>
      </x:c>
      <x:c r="I186" t="str">
        <x:v>MFG014</x:v>
      </x:c>
      <x:c r="J186" t="str">
        <x:v>Manufacturer 014</x:v>
      </x:c>
      <x:c r="K186" t="str">
        <x:v>SUP028</x:v>
      </x:c>
      <x:c r="L186" t="str">
        <x:v>Supplier 028</x:v>
      </x:c>
      <x:c r="M186" t="str">
        <x:v>REG-625485</x:v>
      </x:c>
      <x:c r="N186" t="str">
        <x:v>Generic Ingredient 050</x:v>
      </x:c>
      <x:c r="O186" t="str">
        <x:v>General Sale</x:v>
      </x:c>
      <x:c r="P186" t="n">
        <x:v>93</x:v>
      </x:c>
      <x:c r="Q186" t="n">
        <x:v>60</x:v>
      </x:c>
      <x:c r="R186" t="n">
        <x:v>7</x:v>
      </x:c>
      <x:c r="S186" s="12" t="n">
        <x:f>E186*Q186</x:f>
        <x:v>367.2</x:v>
      </x:c>
      <x:c r="T186" s="12" t="n">
        <x:f>ROUND(S186*F186+0.000000001,2)</x:f>
        <x:v>154.59</x:v>
      </x:c>
      <x:c r="U186" s="12" t="n">
        <x:f>E186*R186</x:f>
        <x:v>42.84</x:v>
      </x:c>
      <x:c r="V186" t="str">
        <x:f>IF(AND(C186="Active",Q186=0),"Active Zero Sales","Not Zero Sales")</x:f>
        <x:v>Not Zero Sales</x:v>
      </x:c>
      <x:c r="W186" s="12" t="n">
        <x:f>IF(V186="Active Zero Sales",U186,0)</x:f>
        <x:v>0</x:v>
      </x:c>
      <x:c r="X186" t="str">
        <x:f>IF(E186&lt;25,"Low &lt; 25",IF(E186&lt;100,"Medium 25-99",IF(E186&lt;300,"High 100-299","Premium 300+")))</x:f>
        <x:v>Low &lt; 25</x:v>
      </x:c>
      <x:c r="Y186" t="n">
        <x:f>IF(C186="Active",1,0)</x:f>
        <x:v>1</x:v>
      </x:c>
    </x:row>
    <x:row r="187">
      <x:c r="A187" t="str">
        <x:v>SKU00186</x:v>
      </x:c>
      <x:c r="B187" t="str">
        <x:v>Sample Product 00186</x:v>
      </x:c>
      <x:c r="C187" t="str">
        <x:v>Active</x:v>
      </x:c>
      <x:c r="D187" t="str">
        <x:v>2026-05</x:v>
      </x:c>
      <x:c r="E187" s="12" t="n">
        <x:v>190.69</x:v>
      </x:c>
      <x:c r="F187" s="10" t="n">
        <x:v>0.49</x:v>
      </x:c>
      <x:c r="G187" t="str">
        <x:v>Personal Care</x:v>
      </x:c>
      <x:c r="H187" t="str">
        <x:v>Oral Care</x:v>
      </x:c>
      <x:c r="I187" t="str">
        <x:v>MFG001</x:v>
      </x:c>
      <x:c r="J187" t="str">
        <x:v>Manufacturer 001</x:v>
      </x:c>
      <x:c r="K187" t="str">
        <x:v>SUP005</x:v>
      </x:c>
      <x:c r="L187" t="str">
        <x:v>Supplier 005</x:v>
      </x:c>
      <x:c r="M187" t="str">
        <x:v>REG-876563</x:v>
      </x:c>
      <x:c r="N187" t="str">
        <x:v>Generic Ingredient 168</x:v>
      </x:c>
      <x:c r="O187" t="str">
        <x:v>General Sale</x:v>
      </x:c>
      <x:c r="P187" t="n">
        <x:v>32</x:v>
      </x:c>
      <x:c r="Q187" t="n">
        <x:v>24</x:v>
      </x:c>
      <x:c r="R187" t="n">
        <x:v>1</x:v>
      </x:c>
      <x:c r="S187" s="12" t="n">
        <x:f>E187*Q187</x:f>
        <x:v>4576.5599999999995</x:v>
      </x:c>
      <x:c r="T187" s="12" t="n">
        <x:f>ROUND(S187*F187+0.000000001,2)</x:f>
        <x:v>2242.51</x:v>
      </x:c>
      <x:c r="U187" s="12" t="n">
        <x:f>E187*R187</x:f>
        <x:v>190.69</x:v>
      </x:c>
      <x:c r="V187" t="str">
        <x:f>IF(AND(C187="Active",Q187=0),"Active Zero Sales","Not Zero Sales")</x:f>
        <x:v>Not Zero Sales</x:v>
      </x:c>
      <x:c r="W187" s="12" t="n">
        <x:f>IF(V187="Active Zero Sales",U187,0)</x:f>
        <x:v>0</x:v>
      </x:c>
      <x:c r="X187" t="str">
        <x:f>IF(E187&lt;25,"Low &lt; 25",IF(E187&lt;100,"Medium 25-99",IF(E187&lt;300,"High 100-299","Premium 300+")))</x:f>
        <x:v>High 100-299</x:v>
      </x:c>
      <x:c r="Y187" t="n">
        <x:f>IF(C187="Active",1,0)</x:f>
        <x:v>1</x:v>
      </x:c>
    </x:row>
    <x:row r="188">
      <x:c r="A188" t="str">
        <x:v>SKU00187</x:v>
      </x:c>
      <x:c r="B188" t="str">
        <x:v>Sample Product 00187</x:v>
      </x:c>
      <x:c r="C188" t="str">
        <x:v>Blocked</x:v>
      </x:c>
      <x:c r="D188" t="str">
        <x:v>2026-01</x:v>
      </x:c>
      <x:c r="E188" s="12" t="n">
        <x:v>15.7</x:v>
      </x:c>
      <x:c r="F188" s="10" t="n">
        <x:v>0.352</x:v>
      </x:c>
      <x:c r="G188" t="str">
        <x:v>OTC &amp; Wellness</x:v>
      </x:c>
      <x:c r="H188" t="str">
        <x:v>Cold &amp; Allergy</x:v>
      </x:c>
      <x:c r="I188" t="str">
        <x:v>MFG014</x:v>
      </x:c>
      <x:c r="J188" t="str">
        <x:v>Manufacturer 014</x:v>
      </x:c>
      <x:c r="K188" t="str">
        <x:v>SUP015</x:v>
      </x:c>
      <x:c r="L188" t="str">
        <x:v>Supplier 015</x:v>
      </x:c>
      <x:c r="M188" t="str">
        <x:v>REG-267472</x:v>
      </x:c>
      <x:c r="N188" t="str">
        <x:v>Generic Ingredient 004</x:v>
      </x:c>
      <x:c r="O188" t="str">
        <x:v>General Sale</x:v>
      </x:c>
      <x:c r="P188" t="n">
        <x:v>20</x:v>
      </x:c>
      <x:c r="Q188" t="n">
        <x:v>1</x:v>
      </x:c>
      <x:c r="R188" t="n">
        <x:v>0</x:v>
      </x:c>
      <x:c r="S188" s="12" t="n">
        <x:f>E188*Q188</x:f>
        <x:v>15.7</x:v>
      </x:c>
      <x:c r="T188" s="12" t="n">
        <x:f>ROUND(S188*F188+0.000000001,2)</x:f>
        <x:v>5.53</x:v>
      </x:c>
      <x:c r="U188" s="12" t="n">
        <x:f>E188*R188</x:f>
        <x:v>0</x:v>
      </x:c>
      <x:c r="V188" t="str">
        <x:f>IF(AND(C188="Active",Q188=0),"Active Zero Sales","Not Zero Sales")</x:f>
        <x:v>Not Zero Sales</x:v>
      </x:c>
      <x:c r="W188" s="12" t="n">
        <x:f>IF(V188="Active Zero Sales",U188,0)</x:f>
        <x:v>0</x:v>
      </x:c>
      <x:c r="X188" t="str">
        <x:f>IF(E188&lt;25,"Low &lt; 25",IF(E188&lt;100,"Medium 25-99",IF(E188&lt;300,"High 100-299","Premium 300+")))</x:f>
        <x:v>Low &lt; 25</x:v>
      </x:c>
      <x:c r="Y188" t="n">
        <x:f>IF(C188="Active",1,0)</x:f>
        <x:v>0</x:v>
      </x:c>
    </x:row>
    <x:row r="189">
      <x:c r="A189" t="str">
        <x:v>SKU00188</x:v>
      </x:c>
      <x:c r="B189" t="str">
        <x:v>Sample Product 00188</x:v>
      </x:c>
      <x:c r="C189" t="str">
        <x:v>Active</x:v>
      </x:c>
      <x:c r="D189" t="str">
        <x:v>2026-06</x:v>
      </x:c>
      <x:c r="E189" s="12" t="n">
        <x:v>234.89</x:v>
      </x:c>
      <x:c r="F189" s="10" t="n">
        <x:v>0.396</x:v>
      </x:c>
      <x:c r="G189" t="str">
        <x:v>Personal Care</x:v>
      </x:c>
      <x:c r="H189" t="str">
        <x:v>Oral Care</x:v>
      </x:c>
      <x:c r="I189" t="str">
        <x:v>MFG017</x:v>
      </x:c>
      <x:c r="J189" t="str">
        <x:v>Manufacturer 017</x:v>
      </x:c>
      <x:c r="K189" t="str">
        <x:v>SUP025</x:v>
      </x:c>
      <x:c r="L189" t="str">
        <x:v>Supplier 025</x:v>
      </x:c>
      <x:c r="M189" t="str">
        <x:v>REG-992052</x:v>
      </x:c>
      <x:c r="N189" t="str">
        <x:v>Generic Ingredient 055</x:v>
      </x:c>
      <x:c r="O189" t="str">
        <x:v>General Sale</x:v>
      </x:c>
      <x:c r="P189" t="n">
        <x:v>117</x:v>
      </x:c>
      <x:c r="Q189" t="n">
        <x:v>75</x:v>
      </x:c>
      <x:c r="R189" t="n">
        <x:v>41</x:v>
      </x:c>
      <x:c r="S189" s="12" t="n">
        <x:f>E189*Q189</x:f>
        <x:v>17616.75</x:v>
      </x:c>
      <x:c r="T189" s="12" t="n">
        <x:f>ROUND(S189*F189+0.000000001,2)</x:f>
        <x:v>6976.23</x:v>
      </x:c>
      <x:c r="U189" s="12" t="n">
        <x:f>E189*R189</x:f>
        <x:v>9630.49</x:v>
      </x:c>
      <x:c r="V189" t="str">
        <x:f>IF(AND(C189="Active",Q189=0),"Active Zero Sales","Not Zero Sales")</x:f>
        <x:v>Not Zero Sales</x:v>
      </x:c>
      <x:c r="W189" s="12" t="n">
        <x:f>IF(V189="Active Zero Sales",U189,0)</x:f>
        <x:v>0</x:v>
      </x:c>
      <x:c r="X189" t="str">
        <x:f>IF(E189&lt;25,"Low &lt; 25",IF(E189&lt;100,"Medium 25-99",IF(E189&lt;300,"High 100-299","Premium 300+")))</x:f>
        <x:v>High 100-299</x:v>
      </x:c>
      <x:c r="Y189" t="n">
        <x:f>IF(C189="Active",1,0)</x:f>
        <x:v>1</x:v>
      </x:c>
    </x:row>
    <x:row r="190">
      <x:c r="A190" t="str">
        <x:v>SKU00189</x:v>
      </x:c>
      <x:c r="B190" t="str">
        <x:v>Sample Product 00189</x:v>
      </x:c>
      <x:c r="C190" t="str">
        <x:v>Blocked</x:v>
      </x:c>
      <x:c r="D190" t="str">
        <x:v>2026-01</x:v>
      </x:c>
      <x:c r="E190" s="12" t="n">
        <x:v>98.53</x:v>
      </x:c>
      <x:c r="F190" s="10" t="n">
        <x:v>0.319</x:v>
      </x:c>
      <x:c r="G190" t="str">
        <x:v>Personal Care</x:v>
      </x:c>
      <x:c r="H190" t="str">
        <x:v>Hygiene</x:v>
      </x:c>
      <x:c r="I190" t="str">
        <x:v>MFG006</x:v>
      </x:c>
      <x:c r="J190" t="str">
        <x:v>Manufacturer 006</x:v>
      </x:c>
      <x:c r="K190" t="str">
        <x:v>SUP016</x:v>
      </x:c>
      <x:c r="L190" t="str">
        <x:v>Supplier 016</x:v>
      </x:c>
      <x:c r="M190" t="str">
        <x:v>REG-897049</x:v>
      </x:c>
      <x:c r="N190" t="str">
        <x:v>Generic Ingredient 050</x:v>
      </x:c>
      <x:c r="O190" t="str">
        <x:v>Restricted Sale</x:v>
      </x:c>
      <x:c r="P190" t="n">
        <x:v>1</x:v>
      </x:c>
      <x:c r="Q190" t="n">
        <x:v>0</x:v>
      </x:c>
      <x:c r="R190" t="n">
        <x:v>0</x:v>
      </x:c>
      <x:c r="S190" s="12" t="n">
        <x:f>E190*Q190</x:f>
        <x:v>0</x:v>
      </x:c>
      <x:c r="T190" s="12" t="n">
        <x:f>ROUND(S190*F190+0.000000001,2)</x:f>
        <x:v>0</x:v>
      </x:c>
      <x:c r="U190" s="12" t="n">
        <x:f>E190*R190</x:f>
        <x:v>0</x:v>
      </x:c>
      <x:c r="V190" t="str">
        <x:f>IF(AND(C190="Active",Q190=0),"Active Zero Sales","Not Zero Sales")</x:f>
        <x:v>Not Zero Sales</x:v>
      </x:c>
      <x:c r="W190" s="12" t="n">
        <x:f>IF(V190="Active Zero Sales",U190,0)</x:f>
        <x:v>0</x:v>
      </x:c>
      <x:c r="X190" t="str">
        <x:f>IF(E190&lt;25,"Low &lt; 25",IF(E190&lt;100,"Medium 25-99",IF(E190&lt;300,"High 100-299","Premium 300+")))</x:f>
        <x:v>Medium 25-99</x:v>
      </x:c>
      <x:c r="Y190" t="n">
        <x:f>IF(C190="Active",1,0)</x:f>
        <x:v>0</x:v>
      </x:c>
    </x:row>
    <x:row r="191">
      <x:c r="A191" t="str">
        <x:v>SKU00190</x:v>
      </x:c>
      <x:c r="B191" t="str">
        <x:v>Sample Product 00190</x:v>
      </x:c>
      <x:c r="C191" t="str">
        <x:v>Blocked</x:v>
      </x:c>
      <x:c r="D191" t="str">
        <x:v>2026-01</x:v>
      </x:c>
      <x:c r="E191" s="12" t="n">
        <x:v>573.63</x:v>
      </x:c>
      <x:c r="F191" s="10" t="n">
        <x:v>0.374</x:v>
      </x:c>
      <x:c r="G191" t="str">
        <x:v>Medical Devices</x:v>
      </x:c>
      <x:c r="H191" t="str">
        <x:v>First Aid</x:v>
      </x:c>
      <x:c r="I191" t="str">
        <x:v>MFG011</x:v>
      </x:c>
      <x:c r="J191" t="str">
        <x:v>Manufacturer 011</x:v>
      </x:c>
      <x:c r="K191" t="str">
        <x:v>SUP012</x:v>
      </x:c>
      <x:c r="L191" t="str">
        <x:v>Supplier 012</x:v>
      </x:c>
      <x:c r="M191" t="str">
        <x:v>REG-980452</x:v>
      </x:c>
      <x:c r="N191" t="str">
        <x:v>Generic Ingredient 011</x:v>
      </x:c>
      <x:c r="O191" t="str">
        <x:v>General Sale</x:v>
      </x:c>
      <x:c r="P191" t="n">
        <x:v>1</x:v>
      </x:c>
      <x:c r="Q191" t="n">
        <x:v>0</x:v>
      </x:c>
      <x:c r="R191" t="n">
        <x:v>0</x:v>
      </x:c>
      <x:c r="S191" s="12" t="n">
        <x:f>E191*Q191</x:f>
        <x:v>0</x:v>
      </x:c>
      <x:c r="T191" s="12" t="n">
        <x:f>ROUND(S191*F191+0.000000001,2)</x:f>
        <x:v>0</x:v>
      </x:c>
      <x:c r="U191" s="12" t="n">
        <x:f>E191*R191</x:f>
        <x:v>0</x:v>
      </x:c>
      <x:c r="V191" t="str">
        <x:f>IF(AND(C191="Active",Q191=0),"Active Zero Sales","Not Zero Sales")</x:f>
        <x:v>Not Zero Sales</x:v>
      </x:c>
      <x:c r="W191" s="12" t="n">
        <x:f>IF(V191="Active Zero Sales",U191,0)</x:f>
        <x:v>0</x:v>
      </x:c>
      <x:c r="X191" t="str">
        <x:f>IF(E191&lt;25,"Low &lt; 25",IF(E191&lt;100,"Medium 25-99",IF(E191&lt;300,"High 100-299","Premium 300+")))</x:f>
        <x:v>Premium 300+</x:v>
      </x:c>
      <x:c r="Y191" t="n">
        <x:f>IF(C191="Active",1,0)</x:f>
        <x:v>0</x:v>
      </x:c>
    </x:row>
    <x:row r="192">
      <x:c r="A192" t="str">
        <x:v>SKU00191</x:v>
      </x:c>
      <x:c r="B192" t="str">
        <x:v>Sample Product 00191</x:v>
      </x:c>
      <x:c r="C192" t="str">
        <x:v>Active</x:v>
      </x:c>
      <x:c r="D192" t="str">
        <x:v>2026-01</x:v>
      </x:c>
      <x:c r="E192" s="12" t="n">
        <x:v>12.86</x:v>
      </x:c>
      <x:c r="F192" s="10" t="n">
        <x:v>0.478</x:v>
      </x:c>
      <x:c r="G192" t="str">
        <x:v>General Merchandise</x:v>
      </x:c>
      <x:c r="H192" t="str">
        <x:v>Travel Health</x:v>
      </x:c>
      <x:c r="I192" t="str">
        <x:v>MFG012</x:v>
      </x:c>
      <x:c r="J192" t="str">
        <x:v>Manufacturer 012</x:v>
      </x:c>
      <x:c r="K192" t="str">
        <x:v>SUP019</x:v>
      </x:c>
      <x:c r="L192" t="str">
        <x:v>Supplier 019</x:v>
      </x:c>
      <x:c r="M192" t="str">
        <x:v>REG-665012</x:v>
      </x:c>
      <x:c r="N192" t="str">
        <x:v>Generic Ingredient 094</x:v>
      </x:c>
      <x:c r="O192" t="str">
        <x:v>General Sale</x:v>
      </x:c>
      <x:c r="P192" t="n">
        <x:v>36</x:v>
      </x:c>
      <x:c r="Q192" t="n">
        <x:v>0</x:v>
      </x:c>
      <x:c r="R192" t="n">
        <x:v>28</x:v>
      </x:c>
      <x:c r="S192" s="12" t="n">
        <x:f>E192*Q192</x:f>
        <x:v>0</x:v>
      </x:c>
      <x:c r="T192" s="12" t="n">
        <x:f>ROUND(S192*F192+0.000000001,2)</x:f>
        <x:v>0</x:v>
      </x:c>
      <x:c r="U192" s="12" t="n">
        <x:f>E192*R192</x:f>
        <x:v>360.08</x:v>
      </x:c>
      <x:c r="V192" t="str">
        <x:f>IF(AND(C192="Active",Q192=0),"Active Zero Sales","Not Zero Sales")</x:f>
        <x:v>Active Zero Sales</x:v>
      </x:c>
      <x:c r="W192" s="12" t="n">
        <x:f>IF(V192="Active Zero Sales",U192,0)</x:f>
        <x:v>360.08</x:v>
      </x:c>
      <x:c r="X192" t="str">
        <x:f>IF(E192&lt;25,"Low &lt; 25",IF(E192&lt;100,"Medium 25-99",IF(E192&lt;300,"High 100-299","Premium 300+")))</x:f>
        <x:v>Low &lt; 25</x:v>
      </x:c>
      <x:c r="Y192" t="n">
        <x:f>IF(C192="Active",1,0)</x:f>
        <x:v>1</x:v>
      </x:c>
    </x:row>
    <x:row r="193">
      <x:c r="A193" t="str">
        <x:v>SKU00192</x:v>
      </x:c>
      <x:c r="B193" t="str">
        <x:v>Sample Product 00192</x:v>
      </x:c>
      <x:c r="C193" t="str">
        <x:v>Active</x:v>
      </x:c>
      <x:c r="D193" t="str">
        <x:v>2026-06</x:v>
      </x:c>
      <x:c r="E193" s="12" t="n">
        <x:v>172.23</x:v>
      </x:c>
      <x:c r="F193" s="10" t="n">
        <x:v>0.375</x:v>
      </x:c>
      <x:c r="G193" t="str">
        <x:v>OTC &amp; Wellness</x:v>
      </x:c>
      <x:c r="H193" t="str">
        <x:v>Digestive Care</x:v>
      </x:c>
      <x:c r="I193" t="str">
        <x:v>MFG016</x:v>
      </x:c>
      <x:c r="J193" t="str">
        <x:v>Manufacturer 016</x:v>
      </x:c>
      <x:c r="K193" t="str">
        <x:v>SUP002</x:v>
      </x:c>
      <x:c r="L193" t="str">
        <x:v>Supplier 002</x:v>
      </x:c>
      <x:c r="M193" t="str">
        <x:v>REG-662260</x:v>
      </x:c>
      <x:c r="N193" t="str">
        <x:v>Generic Ingredient 032</x:v>
      </x:c>
      <x:c r="O193" t="str">
        <x:v>Restricted Sale</x:v>
      </x:c>
      <x:c r="P193" t="n">
        <x:v>36</x:v>
      </x:c>
      <x:c r="Q193" t="n">
        <x:v>23</x:v>
      </x:c>
      <x:c r="R193" t="n">
        <x:v>0</x:v>
      </x:c>
      <x:c r="S193" s="12" t="n">
        <x:f>E193*Q193</x:f>
        <x:v>3961.29</x:v>
      </x:c>
      <x:c r="T193" s="12" t="n">
        <x:f>ROUND(S193*F193+0.000000001,2)</x:f>
        <x:v>1485.48</x:v>
      </x:c>
      <x:c r="U193" s="12" t="n">
        <x:f>E193*R193</x:f>
        <x:v>0</x:v>
      </x:c>
      <x:c r="V193" t="str">
        <x:f>IF(AND(C193="Active",Q193=0),"Active Zero Sales","Not Zero Sales")</x:f>
        <x:v>Not Zero Sales</x:v>
      </x:c>
      <x:c r="W193" s="12" t="n">
        <x:f>IF(V193="Active Zero Sales",U193,0)</x:f>
        <x:v>0</x:v>
      </x:c>
      <x:c r="X193" t="str">
        <x:f>IF(E193&lt;25,"Low &lt; 25",IF(E193&lt;100,"Medium 25-99",IF(E193&lt;300,"High 100-299","Premium 300+")))</x:f>
        <x:v>High 100-299</x:v>
      </x:c>
      <x:c r="Y193" t="n">
        <x:f>IF(C193="Active",1,0)</x:f>
        <x:v>1</x:v>
      </x:c>
    </x:row>
    <x:row r="194">
      <x:c r="A194" t="str">
        <x:v>SKU00193</x:v>
      </x:c>
      <x:c r="B194" t="str">
        <x:v>Sample Product 00193</x:v>
      </x:c>
      <x:c r="C194" t="str">
        <x:v>Active</x:v>
      </x:c>
      <x:c r="D194" t="str">
        <x:v>2026-05</x:v>
      </x:c>
      <x:c r="E194" s="12" t="n">
        <x:v>106.78</x:v>
      </x:c>
      <x:c r="F194" s="10" t="n">
        <x:v>0.393</x:v>
      </x:c>
      <x:c r="G194" t="str">
        <x:v>Medical Devices</x:v>
      </x:c>
      <x:c r="H194" t="str">
        <x:v>Mobility Aids</x:v>
      </x:c>
      <x:c r="I194" t="str">
        <x:v>MFG019</x:v>
      </x:c>
      <x:c r="J194" t="str">
        <x:v>Manufacturer 019</x:v>
      </x:c>
      <x:c r="K194" t="str">
        <x:v>SUP011</x:v>
      </x:c>
      <x:c r="L194" t="str">
        <x:v>Supplier 011</x:v>
      </x:c>
      <x:c r="M194" t="str">
        <x:v>REG-594595</x:v>
      </x:c>
      <x:c r="N194" t="str">
        <x:v>Generic Ingredient 165</x:v>
      </x:c>
      <x:c r="O194" t="str">
        <x:v>General Sale</x:v>
      </x:c>
      <x:c r="P194" t="n">
        <x:v>32</x:v>
      </x:c>
      <x:c r="Q194" t="n">
        <x:v>26</x:v>
      </x:c>
      <x:c r="R194" t="n">
        <x:v>0</x:v>
      </x:c>
      <x:c r="S194" s="12" t="n">
        <x:f>E194*Q194</x:f>
        <x:v>2776.28</x:v>
      </x:c>
      <x:c r="T194" s="12" t="n">
        <x:f>ROUND(S194*F194+0.000000001,2)</x:f>
        <x:v>1091.08</x:v>
      </x:c>
      <x:c r="U194" s="12" t="n">
        <x:f>E194*R194</x:f>
        <x:v>0</x:v>
      </x:c>
      <x:c r="V194" t="str">
        <x:f>IF(AND(C194="Active",Q194=0),"Active Zero Sales","Not Zero Sales")</x:f>
        <x:v>Not Zero Sales</x:v>
      </x:c>
      <x:c r="W194" s="12" t="n">
        <x:f>IF(V194="Active Zero Sales",U194,0)</x:f>
        <x:v>0</x:v>
      </x:c>
      <x:c r="X194" t="str">
        <x:f>IF(E194&lt;25,"Low &lt; 25",IF(E194&lt;100,"Medium 25-99",IF(E194&lt;300,"High 100-299","Premium 300+")))</x:f>
        <x:v>High 100-299</x:v>
      </x:c>
      <x:c r="Y194" t="n">
        <x:f>IF(C194="Active",1,0)</x:f>
        <x:v>1</x:v>
      </x:c>
    </x:row>
    <x:row r="195">
      <x:c r="A195" t="str">
        <x:v>SKU00194</x:v>
      </x:c>
      <x:c r="B195" t="str">
        <x:v>Sample Product 00194</x:v>
      </x:c>
      <x:c r="C195" t="str">
        <x:v>Blocked</x:v>
      </x:c>
      <x:c r="D195" t="str">
        <x:v>2026-05</x:v>
      </x:c>
      <x:c r="E195" s="12" t="n">
        <x:v>68.51</x:v>
      </x:c>
      <x:c r="F195" s="10" t="n">
        <x:v>0.443</x:v>
      </x:c>
      <x:c r="G195" t="str">
        <x:v>Personal Care</x:v>
      </x:c>
      <x:c r="H195" t="str">
        <x:v>Oral Care</x:v>
      </x:c>
      <x:c r="I195" t="str">
        <x:v>MFG018</x:v>
      </x:c>
      <x:c r="J195" t="str">
        <x:v>Manufacturer 018</x:v>
      </x:c>
      <x:c r="K195" t="str">
        <x:v>SUP013</x:v>
      </x:c>
      <x:c r="L195" t="str">
        <x:v>Supplier 013</x:v>
      </x:c>
      <x:c r="M195" t="str">
        <x:v>REG-541799</x:v>
      </x:c>
      <x:c r="N195" t="str">
        <x:v>Generic Ingredient 130</x:v>
      </x:c>
      <x:c r="O195" t="str">
        <x:v>General Sale</x:v>
      </x:c>
      <x:c r="P195" t="n">
        <x:v>26</x:v>
      </x:c>
      <x:c r="Q195" t="n">
        <x:v>0</x:v>
      </x:c>
      <x:c r="R195" t="n">
        <x:v>16</x:v>
      </x:c>
      <x:c r="S195" s="12" t="n">
        <x:f>E195*Q195</x:f>
        <x:v>0</x:v>
      </x:c>
      <x:c r="T195" s="12" t="n">
        <x:f>ROUND(S195*F195+0.000000001,2)</x:f>
        <x:v>0</x:v>
      </x:c>
      <x:c r="U195" s="12" t="n">
        <x:f>E195*R195</x:f>
        <x:v>1096.16</x:v>
      </x:c>
      <x:c r="V195" t="str">
        <x:f>IF(AND(C195="Active",Q195=0),"Active Zero Sales","Not Zero Sales")</x:f>
        <x:v>Not Zero Sales</x:v>
      </x:c>
      <x:c r="W195" s="12" t="n">
        <x:f>IF(V195="Active Zero Sales",U195,0)</x:f>
        <x:v>0</x:v>
      </x:c>
      <x:c r="X195" t="str">
        <x:f>IF(E195&lt;25,"Low &lt; 25",IF(E195&lt;100,"Medium 25-99",IF(E195&lt;300,"High 100-299","Premium 300+")))</x:f>
        <x:v>Medium 25-99</x:v>
      </x:c>
      <x:c r="Y195" t="n">
        <x:f>IF(C195="Active",1,0)</x:f>
        <x:v>0</x:v>
      </x:c>
    </x:row>
    <x:row r="196">
      <x:c r="A196" t="str">
        <x:v>SKU00195</x:v>
      </x:c>
      <x:c r="B196" t="str">
        <x:v>Sample Product 00195</x:v>
      </x:c>
      <x:c r="C196" t="str">
        <x:v>Active</x:v>
      </x:c>
      <x:c r="D196" t="str">
        <x:v>2026-02</x:v>
      </x:c>
      <x:c r="E196" s="12" t="n">
        <x:v>200.41</x:v>
      </x:c>
      <x:c r="F196" s="10" t="n">
        <x:v>0.383</x:v>
      </x:c>
      <x:c r="G196" t="str">
        <x:v>Personal Care</x:v>
      </x:c>
      <x:c r="H196" t="str">
        <x:v>Oral Care</x:v>
      </x:c>
      <x:c r="I196" t="str">
        <x:v>MFG020</x:v>
      </x:c>
      <x:c r="J196" t="str">
        <x:v>Manufacturer 020</x:v>
      </x:c>
      <x:c r="K196" t="str">
        <x:v>SUP011</x:v>
      </x:c>
      <x:c r="L196" t="str">
        <x:v>Supplier 011</x:v>
      </x:c>
      <x:c r="M196" t="str">
        <x:v>REG-894287</x:v>
      </x:c>
      <x:c r="N196" t="str">
        <x:v>Generic Ingredient 122</x:v>
      </x:c>
      <x:c r="O196" t="str">
        <x:v>General Sale</x:v>
      </x:c>
      <x:c r="P196" t="n">
        <x:v>25</x:v>
      </x:c>
      <x:c r="Q196" t="n">
        <x:v>0</x:v>
      </x:c>
      <x:c r="R196" t="n">
        <x:v>16</x:v>
      </x:c>
      <x:c r="S196" s="12" t="n">
        <x:f>E196*Q196</x:f>
        <x:v>0</x:v>
      </x:c>
      <x:c r="T196" s="12" t="n">
        <x:f>ROUND(S196*F196+0.000000001,2)</x:f>
        <x:v>0</x:v>
      </x:c>
      <x:c r="U196" s="12" t="n">
        <x:f>E196*R196</x:f>
        <x:v>3206.56</x:v>
      </x:c>
      <x:c r="V196" t="str">
        <x:f>IF(AND(C196="Active",Q196=0),"Active Zero Sales","Not Zero Sales")</x:f>
        <x:v>Active Zero Sales</x:v>
      </x:c>
      <x:c r="W196" s="12" t="n">
        <x:f>IF(V196="Active Zero Sales",U196,0)</x:f>
        <x:v>3206.56</x:v>
      </x:c>
      <x:c r="X196" t="str">
        <x:f>IF(E196&lt;25,"Low &lt; 25",IF(E196&lt;100,"Medium 25-99",IF(E196&lt;300,"High 100-299","Premium 300+")))</x:f>
        <x:v>High 100-299</x:v>
      </x:c>
      <x:c r="Y196" t="n">
        <x:f>IF(C196="Active",1,0)</x:f>
        <x:v>1</x:v>
      </x:c>
    </x:row>
    <x:row r="197">
      <x:c r="A197" t="str">
        <x:v>SKU00196</x:v>
      </x:c>
      <x:c r="B197" t="str">
        <x:v>Sample Product 00196</x:v>
      </x:c>
      <x:c r="C197" t="str">
        <x:v>Active</x:v>
      </x:c>
      <x:c r="D197" t="str">
        <x:v>2026-01</x:v>
      </x:c>
      <x:c r="E197" s="12" t="n">
        <x:v>28.56</x:v>
      </x:c>
      <x:c r="F197" s="10" t="n">
        <x:v>0.373</x:v>
      </x:c>
      <x:c r="G197" t="str">
        <x:v>General Merchandise</x:v>
      </x:c>
      <x:c r="H197" t="str">
        <x:v>Accessories</x:v>
      </x:c>
      <x:c r="I197" t="str">
        <x:v>MFG004</x:v>
      </x:c>
      <x:c r="J197" t="str">
        <x:v>Manufacturer 004</x:v>
      </x:c>
      <x:c r="K197" t="str">
        <x:v>SUP030</x:v>
      </x:c>
      <x:c r="L197" t="str">
        <x:v>Supplier 030</x:v>
      </x:c>
      <x:c r="M197" t="str">
        <x:v>REG-709508</x:v>
      </x:c>
      <x:c r="N197" t="str">
        <x:v>Generic Ingredient 149</x:v>
      </x:c>
      <x:c r="O197" t="str">
        <x:v>Pharmacy Only</x:v>
      </x:c>
      <x:c r="P197" t="n">
        <x:v>64</x:v>
      </x:c>
      <x:c r="Q197" t="n">
        <x:v>49</x:v>
      </x:c>
      <x:c r="R197" t="n">
        <x:v>21</x:v>
      </x:c>
      <x:c r="S197" s="12" t="n">
        <x:f>E197*Q197</x:f>
        <x:v>1399.4399999999998</x:v>
      </x:c>
      <x:c r="T197" s="12" t="n">
        <x:f>ROUND(S197*F197+0.000000001,2)</x:f>
        <x:v>521.99</x:v>
      </x:c>
      <x:c r="U197" s="12" t="n">
        <x:f>E197*R197</x:f>
        <x:v>599.76</x:v>
      </x:c>
      <x:c r="V197" t="str">
        <x:f>IF(AND(C197="Active",Q197=0),"Active Zero Sales","Not Zero Sales")</x:f>
        <x:v>Not Zero Sales</x:v>
      </x:c>
      <x:c r="W197" s="12" t="n">
        <x:f>IF(V197="Active Zero Sales",U197,0)</x:f>
        <x:v>0</x:v>
      </x:c>
      <x:c r="X197" t="str">
        <x:f>IF(E197&lt;25,"Low &lt; 25",IF(E197&lt;100,"Medium 25-99",IF(E197&lt;300,"High 100-299","Premium 300+")))</x:f>
        <x:v>Medium 25-99</x:v>
      </x:c>
      <x:c r="Y197" t="n">
        <x:f>IF(C197="Active",1,0)</x:f>
        <x:v>1</x:v>
      </x:c>
    </x:row>
    <x:row r="198">
      <x:c r="A198" t="str">
        <x:v>SKU00197</x:v>
      </x:c>
      <x:c r="B198" t="str">
        <x:v>Sample Product 00197</x:v>
      </x:c>
      <x:c r="C198" t="str">
        <x:v>Blocked</x:v>
      </x:c>
      <x:c r="D198" t="str">
        <x:v>2026-05</x:v>
      </x:c>
      <x:c r="E198" s="12" t="n">
        <x:v>6.64</x:v>
      </x:c>
      <x:c r="F198" s="10" t="n">
        <x:v>0.34</x:v>
      </x:c>
      <x:c r="G198" t="str">
        <x:v>OTC &amp; Wellness</x:v>
      </x:c>
      <x:c r="H198" t="str">
        <x:v>Vitamins</x:v>
      </x:c>
      <x:c r="I198" t="str">
        <x:v>MFG019</x:v>
      </x:c>
      <x:c r="J198" t="str">
        <x:v>Manufacturer 019</x:v>
      </x:c>
      <x:c r="K198" t="str">
        <x:v>SUP005</x:v>
      </x:c>
      <x:c r="L198" t="str">
        <x:v>Supplier 005</x:v>
      </x:c>
      <x:c r="M198" t="str">
        <x:v>REG-908110</x:v>
      </x:c>
      <x:c r="N198" t="str">
        <x:v>Generic Ingredient 076</x:v>
      </x:c>
      <x:c r="O198" t="str">
        <x:v>Pharmacy Only</x:v>
      </x:c>
      <x:c r="P198" t="n">
        <x:v>4</x:v>
      </x:c>
      <x:c r="Q198" t="n">
        <x:v>0</x:v>
      </x:c>
      <x:c r="R198" t="n">
        <x:v>0</x:v>
      </x:c>
      <x:c r="S198" s="12" t="n">
        <x:f>E198*Q198</x:f>
        <x:v>0</x:v>
      </x:c>
      <x:c r="T198" s="12" t="n">
        <x:f>ROUND(S198*F198+0.000000001,2)</x:f>
        <x:v>0</x:v>
      </x:c>
      <x:c r="U198" s="12" t="n">
        <x:f>E198*R198</x:f>
        <x:v>0</x:v>
      </x:c>
      <x:c r="V198" t="str">
        <x:f>IF(AND(C198="Active",Q198=0),"Active Zero Sales","Not Zero Sales")</x:f>
        <x:v>Not Zero Sales</x:v>
      </x:c>
      <x:c r="W198" s="12" t="n">
        <x:f>IF(V198="Active Zero Sales",U198,0)</x:f>
        <x:v>0</x:v>
      </x:c>
      <x:c r="X198" t="str">
        <x:f>IF(E198&lt;25,"Low &lt; 25",IF(E198&lt;100,"Medium 25-99",IF(E198&lt;300,"High 100-299","Premium 300+")))</x:f>
        <x:v>Low &lt; 25</x:v>
      </x:c>
      <x:c r="Y198" t="n">
        <x:f>IF(C198="Active",1,0)</x:f>
        <x:v>0</x:v>
      </x:c>
    </x:row>
    <x:row r="199">
      <x:c r="A199" t="str">
        <x:v>SKU00198</x:v>
      </x:c>
      <x:c r="B199" t="str">
        <x:v>Sample Product 00198</x:v>
      </x:c>
      <x:c r="C199" t="str">
        <x:v>Active</x:v>
      </x:c>
      <x:c r="D199" t="str">
        <x:v>2026-04</x:v>
      </x:c>
      <x:c r="E199" s="12" t="n">
        <x:v>12.68</x:v>
      </x:c>
      <x:c r="F199" s="10" t="n">
        <x:v>0.411</x:v>
      </x:c>
      <x:c r="G199" t="str">
        <x:v>Nutrition</x:v>
      </x:c>
      <x:c r="H199" t="str">
        <x:v>Hydration</x:v>
      </x:c>
      <x:c r="I199" t="str">
        <x:v>MFG013</x:v>
      </x:c>
      <x:c r="J199" t="str">
        <x:v>Manufacturer 013</x:v>
      </x:c>
      <x:c r="K199" t="str">
        <x:v>SUP029</x:v>
      </x:c>
      <x:c r="L199" t="str">
        <x:v>Supplier 029</x:v>
      </x:c>
      <x:c r="M199" t="str">
        <x:v>REG-702369</x:v>
      </x:c>
      <x:c r="N199" t="str">
        <x:v>Generic Ingredient 120</x:v>
      </x:c>
      <x:c r="O199" t="str">
        <x:v>General Sale</x:v>
      </x:c>
      <x:c r="P199" t="n">
        <x:v>54</x:v>
      </x:c>
      <x:c r="Q199" t="n">
        <x:v>16</x:v>
      </x:c>
      <x:c r="R199" t="n">
        <x:v>0</x:v>
      </x:c>
      <x:c r="S199" s="12" t="n">
        <x:f>E199*Q199</x:f>
        <x:v>202.88</x:v>
      </x:c>
      <x:c r="T199" s="12" t="n">
        <x:f>ROUND(S199*F199+0.000000001,2)</x:f>
        <x:v>83.38</x:v>
      </x:c>
      <x:c r="U199" s="12" t="n">
        <x:f>E199*R199</x:f>
        <x:v>0</x:v>
      </x:c>
      <x:c r="V199" t="str">
        <x:f>IF(AND(C199="Active",Q199=0),"Active Zero Sales","Not Zero Sales")</x:f>
        <x:v>Not Zero Sales</x:v>
      </x:c>
      <x:c r="W199" s="12" t="n">
        <x:f>IF(V199="Active Zero Sales",U199,0)</x:f>
        <x:v>0</x:v>
      </x:c>
      <x:c r="X199" t="str">
        <x:f>IF(E199&lt;25,"Low &lt; 25",IF(E199&lt;100,"Medium 25-99",IF(E199&lt;300,"High 100-299","Premium 300+")))</x:f>
        <x:v>Low &lt; 25</x:v>
      </x:c>
      <x:c r="Y199" t="n">
        <x:f>IF(C199="Active",1,0)</x:f>
        <x:v>1</x:v>
      </x:c>
    </x:row>
    <x:row r="200">
      <x:c r="A200" t="str">
        <x:v>SKU00199</x:v>
      </x:c>
      <x:c r="B200" t="str">
        <x:v>Sample Product 00199</x:v>
      </x:c>
      <x:c r="C200" t="str">
        <x:v>Active</x:v>
      </x:c>
      <x:c r="D200" t="str">
        <x:v>2026-02</x:v>
      </x:c>
      <x:c r="E200" s="12" t="n">
        <x:v>231.76</x:v>
      </x:c>
      <x:c r="F200" s="10" t="n">
        <x:v>0.34</x:v>
      </x:c>
      <x:c r="G200" t="str">
        <x:v>OTC &amp; Wellness</x:v>
      </x:c>
      <x:c r="H200" t="str">
        <x:v>Cold &amp; Allergy</x:v>
      </x:c>
      <x:c r="I200" t="str">
        <x:v>MFG004</x:v>
      </x:c>
      <x:c r="J200" t="str">
        <x:v>Manufacturer 004</x:v>
      </x:c>
      <x:c r="K200" t="str">
        <x:v>SUP003</x:v>
      </x:c>
      <x:c r="L200" t="str">
        <x:v>Supplier 003</x:v>
      </x:c>
      <x:c r="M200" t="str">
        <x:v>REG-141628</x:v>
      </x:c>
      <x:c r="N200" t="str">
        <x:v>Generic Ingredient 030</x:v>
      </x:c>
      <x:c r="O200" t="str">
        <x:v>General Sale</x:v>
      </x:c>
      <x:c r="P200" t="n">
        <x:v>96</x:v>
      </x:c>
      <x:c r="Q200" t="n">
        <x:v>30</x:v>
      </x:c>
      <x:c r="R200" t="n">
        <x:v>20</x:v>
      </x:c>
      <x:c r="S200" s="12" t="n">
        <x:f>E200*Q200</x:f>
        <x:v>6952.799999999999</x:v>
      </x:c>
      <x:c r="T200" s="12" t="n">
        <x:f>ROUND(S200*F200+0.000000001,2)</x:f>
        <x:v>2363.95</x:v>
      </x:c>
      <x:c r="U200" s="12" t="n">
        <x:f>E200*R200</x:f>
        <x:v>4635.2</x:v>
      </x:c>
      <x:c r="V200" t="str">
        <x:f>IF(AND(C200="Active",Q200=0),"Active Zero Sales","Not Zero Sales")</x:f>
        <x:v>Not Zero Sales</x:v>
      </x:c>
      <x:c r="W200" s="12" t="n">
        <x:f>IF(V200="Active Zero Sales",U200,0)</x:f>
        <x:v>0</x:v>
      </x:c>
      <x:c r="X200" t="str">
        <x:f>IF(E200&lt;25,"Low &lt; 25",IF(E200&lt;100,"Medium 25-99",IF(E200&lt;300,"High 100-299","Premium 300+")))</x:f>
        <x:v>High 100-299</x:v>
      </x:c>
      <x:c r="Y200" t="n">
        <x:f>IF(C200="Active",1,0)</x:f>
        <x:v>1</x:v>
      </x:c>
    </x:row>
    <x:row r="201">
      <x:c r="A201" t="str">
        <x:v>SKU00200</x:v>
      </x:c>
      <x:c r="B201" t="str">
        <x:v>Sample Product 00200</x:v>
      </x:c>
      <x:c r="C201" t="str">
        <x:v>Active</x:v>
      </x:c>
      <x:c r="D201" t="str">
        <x:v>2026-03</x:v>
      </x:c>
      <x:c r="E201" s="12" t="n">
        <x:v>20.03</x:v>
      </x:c>
      <x:c r="F201" s="10" t="n">
        <x:v>0.236</x:v>
      </x:c>
      <x:c r="G201" t="str">
        <x:v>Medical Devices</x:v>
      </x:c>
      <x:c r="H201" t="str">
        <x:v>Mobility Aids</x:v>
      </x:c>
      <x:c r="I201" t="str">
        <x:v>MFG013</x:v>
      </x:c>
      <x:c r="J201" t="str">
        <x:v>Manufacturer 013</x:v>
      </x:c>
      <x:c r="K201" t="str">
        <x:v>SUP011</x:v>
      </x:c>
      <x:c r="L201" t="str">
        <x:v>Supplier 011</x:v>
      </x:c>
      <x:c r="M201" t="str">
        <x:v>REG-943329</x:v>
      </x:c>
      <x:c r="N201" t="str">
        <x:v>Generic Ingredient 003</x:v>
      </x:c>
      <x:c r="O201" t="str">
        <x:v>Pharmacy Only</x:v>
      </x:c>
      <x:c r="P201" t="n">
        <x:v>52</x:v>
      </x:c>
      <x:c r="Q201" t="n">
        <x:v>5</x:v>
      </x:c>
      <x:c r="R201" t="n">
        <x:v>12</x:v>
      </x:c>
      <x:c r="S201" s="12" t="n">
        <x:f>E201*Q201</x:f>
        <x:v>100.15</x:v>
      </x:c>
      <x:c r="T201" s="12" t="n">
        <x:f>ROUND(S201*F201+0.000000001,2)</x:f>
        <x:v>23.64</x:v>
      </x:c>
      <x:c r="U201" s="12" t="n">
        <x:f>E201*R201</x:f>
        <x:v>240.36</x:v>
      </x:c>
      <x:c r="V201" t="str">
        <x:f>IF(AND(C201="Active",Q201=0),"Active Zero Sales","Not Zero Sales")</x:f>
        <x:v>Not Zero Sales</x:v>
      </x:c>
      <x:c r="W201" s="12" t="n">
        <x:f>IF(V201="Active Zero Sales",U201,0)</x:f>
        <x:v>0</x:v>
      </x:c>
      <x:c r="X201" t="str">
        <x:f>IF(E201&lt;25,"Low &lt; 25",IF(E201&lt;100,"Medium 25-99",IF(E201&lt;300,"High 100-299","Premium 300+")))</x:f>
        <x:v>Low &lt; 25</x:v>
      </x:c>
      <x:c r="Y201" t="n">
        <x:f>IF(C201="Active",1,0)</x:f>
        <x:v>1</x:v>
      </x:c>
    </x:row>
    <x:row r="202">
      <x:c r="A202" t="str">
        <x:v>SKU00201</x:v>
      </x:c>
      <x:c r="B202" t="str">
        <x:v>Sample Product 00201</x:v>
      </x:c>
      <x:c r="C202" t="str">
        <x:v>Active</x:v>
      </x:c>
      <x:c r="D202" t="str">
        <x:v>2026-05</x:v>
      </x:c>
      <x:c r="E202" s="12" t="n">
        <x:v>133.31</x:v>
      </x:c>
      <x:c r="F202" s="10" t="n">
        <x:v>0.264</x:v>
      </x:c>
      <x:c r="G202" t="str">
        <x:v>Personal Care</x:v>
      </x:c>
      <x:c r="H202" t="str">
        <x:v>Hair Care</x:v>
      </x:c>
      <x:c r="I202" t="str">
        <x:v>MFG004</x:v>
      </x:c>
      <x:c r="J202" t="str">
        <x:v>Manufacturer 004</x:v>
      </x:c>
      <x:c r="K202" t="str">
        <x:v>SUP029</x:v>
      </x:c>
      <x:c r="L202" t="str">
        <x:v>Supplier 029</x:v>
      </x:c>
      <x:c r="M202" t="str">
        <x:v>REG-674446</x:v>
      </x:c>
      <x:c r="N202" t="str">
        <x:v>Generic Ingredient 036</x:v>
      </x:c>
      <x:c r="O202" t="str">
        <x:v>General Sale</x:v>
      </x:c>
      <x:c r="P202" t="n">
        <x:v>44</x:v>
      </x:c>
      <x:c r="Q202" t="n">
        <x:v>1</x:v>
      </x:c>
      <x:c r="R202" t="n">
        <x:v>8</x:v>
      </x:c>
      <x:c r="S202" s="12" t="n">
        <x:f>E202*Q202</x:f>
        <x:v>133.31</x:v>
      </x:c>
      <x:c r="T202" s="12" t="n">
        <x:f>ROUND(S202*F202+0.000000001,2)</x:f>
        <x:v>35.19</x:v>
      </x:c>
      <x:c r="U202" s="12" t="n">
        <x:f>E202*R202</x:f>
        <x:v>1066.48</x:v>
      </x:c>
      <x:c r="V202" t="str">
        <x:f>IF(AND(C202="Active",Q202=0),"Active Zero Sales","Not Zero Sales")</x:f>
        <x:v>Not Zero Sales</x:v>
      </x:c>
      <x:c r="W202" s="12" t="n">
        <x:f>IF(V202="Active Zero Sales",U202,0)</x:f>
        <x:v>0</x:v>
      </x:c>
      <x:c r="X202" t="str">
        <x:f>IF(E202&lt;25,"Low &lt; 25",IF(E202&lt;100,"Medium 25-99",IF(E202&lt;300,"High 100-299","Premium 300+")))</x:f>
        <x:v>High 100-299</x:v>
      </x:c>
      <x:c r="Y202" t="n">
        <x:f>IF(C202="Active",1,0)</x:f>
        <x:v>1</x:v>
      </x:c>
    </x:row>
    <x:row r="203">
      <x:c r="A203" t="str">
        <x:v>SKU00202</x:v>
      </x:c>
      <x:c r="B203" t="str">
        <x:v>Sample Product 00202</x:v>
      </x:c>
      <x:c r="C203" t="str">
        <x:v>Blocked</x:v>
      </x:c>
      <x:c r="D203" t="str">
        <x:v>2026-06</x:v>
      </x:c>
      <x:c r="E203" s="12" t="n">
        <x:v>149.25</x:v>
      </x:c>
      <x:c r="F203" s="10" t="n">
        <x:v>0.447</x:v>
      </x:c>
      <x:c r="G203" t="str">
        <x:v>OTC &amp; Wellness</x:v>
      </x:c>
      <x:c r="H203" t="str">
        <x:v>Pain Relief</x:v>
      </x:c>
      <x:c r="I203" t="str">
        <x:v>MFG013</x:v>
      </x:c>
      <x:c r="J203" t="str">
        <x:v>Manufacturer 013</x:v>
      </x:c>
      <x:c r="K203" t="str">
        <x:v>SUP010</x:v>
      </x:c>
      <x:c r="L203" t="str">
        <x:v>Supplier 010</x:v>
      </x:c>
      <x:c r="M203" t="str">
        <x:v>REG-381783</x:v>
      </x:c>
      <x:c r="N203" t="str">
        <x:v>Generic Ingredient 056</x:v>
      </x:c>
      <x:c r="O203" t="str">
        <x:v>General Sale</x:v>
      </x:c>
      <x:c r="P203" t="n">
        <x:v>21</x:v>
      </x:c>
      <x:c r="Q203" t="n">
        <x:v>0</x:v>
      </x:c>
      <x:c r="R203" t="n">
        <x:v>8</x:v>
      </x:c>
      <x:c r="S203" s="12" t="n">
        <x:f>E203*Q203</x:f>
        <x:v>0</x:v>
      </x:c>
      <x:c r="T203" s="12" t="n">
        <x:f>ROUND(S203*F203+0.000000001,2)</x:f>
        <x:v>0</x:v>
      </x:c>
      <x:c r="U203" s="12" t="n">
        <x:f>E203*R203</x:f>
        <x:v>1194</x:v>
      </x:c>
      <x:c r="V203" t="str">
        <x:f>IF(AND(C203="Active",Q203=0),"Active Zero Sales","Not Zero Sales")</x:f>
        <x:v>Not Zero Sales</x:v>
      </x:c>
      <x:c r="W203" s="12" t="n">
        <x:f>IF(V203="Active Zero Sales",U203,0)</x:f>
        <x:v>0</x:v>
      </x:c>
      <x:c r="X203" t="str">
        <x:f>IF(E203&lt;25,"Low &lt; 25",IF(E203&lt;100,"Medium 25-99",IF(E203&lt;300,"High 100-299","Premium 300+")))</x:f>
        <x:v>High 100-299</x:v>
      </x:c>
      <x:c r="Y203" t="n">
        <x:f>IF(C203="Active",1,0)</x:f>
        <x:v>0</x:v>
      </x:c>
    </x:row>
    <x:row r="204">
      <x:c r="A204" t="str">
        <x:v>SKU00203</x:v>
      </x:c>
      <x:c r="B204" t="str">
        <x:v>Sample Product 00203</x:v>
      </x:c>
      <x:c r="C204" t="str">
        <x:v>Active</x:v>
      </x:c>
      <x:c r="D204" t="str">
        <x:v>2026-06</x:v>
      </x:c>
      <x:c r="E204" s="12" t="n">
        <x:v>9.75</x:v>
      </x:c>
      <x:c r="F204" s="10" t="n">
        <x:v>0.334</x:v>
      </x:c>
      <x:c r="G204" t="str">
        <x:v>Personal Care</x:v>
      </x:c>
      <x:c r="H204" t="str">
        <x:v>Oral Care</x:v>
      </x:c>
      <x:c r="I204" t="str">
        <x:v>MFG017</x:v>
      </x:c>
      <x:c r="J204" t="str">
        <x:v>Manufacturer 017</x:v>
      </x:c>
      <x:c r="K204" t="str">
        <x:v>SUP018</x:v>
      </x:c>
      <x:c r="L204" t="str">
        <x:v>Supplier 018</x:v>
      </x:c>
      <x:c r="M204" t="str">
        <x:v>REG-703022</x:v>
      </x:c>
      <x:c r="N204" t="str">
        <x:v>Generic Ingredient 085</x:v>
      </x:c>
      <x:c r="O204" t="str">
        <x:v>Pharmacy Only</x:v>
      </x:c>
      <x:c r="P204" t="n">
        <x:v>39</x:v>
      </x:c>
      <x:c r="Q204" t="n">
        <x:v>18</x:v>
      </x:c>
      <x:c r="R204" t="n">
        <x:v>18</x:v>
      </x:c>
      <x:c r="S204" s="12" t="n">
        <x:f>E204*Q204</x:f>
        <x:v>175.5</x:v>
      </x:c>
      <x:c r="T204" s="12" t="n">
        <x:f>ROUND(S204*F204+0.000000001,2)</x:f>
        <x:v>58.62</x:v>
      </x:c>
      <x:c r="U204" s="12" t="n">
        <x:f>E204*R204</x:f>
        <x:v>175.5</x:v>
      </x:c>
      <x:c r="V204" t="str">
        <x:f>IF(AND(C204="Active",Q204=0),"Active Zero Sales","Not Zero Sales")</x:f>
        <x:v>Not Zero Sales</x:v>
      </x:c>
      <x:c r="W204" s="12" t="n">
        <x:f>IF(V204="Active Zero Sales",U204,0)</x:f>
        <x:v>0</x:v>
      </x:c>
      <x:c r="X204" t="str">
        <x:f>IF(E204&lt;25,"Low &lt; 25",IF(E204&lt;100,"Medium 25-99",IF(E204&lt;300,"High 100-299","Premium 300+")))</x:f>
        <x:v>Low &lt; 25</x:v>
      </x:c>
      <x:c r="Y204" t="n">
        <x:f>IF(C204="Active",1,0)</x:f>
        <x:v>1</x:v>
      </x:c>
    </x:row>
    <x:row r="205">
      <x:c r="A205" t="str">
        <x:v>SKU00204</x:v>
      </x:c>
      <x:c r="B205" t="str">
        <x:v>Sample Product 00204</x:v>
      </x:c>
      <x:c r="C205" t="str">
        <x:v>Blocked</x:v>
      </x:c>
      <x:c r="D205" t="str">
        <x:v>2026-06</x:v>
      </x:c>
      <x:c r="E205" s="12" t="n">
        <x:v>75.35</x:v>
      </x:c>
      <x:c r="F205" s="10" t="n">
        <x:v>0.303</x:v>
      </x:c>
      <x:c r="G205" t="str">
        <x:v>General Merchandise</x:v>
      </x:c>
      <x:c r="H205" t="str">
        <x:v>Seasonal Care</x:v>
      </x:c>
      <x:c r="I205" t="str">
        <x:v>MFG007</x:v>
      </x:c>
      <x:c r="J205" t="str">
        <x:v>Manufacturer 007</x:v>
      </x:c>
      <x:c r="K205" t="str">
        <x:v>SUP006</x:v>
      </x:c>
      <x:c r="L205" t="str">
        <x:v>Supplier 006</x:v>
      </x:c>
      <x:c r="M205" t="str">
        <x:v>REG-575427</x:v>
      </x:c>
      <x:c r="N205" t="str">
        <x:v>Generic Ingredient 074</x:v>
      </x:c>
      <x:c r="O205" t="str">
        <x:v>General Sale</x:v>
      </x:c>
      <x:c r="P205" t="n">
        <x:v>28</x:v>
      </x:c>
      <x:c r="Q205" t="n">
        <x:v>0</x:v>
      </x:c>
      <x:c r="R205" t="n">
        <x:v>0</x:v>
      </x:c>
      <x:c r="S205" s="12" t="n">
        <x:f>E205*Q205</x:f>
        <x:v>0</x:v>
      </x:c>
      <x:c r="T205" s="12" t="n">
        <x:f>ROUND(S205*F205+0.000000001,2)</x:f>
        <x:v>0</x:v>
      </x:c>
      <x:c r="U205" s="12" t="n">
        <x:f>E205*R205</x:f>
        <x:v>0</x:v>
      </x:c>
      <x:c r="V205" t="str">
        <x:f>IF(AND(C205="Active",Q205=0),"Active Zero Sales","Not Zero Sales")</x:f>
        <x:v>Not Zero Sales</x:v>
      </x:c>
      <x:c r="W205" s="12" t="n">
        <x:f>IF(V205="Active Zero Sales",U205,0)</x:f>
        <x:v>0</x:v>
      </x:c>
      <x:c r="X205" t="str">
        <x:f>IF(E205&lt;25,"Low &lt; 25",IF(E205&lt;100,"Medium 25-99",IF(E205&lt;300,"High 100-299","Premium 300+")))</x:f>
        <x:v>Medium 25-99</x:v>
      </x:c>
      <x:c r="Y205" t="n">
        <x:f>IF(C205="Active",1,0)</x:f>
        <x:v>0</x:v>
      </x:c>
    </x:row>
    <x:row r="206">
      <x:c r="A206" t="str">
        <x:v>SKU00205</x:v>
      </x:c>
      <x:c r="B206" t="str">
        <x:v>Sample Product 00205</x:v>
      </x:c>
      <x:c r="C206" t="str">
        <x:v>Active</x:v>
      </x:c>
      <x:c r="D206" t="str">
        <x:v>2026-02</x:v>
      </x:c>
      <x:c r="E206" s="12" t="n">
        <x:v>61.19</x:v>
      </x:c>
      <x:c r="F206" s="10" t="n">
        <x:v>0.432</x:v>
      </x:c>
      <x:c r="G206" t="str">
        <x:v>Nutrition</x:v>
      </x:c>
      <x:c r="H206" t="str">
        <x:v>Adult Nutrition</x:v>
      </x:c>
      <x:c r="I206" t="str">
        <x:v>MFG020</x:v>
      </x:c>
      <x:c r="J206" t="str">
        <x:v>Manufacturer 020</x:v>
      </x:c>
      <x:c r="K206" t="str">
        <x:v>SUP017</x:v>
      </x:c>
      <x:c r="L206" t="str">
        <x:v>Supplier 017</x:v>
      </x:c>
      <x:c r="M206" t="str">
        <x:v>REG-326455</x:v>
      </x:c>
      <x:c r="N206" t="str">
        <x:v>Generic Ingredient 135</x:v>
      </x:c>
      <x:c r="O206" t="str">
        <x:v>Pharmacy Only</x:v>
      </x:c>
      <x:c r="P206" t="n">
        <x:v>38</x:v>
      </x:c>
      <x:c r="Q206" t="n">
        <x:v>7</x:v>
      </x:c>
      <x:c r="R206" t="n">
        <x:v>0</x:v>
      </x:c>
      <x:c r="S206" s="12" t="n">
        <x:f>E206*Q206</x:f>
        <x:v>428.33</x:v>
      </x:c>
      <x:c r="T206" s="12" t="n">
        <x:f>ROUND(S206*F206+0.000000001,2)</x:f>
        <x:v>185.04</x:v>
      </x:c>
      <x:c r="U206" s="12" t="n">
        <x:f>E206*R206</x:f>
        <x:v>0</x:v>
      </x:c>
      <x:c r="V206" t="str">
        <x:f>IF(AND(C206="Active",Q206=0),"Active Zero Sales","Not Zero Sales")</x:f>
        <x:v>Not Zero Sales</x:v>
      </x:c>
      <x:c r="W206" s="12" t="n">
        <x:f>IF(V206="Active Zero Sales",U206,0)</x:f>
        <x:v>0</x:v>
      </x:c>
      <x:c r="X206" t="str">
        <x:f>IF(E206&lt;25,"Low &lt; 25",IF(E206&lt;100,"Medium 25-99",IF(E206&lt;300,"High 100-299","Premium 300+")))</x:f>
        <x:v>Medium 25-99</x:v>
      </x:c>
      <x:c r="Y206" t="n">
        <x:f>IF(C206="Active",1,0)</x:f>
        <x:v>1</x:v>
      </x:c>
    </x:row>
    <x:row r="207">
      <x:c r="A207" t="str">
        <x:v>SKU00206</x:v>
      </x:c>
      <x:c r="B207" t="str">
        <x:v>Sample Product 00206</x:v>
      </x:c>
      <x:c r="C207" t="str">
        <x:v>Active</x:v>
      </x:c>
      <x:c r="D207" t="str">
        <x:v>2026-02</x:v>
      </x:c>
      <x:c r="E207" s="12" t="n">
        <x:v>45.53</x:v>
      </x:c>
      <x:c r="F207" s="10" t="n">
        <x:v>0.25</x:v>
      </x:c>
      <x:c r="G207" t="str">
        <x:v>Medical Devices</x:v>
      </x:c>
      <x:c r="H207" t="str">
        <x:v>Mobility Aids</x:v>
      </x:c>
      <x:c r="I207" t="str">
        <x:v>MFG017</x:v>
      </x:c>
      <x:c r="J207" t="str">
        <x:v>Manufacturer 017</x:v>
      </x:c>
      <x:c r="K207" t="str">
        <x:v>SUP011</x:v>
      </x:c>
      <x:c r="L207" t="str">
        <x:v>Supplier 011</x:v>
      </x:c>
      <x:c r="M207" t="str">
        <x:v>REG-327172</x:v>
      </x:c>
      <x:c r="N207" t="str">
        <x:v>Generic Ingredient 008</x:v>
      </x:c>
      <x:c r="O207" t="str">
        <x:v>General Sale</x:v>
      </x:c>
      <x:c r="P207" t="n">
        <x:v>120</x:v>
      </x:c>
      <x:c r="Q207" t="n">
        <x:v>89</x:v>
      </x:c>
      <x:c r="R207" t="n">
        <x:v>40</x:v>
      </x:c>
      <x:c r="S207" s="12" t="n">
        <x:f>E207*Q207</x:f>
        <x:v>4052.17</x:v>
      </x:c>
      <x:c r="T207" s="12" t="n">
        <x:f>ROUND(S207*F207+0.000000001,2)</x:f>
        <x:v>1013.04</x:v>
      </x:c>
      <x:c r="U207" s="12" t="n">
        <x:f>E207*R207</x:f>
        <x:v>1821.2</x:v>
      </x:c>
      <x:c r="V207" t="str">
        <x:f>IF(AND(C207="Active",Q207=0),"Active Zero Sales","Not Zero Sales")</x:f>
        <x:v>Not Zero Sales</x:v>
      </x:c>
      <x:c r="W207" s="12" t="n">
        <x:f>IF(V207="Active Zero Sales",U207,0)</x:f>
        <x:v>0</x:v>
      </x:c>
      <x:c r="X207" t="str">
        <x:f>IF(E207&lt;25,"Low &lt; 25",IF(E207&lt;100,"Medium 25-99",IF(E207&lt;300,"High 100-299","Premium 300+")))</x:f>
        <x:v>Medium 25-99</x:v>
      </x:c>
      <x:c r="Y207" t="n">
        <x:f>IF(C207="Active",1,0)</x:f>
        <x:v>1</x:v>
      </x:c>
    </x:row>
    <x:row r="208">
      <x:c r="A208" t="str">
        <x:v>SKU00207</x:v>
      </x:c>
      <x:c r="B208" t="str">
        <x:v>Sample Product 00207</x:v>
      </x:c>
      <x:c r="C208" t="str">
        <x:v>Active</x:v>
      </x:c>
      <x:c r="D208" t="str">
        <x:v>2026-01</x:v>
      </x:c>
      <x:c r="E208" s="12" t="n">
        <x:v>46.96</x:v>
      </x:c>
      <x:c r="F208" s="10" t="n">
        <x:v>0.363</x:v>
      </x:c>
      <x:c r="G208" t="str">
        <x:v>Personal Care</x:v>
      </x:c>
      <x:c r="H208" t="str">
        <x:v>Oral Care</x:v>
      </x:c>
      <x:c r="I208" t="str">
        <x:v>MFG007</x:v>
      </x:c>
      <x:c r="J208" t="str">
        <x:v>Manufacturer 007</x:v>
      </x:c>
      <x:c r="K208" t="str">
        <x:v>SUP016</x:v>
      </x:c>
      <x:c r="L208" t="str">
        <x:v>Supplier 016</x:v>
      </x:c>
      <x:c r="M208" t="str">
        <x:v>REG-622896</x:v>
      </x:c>
      <x:c r="N208" t="str">
        <x:v>Generic Ingredient 176</x:v>
      </x:c>
      <x:c r="O208" t="str">
        <x:v>General Sale</x:v>
      </x:c>
      <x:c r="P208" t="n">
        <x:v>60</x:v>
      </x:c>
      <x:c r="Q208" t="n">
        <x:v>13</x:v>
      </x:c>
      <x:c r="R208" t="n">
        <x:v>0</x:v>
      </x:c>
      <x:c r="S208" s="12" t="n">
        <x:f>E208*Q208</x:f>
        <x:v>610.48</x:v>
      </x:c>
      <x:c r="T208" s="12" t="n">
        <x:f>ROUND(S208*F208+0.000000001,2)</x:f>
        <x:v>221.6</x:v>
      </x:c>
      <x:c r="U208" s="12" t="n">
        <x:f>E208*R208</x:f>
        <x:v>0</x:v>
      </x:c>
      <x:c r="V208" t="str">
        <x:f>IF(AND(C208="Active",Q208=0),"Active Zero Sales","Not Zero Sales")</x:f>
        <x:v>Not Zero Sales</x:v>
      </x:c>
      <x:c r="W208" s="12" t="n">
        <x:f>IF(V208="Active Zero Sales",U208,0)</x:f>
        <x:v>0</x:v>
      </x:c>
      <x:c r="X208" t="str">
        <x:f>IF(E208&lt;25,"Low &lt; 25",IF(E208&lt;100,"Medium 25-99",IF(E208&lt;300,"High 100-299","Premium 300+")))</x:f>
        <x:v>Medium 25-99</x:v>
      </x:c>
      <x:c r="Y208" t="n">
        <x:f>IF(C208="Active",1,0)</x:f>
        <x:v>1</x:v>
      </x:c>
    </x:row>
    <x:row r="209">
      <x:c r="A209" t="str">
        <x:v>SKU00208</x:v>
      </x:c>
      <x:c r="B209" t="str">
        <x:v>Sample Product 00208</x:v>
      </x:c>
      <x:c r="C209" t="str">
        <x:v>Active</x:v>
      </x:c>
      <x:c r="D209" t="str">
        <x:v>2026-01</x:v>
      </x:c>
      <x:c r="E209" s="12" t="n">
        <x:v>21.33</x:v>
      </x:c>
      <x:c r="F209" s="10" t="n">
        <x:v>0.437</x:v>
      </x:c>
      <x:c r="G209" t="str">
        <x:v>Personal Care</x:v>
      </x:c>
      <x:c r="H209" t="str">
        <x:v>Oral Care</x:v>
      </x:c>
      <x:c r="I209" t="str">
        <x:v>MFG001</x:v>
      </x:c>
      <x:c r="J209" t="str">
        <x:v>Manufacturer 001</x:v>
      </x:c>
      <x:c r="K209" t="str">
        <x:v>SUP014</x:v>
      </x:c>
      <x:c r="L209" t="str">
        <x:v>Supplier 014</x:v>
      </x:c>
      <x:c r="M209" t="str">
        <x:v>REG-464888</x:v>
      </x:c>
      <x:c r="N209" t="str">
        <x:v>Generic Ingredient 116</x:v>
      </x:c>
      <x:c r="O209" t="str">
        <x:v>General Sale</x:v>
      </x:c>
      <x:c r="P209" t="n">
        <x:v>87</x:v>
      </x:c>
      <x:c r="Q209" t="n">
        <x:v>32</x:v>
      </x:c>
      <x:c r="R209" t="n">
        <x:v>16</x:v>
      </x:c>
      <x:c r="S209" s="12" t="n">
        <x:f>E209*Q209</x:f>
        <x:v>682.56</x:v>
      </x:c>
      <x:c r="T209" s="12" t="n">
        <x:f>ROUND(S209*F209+0.000000001,2)</x:f>
        <x:v>298.28</x:v>
      </x:c>
      <x:c r="U209" s="12" t="n">
        <x:f>E209*R209</x:f>
        <x:v>341.28</x:v>
      </x:c>
      <x:c r="V209" t="str">
        <x:f>IF(AND(C209="Active",Q209=0),"Active Zero Sales","Not Zero Sales")</x:f>
        <x:v>Not Zero Sales</x:v>
      </x:c>
      <x:c r="W209" s="12" t="n">
        <x:f>IF(V209="Active Zero Sales",U209,0)</x:f>
        <x:v>0</x:v>
      </x:c>
      <x:c r="X209" t="str">
        <x:f>IF(E209&lt;25,"Low &lt; 25",IF(E209&lt;100,"Medium 25-99",IF(E209&lt;300,"High 100-299","Premium 300+")))</x:f>
        <x:v>Low &lt; 25</x:v>
      </x:c>
      <x:c r="Y209" t="n">
        <x:f>IF(C209="Active",1,0)</x:f>
        <x:v>1</x:v>
      </x:c>
    </x:row>
    <x:row r="210">
      <x:c r="A210" t="str">
        <x:v>SKU00209</x:v>
      </x:c>
      <x:c r="B210" t="str">
        <x:v>Sample Product 00209</x:v>
      </x:c>
      <x:c r="C210" t="str">
        <x:v>Active</x:v>
      </x:c>
      <x:c r="D210" t="str">
        <x:v>2026-03</x:v>
      </x:c>
      <x:c r="E210" s="12" t="n">
        <x:v>13.87</x:v>
      </x:c>
      <x:c r="F210" s="10" t="n">
        <x:v>0.376</x:v>
      </x:c>
      <x:c r="G210" t="str">
        <x:v>OTC &amp; Wellness</x:v>
      </x:c>
      <x:c r="H210" t="str">
        <x:v>Cold &amp; Allergy</x:v>
      </x:c>
      <x:c r="I210" t="str">
        <x:v>MFG006</x:v>
      </x:c>
      <x:c r="J210" t="str">
        <x:v>Manufacturer 006</x:v>
      </x:c>
      <x:c r="K210" t="str">
        <x:v>SUP001</x:v>
      </x:c>
      <x:c r="L210" t="str">
        <x:v>Supplier 001</x:v>
      </x:c>
      <x:c r="M210" t="str">
        <x:v>REG-907753</x:v>
      </x:c>
      <x:c r="N210" t="str">
        <x:v>Generic Ingredient 179</x:v>
      </x:c>
      <x:c r="O210" t="str">
        <x:v>General Sale</x:v>
      </x:c>
      <x:c r="P210" t="n">
        <x:v>51</x:v>
      </x:c>
      <x:c r="Q210" t="n">
        <x:v>0</x:v>
      </x:c>
      <x:c r="R210" t="n">
        <x:v>5</x:v>
      </x:c>
      <x:c r="S210" s="12" t="n">
        <x:f>E210*Q210</x:f>
        <x:v>0</x:v>
      </x:c>
      <x:c r="T210" s="12" t="n">
        <x:f>ROUND(S210*F210+0.000000001,2)</x:f>
        <x:v>0</x:v>
      </x:c>
      <x:c r="U210" s="12" t="n">
        <x:f>E210*R210</x:f>
        <x:v>69.35</x:v>
      </x:c>
      <x:c r="V210" t="str">
        <x:f>IF(AND(C210="Active",Q210=0),"Active Zero Sales","Not Zero Sales")</x:f>
        <x:v>Active Zero Sales</x:v>
      </x:c>
      <x:c r="W210" s="12" t="n">
        <x:f>IF(V210="Active Zero Sales",U210,0)</x:f>
        <x:v>69.35</x:v>
      </x:c>
      <x:c r="X210" t="str">
        <x:f>IF(E210&lt;25,"Low &lt; 25",IF(E210&lt;100,"Medium 25-99",IF(E210&lt;300,"High 100-299","Premium 300+")))</x:f>
        <x:v>Low &lt; 25</x:v>
      </x:c>
      <x:c r="Y210" t="n">
        <x:f>IF(C210="Active",1,0)</x:f>
        <x:v>1</x:v>
      </x:c>
    </x:row>
    <x:row r="211">
      <x:c r="A211" t="str">
        <x:v>SKU00210</x:v>
      </x:c>
      <x:c r="B211" t="str">
        <x:v>Sample Product 00210</x:v>
      </x:c>
      <x:c r="C211" t="str">
        <x:v>Active</x:v>
      </x:c>
      <x:c r="D211" t="str">
        <x:v>2026-01</x:v>
      </x:c>
      <x:c r="E211" s="12" t="n">
        <x:v>55.12</x:v>
      </x:c>
      <x:c r="F211" s="10" t="n">
        <x:v>0.531</x:v>
      </x:c>
      <x:c r="G211" t="str">
        <x:v>OTC &amp; Wellness</x:v>
      </x:c>
      <x:c r="H211" t="str">
        <x:v>Pain Relief</x:v>
      </x:c>
      <x:c r="I211" t="str">
        <x:v>MFG012</x:v>
      </x:c>
      <x:c r="J211" t="str">
        <x:v>Manufacturer 012</x:v>
      </x:c>
      <x:c r="K211" t="str">
        <x:v>SUP017</x:v>
      </x:c>
      <x:c r="L211" t="str">
        <x:v>Supplier 017</x:v>
      </x:c>
      <x:c r="M211" t="str">
        <x:v>REG-451274</x:v>
      </x:c>
      <x:c r="N211" t="str">
        <x:v>Generic Ingredient 124</x:v>
      </x:c>
      <x:c r="O211" t="str">
        <x:v>Pharmacy Only</x:v>
      </x:c>
      <x:c r="P211" t="n">
        <x:v>68</x:v>
      </x:c>
      <x:c r="Q211" t="n">
        <x:v>16</x:v>
      </x:c>
      <x:c r="R211" t="n">
        <x:v>10</x:v>
      </x:c>
      <x:c r="S211" s="12" t="n">
        <x:f>E211*Q211</x:f>
        <x:v>881.92</x:v>
      </x:c>
      <x:c r="T211" s="12" t="n">
        <x:f>ROUND(S211*F211+0.000000001,2)</x:f>
        <x:v>468.3</x:v>
      </x:c>
      <x:c r="U211" s="12" t="n">
        <x:f>E211*R211</x:f>
        <x:v>551.1999999999999</x:v>
      </x:c>
      <x:c r="V211" t="str">
        <x:f>IF(AND(C211="Active",Q211=0),"Active Zero Sales","Not Zero Sales")</x:f>
        <x:v>Not Zero Sales</x:v>
      </x:c>
      <x:c r="W211" s="12" t="n">
        <x:f>IF(V211="Active Zero Sales",U211,0)</x:f>
        <x:v>0</x:v>
      </x:c>
      <x:c r="X211" t="str">
        <x:f>IF(E211&lt;25,"Low &lt; 25",IF(E211&lt;100,"Medium 25-99",IF(E211&lt;300,"High 100-299","Premium 300+")))</x:f>
        <x:v>Medium 25-99</x:v>
      </x:c>
      <x:c r="Y211" t="n">
        <x:f>IF(C211="Active",1,0)</x:f>
        <x:v>1</x:v>
      </x:c>
    </x:row>
    <x:row r="212">
      <x:c r="A212" t="str">
        <x:v>SKU00211</x:v>
      </x:c>
      <x:c r="B212" t="str">
        <x:v>Sample Product 00211</x:v>
      </x:c>
      <x:c r="C212" t="str">
        <x:v>Active</x:v>
      </x:c>
      <x:c r="D212" t="str">
        <x:v>2026-03</x:v>
      </x:c>
      <x:c r="E212" s="12" t="n">
        <x:v>90.01</x:v>
      </x:c>
      <x:c r="F212" s="10" t="n">
        <x:v>0.384</x:v>
      </x:c>
      <x:c r="G212" t="str">
        <x:v>OTC &amp; Wellness</x:v>
      </x:c>
      <x:c r="H212" t="str">
        <x:v>Cold &amp; Allergy</x:v>
      </x:c>
      <x:c r="I212" t="str">
        <x:v>MFG005</x:v>
      </x:c>
      <x:c r="J212" t="str">
        <x:v>Manufacturer 005</x:v>
      </x:c>
      <x:c r="K212" t="str">
        <x:v>SUP022</x:v>
      </x:c>
      <x:c r="L212" t="str">
        <x:v>Supplier 022</x:v>
      </x:c>
      <x:c r="M212" t="str">
        <x:v>REG-898011</x:v>
      </x:c>
      <x:c r="N212" t="str">
        <x:v>Generic Ingredient 053</x:v>
      </x:c>
      <x:c r="O212" t="str">
        <x:v>Pharmacy Only</x:v>
      </x:c>
      <x:c r="P212" t="n">
        <x:v>51</x:v>
      </x:c>
      <x:c r="Q212" t="n">
        <x:v>15</x:v>
      </x:c>
      <x:c r="R212" t="n">
        <x:v>0</x:v>
      </x:c>
      <x:c r="S212" s="12" t="n">
        <x:f>E212*Q212</x:f>
        <x:v>1350.15</x:v>
      </x:c>
      <x:c r="T212" s="12" t="n">
        <x:f>ROUND(S212*F212+0.000000001,2)</x:f>
        <x:v>518.46</x:v>
      </x:c>
      <x:c r="U212" s="12" t="n">
        <x:f>E212*R212</x:f>
        <x:v>0</x:v>
      </x:c>
      <x:c r="V212" t="str">
        <x:f>IF(AND(C212="Active",Q212=0),"Active Zero Sales","Not Zero Sales")</x:f>
        <x:v>Not Zero Sales</x:v>
      </x:c>
      <x:c r="W212" s="12" t="n">
        <x:f>IF(V212="Active Zero Sales",U212,0)</x:f>
        <x:v>0</x:v>
      </x:c>
      <x:c r="X212" t="str">
        <x:f>IF(E212&lt;25,"Low &lt; 25",IF(E212&lt;100,"Medium 25-99",IF(E212&lt;300,"High 100-299","Premium 300+")))</x:f>
        <x:v>Medium 25-99</x:v>
      </x:c>
      <x:c r="Y212" t="n">
        <x:f>IF(C212="Active",1,0)</x:f>
        <x:v>1</x:v>
      </x:c>
    </x:row>
    <x:row r="213">
      <x:c r="A213" t="str">
        <x:v>SKU00212</x:v>
      </x:c>
      <x:c r="B213" t="str">
        <x:v>Sample Product 00212</x:v>
      </x:c>
      <x:c r="C213" t="str">
        <x:v>Active</x:v>
      </x:c>
      <x:c r="D213" t="str">
        <x:v>2026-03</x:v>
      </x:c>
      <x:c r="E213" s="12" t="n">
        <x:v>84.73</x:v>
      </x:c>
      <x:c r="F213" s="10" t="n">
        <x:v>0.244</x:v>
      </x:c>
      <x:c r="G213" t="str">
        <x:v>Medical Devices</x:v>
      </x:c>
      <x:c r="H213" t="str">
        <x:v>Home Diagnostics</x:v>
      </x:c>
      <x:c r="I213" t="str">
        <x:v>MFG018</x:v>
      </x:c>
      <x:c r="J213" t="str">
        <x:v>Manufacturer 018</x:v>
      </x:c>
      <x:c r="K213" t="str">
        <x:v>SUP003</x:v>
      </x:c>
      <x:c r="L213" t="str">
        <x:v>Supplier 003</x:v>
      </x:c>
      <x:c r="M213" t="str">
        <x:v>REG-690377</x:v>
      </x:c>
      <x:c r="N213" t="str">
        <x:v>Generic Ingredient 148</x:v>
      </x:c>
      <x:c r="O213" t="str">
        <x:v>Pharmacy Only</x:v>
      </x:c>
      <x:c r="P213" t="n">
        <x:v>81</x:v>
      </x:c>
      <x:c r="Q213" t="n">
        <x:v>42</x:v>
      </x:c>
      <x:c r="R213" t="n">
        <x:v>0</x:v>
      </x:c>
      <x:c r="S213" s="12" t="n">
        <x:f>E213*Q213</x:f>
        <x:v>3558.6600000000003</x:v>
      </x:c>
      <x:c r="T213" s="12" t="n">
        <x:f>ROUND(S213*F213+0.000000001,2)</x:f>
        <x:v>868.31</x:v>
      </x:c>
      <x:c r="U213" s="12" t="n">
        <x:f>E213*R213</x:f>
        <x:v>0</x:v>
      </x:c>
      <x:c r="V213" t="str">
        <x:f>IF(AND(C213="Active",Q213=0),"Active Zero Sales","Not Zero Sales")</x:f>
        <x:v>Not Zero Sales</x:v>
      </x:c>
      <x:c r="W213" s="12" t="n">
        <x:f>IF(V213="Active Zero Sales",U213,0)</x:f>
        <x:v>0</x:v>
      </x:c>
      <x:c r="X213" t="str">
        <x:f>IF(E213&lt;25,"Low &lt; 25",IF(E213&lt;100,"Medium 25-99",IF(E213&lt;300,"High 100-299","Premium 300+")))</x:f>
        <x:v>Medium 25-99</x:v>
      </x:c>
      <x:c r="Y213" t="n">
        <x:f>IF(C213="Active",1,0)</x:f>
        <x:v>1</x:v>
      </x:c>
    </x:row>
    <x:row r="214">
      <x:c r="A214" t="str">
        <x:v>SKU00213</x:v>
      </x:c>
      <x:c r="B214" t="str">
        <x:v>Sample Product 00213</x:v>
      </x:c>
      <x:c r="C214" t="str">
        <x:v>Active</x:v>
      </x:c>
      <x:c r="D214" t="str">
        <x:v>2026-03</x:v>
      </x:c>
      <x:c r="E214" s="12" t="n">
        <x:v>32.71</x:v>
      </x:c>
      <x:c r="F214" s="10" t="n">
        <x:v>0.372</x:v>
      </x:c>
      <x:c r="G214" t="str">
        <x:v>OTC &amp; Wellness</x:v>
      </x:c>
      <x:c r="H214" t="str">
        <x:v>Pain Relief</x:v>
      </x:c>
      <x:c r="I214" t="str">
        <x:v>MFG017</x:v>
      </x:c>
      <x:c r="J214" t="str">
        <x:v>Manufacturer 017</x:v>
      </x:c>
      <x:c r="K214" t="str">
        <x:v>SUP030</x:v>
      </x:c>
      <x:c r="L214" t="str">
        <x:v>Supplier 030</x:v>
      </x:c>
      <x:c r="M214" t="str">
        <x:v>REG-881319</x:v>
      </x:c>
      <x:c r="N214" t="str">
        <x:v>Generic Ingredient 073</x:v>
      </x:c>
      <x:c r="O214" t="str">
        <x:v>General Sale</x:v>
      </x:c>
      <x:c r="P214" t="n">
        <x:v>83</x:v>
      </x:c>
      <x:c r="Q214" t="n">
        <x:v>54</x:v>
      </x:c>
      <x:c r="R214" t="n">
        <x:v>21</x:v>
      </x:c>
      <x:c r="S214" s="12" t="n">
        <x:f>E214*Q214</x:f>
        <x:v>1766.3400000000001</x:v>
      </x:c>
      <x:c r="T214" s="12" t="n">
        <x:f>ROUND(S214*F214+0.000000001,2)</x:f>
        <x:v>657.08</x:v>
      </x:c>
      <x:c r="U214" s="12" t="n">
        <x:f>E214*R214</x:f>
        <x:v>686.91</x:v>
      </x:c>
      <x:c r="V214" t="str">
        <x:f>IF(AND(C214="Active",Q214=0),"Active Zero Sales","Not Zero Sales")</x:f>
        <x:v>Not Zero Sales</x:v>
      </x:c>
      <x:c r="W214" s="12" t="n">
        <x:f>IF(V214="Active Zero Sales",U214,0)</x:f>
        <x:v>0</x:v>
      </x:c>
      <x:c r="X214" t="str">
        <x:f>IF(E214&lt;25,"Low &lt; 25",IF(E214&lt;100,"Medium 25-99",IF(E214&lt;300,"High 100-299","Premium 300+")))</x:f>
        <x:v>Medium 25-99</x:v>
      </x:c>
      <x:c r="Y214" t="n">
        <x:f>IF(C214="Active",1,0)</x:f>
        <x:v>1</x:v>
      </x:c>
    </x:row>
    <x:row r="215">
      <x:c r="A215" t="str">
        <x:v>SKU00214</x:v>
      </x:c>
      <x:c r="B215" t="str">
        <x:v>Sample Product 00214</x:v>
      </x:c>
      <x:c r="C215" t="str">
        <x:v>Active</x:v>
      </x:c>
      <x:c r="D215" t="str">
        <x:v>2026-06</x:v>
      </x:c>
      <x:c r="E215" s="12" t="n">
        <x:v>60.08</x:v>
      </x:c>
      <x:c r="F215" s="10" t="n">
        <x:v>0.232</x:v>
      </x:c>
      <x:c r="G215" t="str">
        <x:v>Medical Devices</x:v>
      </x:c>
      <x:c r="H215" t="str">
        <x:v>Home Diagnostics</x:v>
      </x:c>
      <x:c r="I215" t="str">
        <x:v>MFG001</x:v>
      </x:c>
      <x:c r="J215" t="str">
        <x:v>Manufacturer 001</x:v>
      </x:c>
      <x:c r="K215" t="str">
        <x:v>SUP003</x:v>
      </x:c>
      <x:c r="L215" t="str">
        <x:v>Supplier 003</x:v>
      </x:c>
      <x:c r="M215" t="str">
        <x:v>REG-817652</x:v>
      </x:c>
      <x:c r="N215" t="str">
        <x:v>Generic Ingredient 141</x:v>
      </x:c>
      <x:c r="O215" t="str">
        <x:v>General Sale</x:v>
      </x:c>
      <x:c r="P215" t="n">
        <x:v>111</x:v>
      </x:c>
      <x:c r="Q215" t="n">
        <x:v>57</x:v>
      </x:c>
      <x:c r="R215" t="n">
        <x:v>14</x:v>
      </x:c>
      <x:c r="S215" s="12" t="n">
        <x:f>E215*Q215</x:f>
        <x:v>3424.56</x:v>
      </x:c>
      <x:c r="T215" s="12" t="n">
        <x:f>ROUND(S215*F215+0.000000001,2)</x:f>
        <x:v>794.5</x:v>
      </x:c>
      <x:c r="U215" s="12" t="n">
        <x:f>E215*R215</x:f>
        <x:v>841.12</x:v>
      </x:c>
      <x:c r="V215" t="str">
        <x:f>IF(AND(C215="Active",Q215=0),"Active Zero Sales","Not Zero Sales")</x:f>
        <x:v>Not Zero Sales</x:v>
      </x:c>
      <x:c r="W215" s="12" t="n">
        <x:f>IF(V215="Active Zero Sales",U215,0)</x:f>
        <x:v>0</x:v>
      </x:c>
      <x:c r="X215" t="str">
        <x:f>IF(E215&lt;25,"Low &lt; 25",IF(E215&lt;100,"Medium 25-99",IF(E215&lt;300,"High 100-299","Premium 300+")))</x:f>
        <x:v>Medium 25-99</x:v>
      </x:c>
      <x:c r="Y215" t="n">
        <x:f>IF(C215="Active",1,0)</x:f>
        <x:v>1</x:v>
      </x:c>
    </x:row>
    <x:row r="216">
      <x:c r="A216" t="str">
        <x:v>SKU00215</x:v>
      </x:c>
      <x:c r="B216" t="str">
        <x:v>Sample Product 00215</x:v>
      </x:c>
      <x:c r="C216" t="str">
        <x:v>Blocked</x:v>
      </x:c>
      <x:c r="D216" t="str">
        <x:v>2026-02</x:v>
      </x:c>
      <x:c r="E216" s="12" t="n">
        <x:v>25.35</x:v>
      </x:c>
      <x:c r="F216" s="10" t="n">
        <x:v>0.263</x:v>
      </x:c>
      <x:c r="G216" t="str">
        <x:v>OTC &amp; Wellness</x:v>
      </x:c>
      <x:c r="H216" t="str">
        <x:v>Digestive Care</x:v>
      </x:c>
      <x:c r="I216" t="str">
        <x:v>MFG003</x:v>
      </x:c>
      <x:c r="J216" t="str">
        <x:v>Manufacturer 003</x:v>
      </x:c>
      <x:c r="K216" t="str">
        <x:v>SUP010</x:v>
      </x:c>
      <x:c r="L216" t="str">
        <x:v>Supplier 010</x:v>
      </x:c>
      <x:c r="M216" t="str">
        <x:v>REG-378570</x:v>
      </x:c>
      <x:c r="N216" t="str">
        <x:v>Generic Ingredient 110</x:v>
      </x:c>
      <x:c r="O216" t="str">
        <x:v>General Sale</x:v>
      </x:c>
      <x:c r="P216" t="n">
        <x:v>28</x:v>
      </x:c>
      <x:c r="Q216" t="n">
        <x:v>0</x:v>
      </x:c>
      <x:c r="R216" t="n">
        <x:v>0</x:v>
      </x:c>
      <x:c r="S216" s="12" t="n">
        <x:f>E216*Q216</x:f>
        <x:v>0</x:v>
      </x:c>
      <x:c r="T216" s="12" t="n">
        <x:f>ROUND(S216*F216+0.000000001,2)</x:f>
        <x:v>0</x:v>
      </x:c>
      <x:c r="U216" s="12" t="n">
        <x:f>E216*R216</x:f>
        <x:v>0</x:v>
      </x:c>
      <x:c r="V216" t="str">
        <x:f>IF(AND(C216="Active",Q216=0),"Active Zero Sales","Not Zero Sales")</x:f>
        <x:v>Not Zero Sales</x:v>
      </x:c>
      <x:c r="W216" s="12" t="n">
        <x:f>IF(V216="Active Zero Sales",U216,0)</x:f>
        <x:v>0</x:v>
      </x:c>
      <x:c r="X216" t="str">
        <x:f>IF(E216&lt;25,"Low &lt; 25",IF(E216&lt;100,"Medium 25-99",IF(E216&lt;300,"High 100-299","Premium 300+")))</x:f>
        <x:v>Medium 25-99</x:v>
      </x:c>
      <x:c r="Y216" t="n">
        <x:f>IF(C216="Active",1,0)</x:f>
        <x:v>0</x:v>
      </x:c>
    </x:row>
    <x:row r="217">
      <x:c r="A217" t="str">
        <x:v>SKU00216</x:v>
      </x:c>
      <x:c r="B217" t="str">
        <x:v>Sample Product 00216</x:v>
      </x:c>
      <x:c r="C217" t="str">
        <x:v>Active</x:v>
      </x:c>
      <x:c r="D217" t="str">
        <x:v>2026-05</x:v>
      </x:c>
      <x:c r="E217" s="12" t="n">
        <x:v>336.36</x:v>
      </x:c>
      <x:c r="F217" s="10" t="n">
        <x:v>0.363</x:v>
      </x:c>
      <x:c r="G217" t="str">
        <x:v>Medical Devices</x:v>
      </x:c>
      <x:c r="H217" t="str">
        <x:v>Monitoring Supplies</x:v>
      </x:c>
      <x:c r="I217" t="str">
        <x:v>MFG012</x:v>
      </x:c>
      <x:c r="J217" t="str">
        <x:v>Manufacturer 012</x:v>
      </x:c>
      <x:c r="K217" t="str">
        <x:v>SUP006</x:v>
      </x:c>
      <x:c r="L217" t="str">
        <x:v>Supplier 006</x:v>
      </x:c>
      <x:c r="M217" t="str">
        <x:v>REG-472314</x:v>
      </x:c>
      <x:c r="N217" t="str">
        <x:v>Generic Ingredient 166</x:v>
      </x:c>
      <x:c r="O217" t="str">
        <x:v>General Sale</x:v>
      </x:c>
      <x:c r="P217" t="n">
        <x:v>58</x:v>
      </x:c>
      <x:c r="Q217" t="n">
        <x:v>16</x:v>
      </x:c>
      <x:c r="R217" t="n">
        <x:v>11</x:v>
      </x:c>
      <x:c r="S217" s="12" t="n">
        <x:f>E217*Q217</x:f>
        <x:v>5381.76</x:v>
      </x:c>
      <x:c r="T217" s="12" t="n">
        <x:f>ROUND(S217*F217+0.000000001,2)</x:f>
        <x:v>1953.58</x:v>
      </x:c>
      <x:c r="U217" s="12" t="n">
        <x:f>E217*R217</x:f>
        <x:v>3699.96</x:v>
      </x:c>
      <x:c r="V217" t="str">
        <x:f>IF(AND(C217="Active",Q217=0),"Active Zero Sales","Not Zero Sales")</x:f>
        <x:v>Not Zero Sales</x:v>
      </x:c>
      <x:c r="W217" s="12" t="n">
        <x:f>IF(V217="Active Zero Sales",U217,0)</x:f>
        <x:v>0</x:v>
      </x:c>
      <x:c r="X217" t="str">
        <x:f>IF(E217&lt;25,"Low &lt; 25",IF(E217&lt;100,"Medium 25-99",IF(E217&lt;300,"High 100-299","Premium 300+")))</x:f>
        <x:v>Premium 300+</x:v>
      </x:c>
      <x:c r="Y217" t="n">
        <x:f>IF(C217="Active",1,0)</x:f>
        <x:v>1</x:v>
      </x:c>
    </x:row>
    <x:row r="218">
      <x:c r="A218" t="str">
        <x:v>SKU00217</x:v>
      </x:c>
      <x:c r="B218" t="str">
        <x:v>Sample Product 00217</x:v>
      </x:c>
      <x:c r="C218" t="str">
        <x:v>Active</x:v>
      </x:c>
      <x:c r="D218" t="str">
        <x:v>2026-04</x:v>
      </x:c>
      <x:c r="E218" s="12" t="n">
        <x:v>16.59</x:v>
      </x:c>
      <x:c r="F218" s="10" t="n">
        <x:v>0.326</x:v>
      </x:c>
      <x:c r="G218" t="str">
        <x:v>Personal Care</x:v>
      </x:c>
      <x:c r="H218" t="str">
        <x:v>Hair Care</x:v>
      </x:c>
      <x:c r="I218" t="str">
        <x:v>MFG003</x:v>
      </x:c>
      <x:c r="J218" t="str">
        <x:v>Manufacturer 003</x:v>
      </x:c>
      <x:c r="K218" t="str">
        <x:v>SUP007</x:v>
      </x:c>
      <x:c r="L218" t="str">
        <x:v>Supplier 007</x:v>
      </x:c>
      <x:c r="M218" t="str">
        <x:v>REG-785867</x:v>
      </x:c>
      <x:c r="N218" t="str">
        <x:v>Generic Ingredient 073</x:v>
      </x:c>
      <x:c r="O218" t="str">
        <x:v>General Sale</x:v>
      </x:c>
      <x:c r="P218" t="n">
        <x:v>24</x:v>
      </x:c>
      <x:c r="Q218" t="n">
        <x:v>33</x:v>
      </x:c>
      <x:c r="R218" t="n">
        <x:v>0</x:v>
      </x:c>
      <x:c r="S218" s="12" t="n">
        <x:f>E218*Q218</x:f>
        <x:v>547.47</x:v>
      </x:c>
      <x:c r="T218" s="12" t="n">
        <x:f>ROUND(S218*F218+0.000000001,2)</x:f>
        <x:v>178.48</x:v>
      </x:c>
      <x:c r="U218" s="12" t="n">
        <x:f>E218*R218</x:f>
        <x:v>0</x:v>
      </x:c>
      <x:c r="V218" t="str">
        <x:f>IF(AND(C218="Active",Q218=0),"Active Zero Sales","Not Zero Sales")</x:f>
        <x:v>Not Zero Sales</x:v>
      </x:c>
      <x:c r="W218" s="12" t="n">
        <x:f>IF(V218="Active Zero Sales",U218,0)</x:f>
        <x:v>0</x:v>
      </x:c>
      <x:c r="X218" t="str">
        <x:f>IF(E218&lt;25,"Low &lt; 25",IF(E218&lt;100,"Medium 25-99",IF(E218&lt;300,"High 100-299","Premium 300+")))</x:f>
        <x:v>Low &lt; 25</x:v>
      </x:c>
      <x:c r="Y218" t="n">
        <x:f>IF(C218="Active",1,0)</x:f>
        <x:v>1</x:v>
      </x:c>
    </x:row>
    <x:row r="219">
      <x:c r="A219" t="str">
        <x:v>SKU00218</x:v>
      </x:c>
      <x:c r="B219" t="str">
        <x:v>Sample Product 00218</x:v>
      </x:c>
      <x:c r="C219" t="str">
        <x:v>Active</x:v>
      </x:c>
      <x:c r="D219" t="str">
        <x:v>2026-01</x:v>
      </x:c>
      <x:c r="E219" s="12" t="n">
        <x:v>89.23</x:v>
      </x:c>
      <x:c r="F219" s="10" t="n">
        <x:v>0.36</x:v>
      </x:c>
      <x:c r="G219" t="str">
        <x:v>Nutrition</x:v>
      </x:c>
      <x:c r="H219" t="str">
        <x:v>Sports Nutrition</x:v>
      </x:c>
      <x:c r="I219" t="str">
        <x:v>MFG017</x:v>
      </x:c>
      <x:c r="J219" t="str">
        <x:v>Manufacturer 017</x:v>
      </x:c>
      <x:c r="K219" t="str">
        <x:v>SUP025</x:v>
      </x:c>
      <x:c r="L219" t="str">
        <x:v>Supplier 025</x:v>
      </x:c>
      <x:c r="M219" t="str">
        <x:v>REG-969863</x:v>
      </x:c>
      <x:c r="N219" t="str">
        <x:v>Generic Ingredient 060</x:v>
      </x:c>
      <x:c r="O219" t="str">
        <x:v>General Sale</x:v>
      </x:c>
      <x:c r="P219" t="n">
        <x:v>40</x:v>
      </x:c>
      <x:c r="Q219" t="n">
        <x:v>8</x:v>
      </x:c>
      <x:c r="R219" t="n">
        <x:v>0</x:v>
      </x:c>
      <x:c r="S219" s="12" t="n">
        <x:f>E219*Q219</x:f>
        <x:v>713.84</x:v>
      </x:c>
      <x:c r="T219" s="12" t="n">
        <x:f>ROUND(S219*F219+0.000000001,2)</x:f>
        <x:v>256.98</x:v>
      </x:c>
      <x:c r="U219" s="12" t="n">
        <x:f>E219*R219</x:f>
        <x:v>0</x:v>
      </x:c>
      <x:c r="V219" t="str">
        <x:f>IF(AND(C219="Active",Q219=0),"Active Zero Sales","Not Zero Sales")</x:f>
        <x:v>Not Zero Sales</x:v>
      </x:c>
      <x:c r="W219" s="12" t="n">
        <x:f>IF(V219="Active Zero Sales",U219,0)</x:f>
        <x:v>0</x:v>
      </x:c>
      <x:c r="X219" t="str">
        <x:f>IF(E219&lt;25,"Low &lt; 25",IF(E219&lt;100,"Medium 25-99",IF(E219&lt;300,"High 100-299","Premium 300+")))</x:f>
        <x:v>Medium 25-99</x:v>
      </x:c>
      <x:c r="Y219" t="n">
        <x:f>IF(C219="Active",1,0)</x:f>
        <x:v>1</x:v>
      </x:c>
    </x:row>
    <x:row r="220">
      <x:c r="A220" t="str">
        <x:v>SKU00219</x:v>
      </x:c>
      <x:c r="B220" t="str">
        <x:v>Sample Product 00219</x:v>
      </x:c>
      <x:c r="C220" t="str">
        <x:v>Active</x:v>
      </x:c>
      <x:c r="D220" t="str">
        <x:v>2026-06</x:v>
      </x:c>
      <x:c r="E220" s="12" t="n">
        <x:v>65.53</x:v>
      </x:c>
      <x:c r="F220" s="10" t="n">
        <x:v>0.338</x:v>
      </x:c>
      <x:c r="G220" t="str">
        <x:v>Nutrition</x:v>
      </x:c>
      <x:c r="H220" t="str">
        <x:v>Hydration</x:v>
      </x:c>
      <x:c r="I220" t="str">
        <x:v>MFG009</x:v>
      </x:c>
      <x:c r="J220" t="str">
        <x:v>Manufacturer 009</x:v>
      </x:c>
      <x:c r="K220" t="str">
        <x:v>SUP028</x:v>
      </x:c>
      <x:c r="L220" t="str">
        <x:v>Supplier 028</x:v>
      </x:c>
      <x:c r="M220" t="str">
        <x:v>REG-298607</x:v>
      </x:c>
      <x:c r="N220" t="str">
        <x:v>Generic Ingredient 053</x:v>
      </x:c>
      <x:c r="O220" t="str">
        <x:v>General Sale</x:v>
      </x:c>
      <x:c r="P220" t="n">
        <x:v>76</x:v>
      </x:c>
      <x:c r="Q220" t="n">
        <x:v>24</x:v>
      </x:c>
      <x:c r="R220" t="n">
        <x:v>12</x:v>
      </x:c>
      <x:c r="S220" s="12" t="n">
        <x:f>E220*Q220</x:f>
        <x:v>1572.72</x:v>
      </x:c>
      <x:c r="T220" s="12" t="n">
        <x:f>ROUND(S220*F220+0.000000001,2)</x:f>
        <x:v>531.58</x:v>
      </x:c>
      <x:c r="U220" s="12" t="n">
        <x:f>E220*R220</x:f>
        <x:v>786.36</x:v>
      </x:c>
      <x:c r="V220" t="str">
        <x:f>IF(AND(C220="Active",Q220=0),"Active Zero Sales","Not Zero Sales")</x:f>
        <x:v>Not Zero Sales</x:v>
      </x:c>
      <x:c r="W220" s="12" t="n">
        <x:f>IF(V220="Active Zero Sales",U220,0)</x:f>
        <x:v>0</x:v>
      </x:c>
      <x:c r="X220" t="str">
        <x:f>IF(E220&lt;25,"Low &lt; 25",IF(E220&lt;100,"Medium 25-99",IF(E220&lt;300,"High 100-299","Premium 300+")))</x:f>
        <x:v>Medium 25-99</x:v>
      </x:c>
      <x:c r="Y220" t="n">
        <x:f>IF(C220="Active",1,0)</x:f>
        <x:v>1</x:v>
      </x:c>
    </x:row>
    <x:row r="221">
      <x:c r="A221" t="str">
        <x:v>SKU00220</x:v>
      </x:c>
      <x:c r="B221" t="str">
        <x:v>Sample Product 00220</x:v>
      </x:c>
      <x:c r="C221" t="str">
        <x:v>Active</x:v>
      </x:c>
      <x:c r="D221" t="str">
        <x:v>2026-04</x:v>
      </x:c>
      <x:c r="E221" s="12" t="n">
        <x:v>96.18</x:v>
      </x:c>
      <x:c r="F221" s="10" t="n">
        <x:v>0.293</x:v>
      </x:c>
      <x:c r="G221" t="str">
        <x:v>OTC &amp; Wellness</x:v>
      </x:c>
      <x:c r="H221" t="str">
        <x:v>Cold &amp; Allergy</x:v>
      </x:c>
      <x:c r="I221" t="str">
        <x:v>MFG015</x:v>
      </x:c>
      <x:c r="J221" t="str">
        <x:v>Manufacturer 015</x:v>
      </x:c>
      <x:c r="K221" t="str">
        <x:v>SUP029</x:v>
      </x:c>
      <x:c r="L221" t="str">
        <x:v>Supplier 029</x:v>
      </x:c>
      <x:c r="M221" t="str">
        <x:v>REG-824253</x:v>
      </x:c>
      <x:c r="N221" t="str">
        <x:v>Generic Ingredient 107</x:v>
      </x:c>
      <x:c r="O221" t="str">
        <x:v>General Sale</x:v>
      </x:c>
      <x:c r="P221" t="n">
        <x:v>81</x:v>
      </x:c>
      <x:c r="Q221" t="n">
        <x:v>37</x:v>
      </x:c>
      <x:c r="R221" t="n">
        <x:v>11</x:v>
      </x:c>
      <x:c r="S221" s="12" t="n">
        <x:f>E221*Q221</x:f>
        <x:v>3558.6600000000003</x:v>
      </x:c>
      <x:c r="T221" s="12" t="n">
        <x:f>ROUND(S221*F221+0.000000001,2)</x:f>
        <x:v>1042.69</x:v>
      </x:c>
      <x:c r="U221" s="12" t="n">
        <x:f>E221*R221</x:f>
        <x:v>1057.98</x:v>
      </x:c>
      <x:c r="V221" t="str">
        <x:f>IF(AND(C221="Active",Q221=0),"Active Zero Sales","Not Zero Sales")</x:f>
        <x:v>Not Zero Sales</x:v>
      </x:c>
      <x:c r="W221" s="12" t="n">
        <x:f>IF(V221="Active Zero Sales",U221,0)</x:f>
        <x:v>0</x:v>
      </x:c>
      <x:c r="X221" t="str">
        <x:f>IF(E221&lt;25,"Low &lt; 25",IF(E221&lt;100,"Medium 25-99",IF(E221&lt;300,"High 100-299","Premium 300+")))</x:f>
        <x:v>Medium 25-99</x:v>
      </x:c>
      <x:c r="Y221" t="n">
        <x:f>IF(C221="Active",1,0)</x:f>
        <x:v>1</x:v>
      </x:c>
    </x:row>
    <x:row r="222">
      <x:c r="A222" t="str">
        <x:v>SKU00221</x:v>
      </x:c>
      <x:c r="B222" t="str">
        <x:v>Sample Product 00221</x:v>
      </x:c>
      <x:c r="C222" t="str">
        <x:v>Active</x:v>
      </x:c>
      <x:c r="D222" t="str">
        <x:v>2026-04</x:v>
      </x:c>
      <x:c r="E222" s="12" t="n">
        <x:v>542.88</x:v>
      </x:c>
      <x:c r="F222" s="10" t="n">
        <x:v>0.269</x:v>
      </x:c>
      <x:c r="G222" t="str">
        <x:v>Nutrition</x:v>
      </x:c>
      <x:c r="H222" t="str">
        <x:v>Healthy Snacks</x:v>
      </x:c>
      <x:c r="I222" t="str">
        <x:v>MFG011</x:v>
      </x:c>
      <x:c r="J222" t="str">
        <x:v>Manufacturer 011</x:v>
      </x:c>
      <x:c r="K222" t="str">
        <x:v>SUP020</x:v>
      </x:c>
      <x:c r="L222" t="str">
        <x:v>Supplier 020</x:v>
      </x:c>
      <x:c r="M222" t="str">
        <x:v>REG-890420</x:v>
      </x:c>
      <x:c r="N222" t="str">
        <x:v>Generic Ingredient 064</x:v>
      </x:c>
      <x:c r="O222" t="str">
        <x:v>General Sale</x:v>
      </x:c>
      <x:c r="P222" t="n">
        <x:v>41</x:v>
      </x:c>
      <x:c r="Q222" t="n">
        <x:v>20</x:v>
      </x:c>
      <x:c r="R222" t="n">
        <x:v>2</x:v>
      </x:c>
      <x:c r="S222" s="12" t="n">
        <x:f>E222*Q222</x:f>
        <x:v>10857.6</x:v>
      </x:c>
      <x:c r="T222" s="12" t="n">
        <x:f>ROUND(S222*F222+0.000000001,2)</x:f>
        <x:v>2920.69</x:v>
      </x:c>
      <x:c r="U222" s="12" t="n">
        <x:f>E222*R222</x:f>
        <x:v>1085.76</x:v>
      </x:c>
      <x:c r="V222" t="str">
        <x:f>IF(AND(C222="Active",Q222=0),"Active Zero Sales","Not Zero Sales")</x:f>
        <x:v>Not Zero Sales</x:v>
      </x:c>
      <x:c r="W222" s="12" t="n">
        <x:f>IF(V222="Active Zero Sales",U222,0)</x:f>
        <x:v>0</x:v>
      </x:c>
      <x:c r="X222" t="str">
        <x:f>IF(E222&lt;25,"Low &lt; 25",IF(E222&lt;100,"Medium 25-99",IF(E222&lt;300,"High 100-299","Premium 300+")))</x:f>
        <x:v>Premium 300+</x:v>
      </x:c>
      <x:c r="Y222" t="n">
        <x:f>IF(C222="Active",1,0)</x:f>
        <x:v>1</x:v>
      </x:c>
    </x:row>
    <x:row r="223">
      <x:c r="A223" t="str">
        <x:v>SKU00222</x:v>
      </x:c>
      <x:c r="B223" t="str">
        <x:v>Sample Product 00222</x:v>
      </x:c>
      <x:c r="C223" t="str">
        <x:v>Active</x:v>
      </x:c>
      <x:c r="D223" t="str">
        <x:v>2026-01</x:v>
      </x:c>
      <x:c r="E223" s="12" t="n">
        <x:v>57.16</x:v>
      </x:c>
      <x:c r="F223" s="10" t="n">
        <x:v>0.264</x:v>
      </x:c>
      <x:c r="G223" t="str">
        <x:v>OTC &amp; Wellness</x:v>
      </x:c>
      <x:c r="H223" t="str">
        <x:v>Cold &amp; Allergy</x:v>
      </x:c>
      <x:c r="I223" t="str">
        <x:v>MFG018</x:v>
      </x:c>
      <x:c r="J223" t="str">
        <x:v>Manufacturer 018</x:v>
      </x:c>
      <x:c r="K223" t="str">
        <x:v>SUP010</x:v>
      </x:c>
      <x:c r="L223" t="str">
        <x:v>Supplier 010</x:v>
      </x:c>
      <x:c r="M223" t="str">
        <x:v>REG-918602</x:v>
      </x:c>
      <x:c r="N223" t="str">
        <x:v>Generic Ingredient 169</x:v>
      </x:c>
      <x:c r="O223" t="str">
        <x:v>Pharmacy Only</x:v>
      </x:c>
      <x:c r="P223" t="n">
        <x:v>46</x:v>
      </x:c>
      <x:c r="Q223" t="n">
        <x:v>32</x:v>
      </x:c>
      <x:c r="R223" t="n">
        <x:v>7</x:v>
      </x:c>
      <x:c r="S223" s="12" t="n">
        <x:f>E223*Q223</x:f>
        <x:v>1829.12</x:v>
      </x:c>
      <x:c r="T223" s="12" t="n">
        <x:f>ROUND(S223*F223+0.000000001,2)</x:f>
        <x:v>482.89</x:v>
      </x:c>
      <x:c r="U223" s="12" t="n">
        <x:f>E223*R223</x:f>
        <x:v>400.12</x:v>
      </x:c>
      <x:c r="V223" t="str">
        <x:f>IF(AND(C223="Active",Q223=0),"Active Zero Sales","Not Zero Sales")</x:f>
        <x:v>Not Zero Sales</x:v>
      </x:c>
      <x:c r="W223" s="12" t="n">
        <x:f>IF(V223="Active Zero Sales",U223,0)</x:f>
        <x:v>0</x:v>
      </x:c>
      <x:c r="X223" t="str">
        <x:f>IF(E223&lt;25,"Low &lt; 25",IF(E223&lt;100,"Medium 25-99",IF(E223&lt;300,"High 100-299","Premium 300+")))</x:f>
        <x:v>Medium 25-99</x:v>
      </x:c>
      <x:c r="Y223" t="n">
        <x:f>IF(C223="Active",1,0)</x:f>
        <x:v>1</x:v>
      </x:c>
    </x:row>
    <x:row r="224">
      <x:c r="A224" t="str">
        <x:v>SKU00223</x:v>
      </x:c>
      <x:c r="B224" t="str">
        <x:v>Sample Product 00223</x:v>
      </x:c>
      <x:c r="C224" t="str">
        <x:v>Active</x:v>
      </x:c>
      <x:c r="D224" t="str">
        <x:v>2026-04</x:v>
      </x:c>
      <x:c r="E224" s="12" t="n">
        <x:v>71.59</x:v>
      </x:c>
      <x:c r="F224" s="10" t="n">
        <x:v>0.39</x:v>
      </x:c>
      <x:c r="G224" t="str">
        <x:v>OTC &amp; Wellness</x:v>
      </x:c>
      <x:c r="H224" t="str">
        <x:v>Digestive Care</x:v>
      </x:c>
      <x:c r="I224" t="str">
        <x:v>MFG004</x:v>
      </x:c>
      <x:c r="J224" t="str">
        <x:v>Manufacturer 004</x:v>
      </x:c>
      <x:c r="K224" t="str">
        <x:v>SUP015</x:v>
      </x:c>
      <x:c r="L224" t="str">
        <x:v>Supplier 015</x:v>
      </x:c>
      <x:c r="M224" t="str">
        <x:v>REG-592359</x:v>
      </x:c>
      <x:c r="N224" t="str">
        <x:v>Generic Ingredient 161</x:v>
      </x:c>
      <x:c r="O224" t="str">
        <x:v>Pharmacy Only</x:v>
      </x:c>
      <x:c r="P224" t="n">
        <x:v>60</x:v>
      </x:c>
      <x:c r="Q224" t="n">
        <x:v>36</x:v>
      </x:c>
      <x:c r="R224" t="n">
        <x:v>1</x:v>
      </x:c>
      <x:c r="S224" s="12" t="n">
        <x:f>E224*Q224</x:f>
        <x:v>2577.2400000000002</x:v>
      </x:c>
      <x:c r="T224" s="12" t="n">
        <x:f>ROUND(S224*F224+0.000000001,2)</x:f>
        <x:v>1005.12</x:v>
      </x:c>
      <x:c r="U224" s="12" t="n">
        <x:f>E224*R224</x:f>
        <x:v>71.59</x:v>
      </x:c>
      <x:c r="V224" t="str">
        <x:f>IF(AND(C224="Active",Q224=0),"Active Zero Sales","Not Zero Sales")</x:f>
        <x:v>Not Zero Sales</x:v>
      </x:c>
      <x:c r="W224" s="12" t="n">
        <x:f>IF(V224="Active Zero Sales",U224,0)</x:f>
        <x:v>0</x:v>
      </x:c>
      <x:c r="X224" t="str">
        <x:f>IF(E224&lt;25,"Low &lt; 25",IF(E224&lt;100,"Medium 25-99",IF(E224&lt;300,"High 100-299","Premium 300+")))</x:f>
        <x:v>Medium 25-99</x:v>
      </x:c>
      <x:c r="Y224" t="n">
        <x:f>IF(C224="Active",1,0)</x:f>
        <x:v>1</x:v>
      </x:c>
    </x:row>
    <x:row r="225">
      <x:c r="A225" t="str">
        <x:v>SKU00224</x:v>
      </x:c>
      <x:c r="B225" t="str">
        <x:v>Sample Product 00224</x:v>
      </x:c>
      <x:c r="C225" t="str">
        <x:v>Blocked</x:v>
      </x:c>
      <x:c r="D225" t="str">
        <x:v>2026-03</x:v>
      </x:c>
      <x:c r="E225" s="12" t="n">
        <x:v>6.45</x:v>
      </x:c>
      <x:c r="F225" s="10" t="n">
        <x:v>0.27</x:v>
      </x:c>
      <x:c r="G225" t="str">
        <x:v>OTC &amp; Wellness</x:v>
      </x:c>
      <x:c r="H225" t="str">
        <x:v>Pain Relief</x:v>
      </x:c>
      <x:c r="I225" t="str">
        <x:v>MFG011</x:v>
      </x:c>
      <x:c r="J225" t="str">
        <x:v>Manufacturer 011</x:v>
      </x:c>
      <x:c r="K225" t="str">
        <x:v>SUP030</x:v>
      </x:c>
      <x:c r="L225" t="str">
        <x:v>Supplier 030</x:v>
      </x:c>
      <x:c r="M225" t="str">
        <x:v>REG-924424</x:v>
      </x:c>
      <x:c r="N225" t="str">
        <x:v>Generic Ingredient 022</x:v>
      </x:c>
      <x:c r="O225" t="str">
        <x:v>General Sale</x:v>
      </x:c>
      <x:c r="P225" t="n">
        <x:v>31</x:v>
      </x:c>
      <x:c r="Q225" t="n">
        <x:v>0</x:v>
      </x:c>
      <x:c r="R225" t="n">
        <x:v>0</x:v>
      </x:c>
      <x:c r="S225" s="12" t="n">
        <x:f>E225*Q225</x:f>
        <x:v>0</x:v>
      </x:c>
      <x:c r="T225" s="12" t="n">
        <x:f>ROUND(S225*F225+0.000000001,2)</x:f>
        <x:v>0</x:v>
      </x:c>
      <x:c r="U225" s="12" t="n">
        <x:f>E225*R225</x:f>
        <x:v>0</x:v>
      </x:c>
      <x:c r="V225" t="str">
        <x:f>IF(AND(C225="Active",Q225=0),"Active Zero Sales","Not Zero Sales")</x:f>
        <x:v>Not Zero Sales</x:v>
      </x:c>
      <x:c r="W225" s="12" t="n">
        <x:f>IF(V225="Active Zero Sales",U225,0)</x:f>
        <x:v>0</x:v>
      </x:c>
      <x:c r="X225" t="str">
        <x:f>IF(E225&lt;25,"Low &lt; 25",IF(E225&lt;100,"Medium 25-99",IF(E225&lt;300,"High 100-299","Premium 300+")))</x:f>
        <x:v>Low &lt; 25</x:v>
      </x:c>
      <x:c r="Y225" t="n">
        <x:f>IF(C225="Active",1,0)</x:f>
        <x:v>0</x:v>
      </x:c>
    </x:row>
    <x:row r="226">
      <x:c r="A226" t="str">
        <x:v>SKU00225</x:v>
      </x:c>
      <x:c r="B226" t="str">
        <x:v>Sample Product 00225</x:v>
      </x:c>
      <x:c r="C226" t="str">
        <x:v>Active</x:v>
      </x:c>
      <x:c r="D226" t="str">
        <x:v>2026-06</x:v>
      </x:c>
      <x:c r="E226" s="12" t="n">
        <x:v>210.68</x:v>
      </x:c>
      <x:c r="F226" s="10" t="n">
        <x:v>0.229</x:v>
      </x:c>
      <x:c r="G226" t="str">
        <x:v>Medical Devices</x:v>
      </x:c>
      <x:c r="H226" t="str">
        <x:v>Monitoring Supplies</x:v>
      </x:c>
      <x:c r="I226" t="str">
        <x:v>MFG016</x:v>
      </x:c>
      <x:c r="J226" t="str">
        <x:v>Manufacturer 016</x:v>
      </x:c>
      <x:c r="K226" t="str">
        <x:v>SUP019</x:v>
      </x:c>
      <x:c r="L226" t="str">
        <x:v>Supplier 019</x:v>
      </x:c>
      <x:c r="M226" t="str">
        <x:v>REG-535464</x:v>
      </x:c>
      <x:c r="N226" t="str">
        <x:v>Generic Ingredient 078</x:v>
      </x:c>
      <x:c r="O226" t="str">
        <x:v>General Sale</x:v>
      </x:c>
      <x:c r="P226" t="n">
        <x:v>109</x:v>
      </x:c>
      <x:c r="Q226" t="n">
        <x:v>43</x:v>
      </x:c>
      <x:c r="R226" t="n">
        <x:v>17</x:v>
      </x:c>
      <x:c r="S226" s="12" t="n">
        <x:f>E226*Q226</x:f>
        <x:v>9059.24</x:v>
      </x:c>
      <x:c r="T226" s="12" t="n">
        <x:f>ROUND(S226*F226+0.000000001,2)</x:f>
        <x:v>2074.57</x:v>
      </x:c>
      <x:c r="U226" s="12" t="n">
        <x:f>E226*R226</x:f>
        <x:v>3581.56</x:v>
      </x:c>
      <x:c r="V226" t="str">
        <x:f>IF(AND(C226="Active",Q226=0),"Active Zero Sales","Not Zero Sales")</x:f>
        <x:v>Not Zero Sales</x:v>
      </x:c>
      <x:c r="W226" s="12" t="n">
        <x:f>IF(V226="Active Zero Sales",U226,0)</x:f>
        <x:v>0</x:v>
      </x:c>
      <x:c r="X226" t="str">
        <x:f>IF(E226&lt;25,"Low &lt; 25",IF(E226&lt;100,"Medium 25-99",IF(E226&lt;300,"High 100-299","Premium 300+")))</x:f>
        <x:v>High 100-299</x:v>
      </x:c>
      <x:c r="Y226" t="n">
        <x:f>IF(C226="Active",1,0)</x:f>
        <x:v>1</x:v>
      </x:c>
    </x:row>
    <x:row r="227">
      <x:c r="A227" t="str">
        <x:v>SKU00226</x:v>
      </x:c>
      <x:c r="B227" t="str">
        <x:v>Sample Product 00226</x:v>
      </x:c>
      <x:c r="C227" t="str">
        <x:v>Active</x:v>
      </x:c>
      <x:c r="D227" t="str">
        <x:v>2026-06</x:v>
      </x:c>
      <x:c r="E227" s="12" t="n">
        <x:v>43.03</x:v>
      </x:c>
      <x:c r="F227" s="10" t="n">
        <x:v>0.192</x:v>
      </x:c>
      <x:c r="G227" t="str">
        <x:v>Nutrition</x:v>
      </x:c>
      <x:c r="H227" t="str">
        <x:v>Hydration</x:v>
      </x:c>
      <x:c r="I227" t="str">
        <x:v>MFG016</x:v>
      </x:c>
      <x:c r="J227" t="str">
        <x:v>Manufacturer 016</x:v>
      </x:c>
      <x:c r="K227" t="str">
        <x:v>SUP006</x:v>
      </x:c>
      <x:c r="L227" t="str">
        <x:v>Supplier 006</x:v>
      </x:c>
      <x:c r="M227" t="str">
        <x:v>REG-861676</x:v>
      </x:c>
      <x:c r="N227" t="str">
        <x:v>Generic Ingredient 136</x:v>
      </x:c>
      <x:c r="O227" t="str">
        <x:v>General Sale</x:v>
      </x:c>
      <x:c r="P227" t="n">
        <x:v>72</x:v>
      </x:c>
      <x:c r="Q227" t="n">
        <x:v>45</x:v>
      </x:c>
      <x:c r="R227" t="n">
        <x:v>33</x:v>
      </x:c>
      <x:c r="S227" s="12" t="n">
        <x:f>E227*Q227</x:f>
        <x:v>1936.3500000000001</x:v>
      </x:c>
      <x:c r="T227" s="12" t="n">
        <x:f>ROUND(S227*F227+0.000000001,2)</x:f>
        <x:v>371.78</x:v>
      </x:c>
      <x:c r="U227" s="12" t="n">
        <x:f>E227*R227</x:f>
        <x:v>1419.99</x:v>
      </x:c>
      <x:c r="V227" t="str">
        <x:f>IF(AND(C227="Active",Q227=0),"Active Zero Sales","Not Zero Sales")</x:f>
        <x:v>Not Zero Sales</x:v>
      </x:c>
      <x:c r="W227" s="12" t="n">
        <x:f>IF(V227="Active Zero Sales",U227,0)</x:f>
        <x:v>0</x:v>
      </x:c>
      <x:c r="X227" t="str">
        <x:f>IF(E227&lt;25,"Low &lt; 25",IF(E227&lt;100,"Medium 25-99",IF(E227&lt;300,"High 100-299","Premium 300+")))</x:f>
        <x:v>Medium 25-99</x:v>
      </x:c>
      <x:c r="Y227" t="n">
        <x:f>IF(C227="Active",1,0)</x:f>
        <x:v>1</x:v>
      </x:c>
    </x:row>
    <x:row r="228">
      <x:c r="A228" t="str">
        <x:v>SKU00227</x:v>
      </x:c>
      <x:c r="B228" t="str">
        <x:v>Sample Product 00227</x:v>
      </x:c>
      <x:c r="C228" t="str">
        <x:v>Active</x:v>
      </x:c>
      <x:c r="D228" t="str">
        <x:v>2026-05</x:v>
      </x:c>
      <x:c r="E228" s="12" t="n">
        <x:v>10.76</x:v>
      </x:c>
      <x:c r="F228" s="10" t="n">
        <x:v>0.265</x:v>
      </x:c>
      <x:c r="G228" t="str">
        <x:v>OTC &amp; Wellness</x:v>
      </x:c>
      <x:c r="H228" t="str">
        <x:v>Cold &amp; Allergy</x:v>
      </x:c>
      <x:c r="I228" t="str">
        <x:v>MFG001</x:v>
      </x:c>
      <x:c r="J228" t="str">
        <x:v>Manufacturer 001</x:v>
      </x:c>
      <x:c r="K228" t="str">
        <x:v>SUP024</x:v>
      </x:c>
      <x:c r="L228" t="str">
        <x:v>Supplier 024</x:v>
      </x:c>
      <x:c r="M228" t="str">
        <x:v>REG-959897</x:v>
      </x:c>
      <x:c r="N228" t="str">
        <x:v>Generic Ingredient 103</x:v>
      </x:c>
      <x:c r="O228" t="str">
        <x:v>General Sale</x:v>
      </x:c>
      <x:c r="P228" t="n">
        <x:v>40</x:v>
      </x:c>
      <x:c r="Q228" t="n">
        <x:v>28</x:v>
      </x:c>
      <x:c r="R228" t="n">
        <x:v>0</x:v>
      </x:c>
      <x:c r="S228" s="12" t="n">
        <x:f>E228*Q228</x:f>
        <x:v>301.28</x:v>
      </x:c>
      <x:c r="T228" s="12" t="n">
        <x:f>ROUND(S228*F228+0.000000001,2)</x:f>
        <x:v>79.84</x:v>
      </x:c>
      <x:c r="U228" s="12" t="n">
        <x:f>E228*R228</x:f>
        <x:v>0</x:v>
      </x:c>
      <x:c r="V228" t="str">
        <x:f>IF(AND(C228="Active",Q228=0),"Active Zero Sales","Not Zero Sales")</x:f>
        <x:v>Not Zero Sales</x:v>
      </x:c>
      <x:c r="W228" s="12" t="n">
        <x:f>IF(V228="Active Zero Sales",U228,0)</x:f>
        <x:v>0</x:v>
      </x:c>
      <x:c r="X228" t="str">
        <x:f>IF(E228&lt;25,"Low &lt; 25",IF(E228&lt;100,"Medium 25-99",IF(E228&lt;300,"High 100-299","Premium 300+")))</x:f>
        <x:v>Low &lt; 25</x:v>
      </x:c>
      <x:c r="Y228" t="n">
        <x:f>IF(C228="Active",1,0)</x:f>
        <x:v>1</x:v>
      </x:c>
    </x:row>
    <x:row r="229">
      <x:c r="A229" t="str">
        <x:v>SKU00228</x:v>
      </x:c>
      <x:c r="B229" t="str">
        <x:v>Sample Product 00228</x:v>
      </x:c>
      <x:c r="C229" t="str">
        <x:v>Active</x:v>
      </x:c>
      <x:c r="D229" t="str">
        <x:v>2026-01</x:v>
      </x:c>
      <x:c r="E229" s="12" t="n">
        <x:v>61.52</x:v>
      </x:c>
      <x:c r="F229" s="10" t="n">
        <x:v>0.321</x:v>
      </x:c>
      <x:c r="G229" t="str">
        <x:v>General Merchandise</x:v>
      </x:c>
      <x:c r="H229" t="str">
        <x:v>Accessories</x:v>
      </x:c>
      <x:c r="I229" t="str">
        <x:v>MFG020</x:v>
      </x:c>
      <x:c r="J229" t="str">
        <x:v>Manufacturer 020</x:v>
      </x:c>
      <x:c r="K229" t="str">
        <x:v>SUP018</x:v>
      </x:c>
      <x:c r="L229" t="str">
        <x:v>Supplier 018</x:v>
      </x:c>
      <x:c r="M229" t="str">
        <x:v>REG-210392</x:v>
      </x:c>
      <x:c r="N229" t="str">
        <x:v>Generic Ingredient 037</x:v>
      </x:c>
      <x:c r="O229" t="str">
        <x:v>General Sale</x:v>
      </x:c>
      <x:c r="P229" t="n">
        <x:v>17</x:v>
      </x:c>
      <x:c r="Q229" t="n">
        <x:v>4</x:v>
      </x:c>
      <x:c r="R229" t="n">
        <x:v>4</x:v>
      </x:c>
      <x:c r="S229" s="12" t="n">
        <x:f>E229*Q229</x:f>
        <x:v>246.08</x:v>
      </x:c>
      <x:c r="T229" s="12" t="n">
        <x:f>ROUND(S229*F229+0.000000001,2)</x:f>
        <x:v>78.99</x:v>
      </x:c>
      <x:c r="U229" s="12" t="n">
        <x:f>E229*R229</x:f>
        <x:v>246.08</x:v>
      </x:c>
      <x:c r="V229" t="str">
        <x:f>IF(AND(C229="Active",Q229=0),"Active Zero Sales","Not Zero Sales")</x:f>
        <x:v>Not Zero Sales</x:v>
      </x:c>
      <x:c r="W229" s="12" t="n">
        <x:f>IF(V229="Active Zero Sales",U229,0)</x:f>
        <x:v>0</x:v>
      </x:c>
      <x:c r="X229" t="str">
        <x:f>IF(E229&lt;25,"Low &lt; 25",IF(E229&lt;100,"Medium 25-99",IF(E229&lt;300,"High 100-299","Premium 300+")))</x:f>
        <x:v>Medium 25-99</x:v>
      </x:c>
      <x:c r="Y229" t="n">
        <x:f>IF(C229="Active",1,0)</x:f>
        <x:v>1</x:v>
      </x:c>
    </x:row>
    <x:row r="230">
      <x:c r="A230" t="str">
        <x:v>SKU00229</x:v>
      </x:c>
      <x:c r="B230" t="str">
        <x:v>Sample Product 00229</x:v>
      </x:c>
      <x:c r="C230" t="str">
        <x:v>Active</x:v>
      </x:c>
      <x:c r="D230" t="str">
        <x:v>2026-05</x:v>
      </x:c>
      <x:c r="E230" s="12" t="n">
        <x:v>12.53</x:v>
      </x:c>
      <x:c r="F230" s="10" t="n">
        <x:v>0.21</x:v>
      </x:c>
      <x:c r="G230" t="str">
        <x:v>Nutrition</x:v>
      </x:c>
      <x:c r="H230" t="str">
        <x:v>Healthy Snacks</x:v>
      </x:c>
      <x:c r="I230" t="str">
        <x:v>MFG010</x:v>
      </x:c>
      <x:c r="J230" t="str">
        <x:v>Manufacturer 010</x:v>
      </x:c>
      <x:c r="K230" t="str">
        <x:v>SUP004</x:v>
      </x:c>
      <x:c r="L230" t="str">
        <x:v>Supplier 004</x:v>
      </x:c>
      <x:c r="M230" t="str">
        <x:v>REG-860509</x:v>
      </x:c>
      <x:c r="N230" t="str">
        <x:v>Generic Ingredient 034</x:v>
      </x:c>
      <x:c r="O230" t="str">
        <x:v>General Sale</x:v>
      </x:c>
      <x:c r="P230" t="n">
        <x:v>43</x:v>
      </x:c>
      <x:c r="Q230" t="n">
        <x:v>21</x:v>
      </x:c>
      <x:c r="R230" t="n">
        <x:v>0</x:v>
      </x:c>
      <x:c r="S230" s="12" t="n">
        <x:f>E230*Q230</x:f>
        <x:v>263.13</x:v>
      </x:c>
      <x:c r="T230" s="12" t="n">
        <x:f>ROUND(S230*F230+0.000000001,2)</x:f>
        <x:v>55.26</x:v>
      </x:c>
      <x:c r="U230" s="12" t="n">
        <x:f>E230*R230</x:f>
        <x:v>0</x:v>
      </x:c>
      <x:c r="V230" t="str">
        <x:f>IF(AND(C230="Active",Q230=0),"Active Zero Sales","Not Zero Sales")</x:f>
        <x:v>Not Zero Sales</x:v>
      </x:c>
      <x:c r="W230" s="12" t="n">
        <x:f>IF(V230="Active Zero Sales",U230,0)</x:f>
        <x:v>0</x:v>
      </x:c>
      <x:c r="X230" t="str">
        <x:f>IF(E230&lt;25,"Low &lt; 25",IF(E230&lt;100,"Medium 25-99",IF(E230&lt;300,"High 100-299","Premium 300+")))</x:f>
        <x:v>Low &lt; 25</x:v>
      </x:c>
      <x:c r="Y230" t="n">
        <x:f>IF(C230="Active",1,0)</x:f>
        <x:v>1</x:v>
      </x:c>
    </x:row>
    <x:row r="231">
      <x:c r="A231" t="str">
        <x:v>SKU00230</x:v>
      </x:c>
      <x:c r="B231" t="str">
        <x:v>Sample Product 00230</x:v>
      </x:c>
      <x:c r="C231" t="str">
        <x:v>Blocked</x:v>
      </x:c>
      <x:c r="D231" t="str">
        <x:v>2026-02</x:v>
      </x:c>
      <x:c r="E231" s="12" t="n">
        <x:v>15.37</x:v>
      </x:c>
      <x:c r="F231" s="10" t="n">
        <x:v>0.532</x:v>
      </x:c>
      <x:c r="G231" t="str">
        <x:v>Personal Care</x:v>
      </x:c>
      <x:c r="H231" t="str">
        <x:v>Oral Care</x:v>
      </x:c>
      <x:c r="I231" t="str">
        <x:v>MFG001</x:v>
      </x:c>
      <x:c r="J231" t="str">
        <x:v>Manufacturer 001</x:v>
      </x:c>
      <x:c r="K231" t="str">
        <x:v>SUP009</x:v>
      </x:c>
      <x:c r="L231" t="str">
        <x:v>Supplier 009</x:v>
      </x:c>
      <x:c r="M231" t="str">
        <x:v>REG-704461</x:v>
      </x:c>
      <x:c r="N231" t="str">
        <x:v>Generic Ingredient 127</x:v>
      </x:c>
      <x:c r="O231" t="str">
        <x:v>General Sale</x:v>
      </x:c>
      <x:c r="P231" t="n">
        <x:v>46</x:v>
      </x:c>
      <x:c r="Q231" t="n">
        <x:v>18</x:v>
      </x:c>
      <x:c r="R231" t="n">
        <x:v>0</x:v>
      </x:c>
      <x:c r="S231" s="12" t="n">
        <x:f>E231*Q231</x:f>
        <x:v>276.65999999999997</x:v>
      </x:c>
      <x:c r="T231" s="12" t="n">
        <x:f>ROUND(S231*F231+0.000000001,2)</x:f>
        <x:v>147.18</x:v>
      </x:c>
      <x:c r="U231" s="12" t="n">
        <x:f>E231*R231</x:f>
        <x:v>0</x:v>
      </x:c>
      <x:c r="V231" t="str">
        <x:f>IF(AND(C231="Active",Q231=0),"Active Zero Sales","Not Zero Sales")</x:f>
        <x:v>Not Zero Sales</x:v>
      </x:c>
      <x:c r="W231" s="12" t="n">
        <x:f>IF(V231="Active Zero Sales",U231,0)</x:f>
        <x:v>0</x:v>
      </x:c>
      <x:c r="X231" t="str">
        <x:f>IF(E231&lt;25,"Low &lt; 25",IF(E231&lt;100,"Medium 25-99",IF(E231&lt;300,"High 100-299","Premium 300+")))</x:f>
        <x:v>Low &lt; 25</x:v>
      </x:c>
      <x:c r="Y231" t="n">
        <x:f>IF(C231="Active",1,0)</x:f>
        <x:v>0</x:v>
      </x:c>
    </x:row>
    <x:row r="232">
      <x:c r="A232" t="str">
        <x:v>SKU00231</x:v>
      </x:c>
      <x:c r="B232" t="str">
        <x:v>Sample Product 00231</x:v>
      </x:c>
      <x:c r="C232" t="str">
        <x:v>Active</x:v>
      </x:c>
      <x:c r="D232" t="str">
        <x:v>2026-01</x:v>
      </x:c>
      <x:c r="E232" s="12" t="n">
        <x:v>13.16</x:v>
      </x:c>
      <x:c r="F232" s="10" t="n">
        <x:v>0.356</x:v>
      </x:c>
      <x:c r="G232" t="str">
        <x:v>General Merchandise</x:v>
      </x:c>
      <x:c r="H232" t="str">
        <x:v>Seasonal Care</x:v>
      </x:c>
      <x:c r="I232" t="str">
        <x:v>MFG015</x:v>
      </x:c>
      <x:c r="J232" t="str">
        <x:v>Manufacturer 015</x:v>
      </x:c>
      <x:c r="K232" t="str">
        <x:v>SUP015</x:v>
      </x:c>
      <x:c r="L232" t="str">
        <x:v>Supplier 015</x:v>
      </x:c>
      <x:c r="M232" t="str">
        <x:v>REG-518374</x:v>
      </x:c>
      <x:c r="N232" t="str">
        <x:v>Generic Ingredient 003</x:v>
      </x:c>
      <x:c r="O232" t="str">
        <x:v>General Sale</x:v>
      </x:c>
      <x:c r="P232" t="n">
        <x:v>63</x:v>
      </x:c>
      <x:c r="Q232" t="n">
        <x:v>27</x:v>
      </x:c>
      <x:c r="R232" t="n">
        <x:v>7</x:v>
      </x:c>
      <x:c r="S232" s="12" t="n">
        <x:f>E232*Q232</x:f>
        <x:v>355.32</x:v>
      </x:c>
      <x:c r="T232" s="12" t="n">
        <x:f>ROUND(S232*F232+0.000000001,2)</x:f>
        <x:v>126.49</x:v>
      </x:c>
      <x:c r="U232" s="12" t="n">
        <x:f>E232*R232</x:f>
        <x:v>92.12</x:v>
      </x:c>
      <x:c r="V232" t="str">
        <x:f>IF(AND(C232="Active",Q232=0),"Active Zero Sales","Not Zero Sales")</x:f>
        <x:v>Not Zero Sales</x:v>
      </x:c>
      <x:c r="W232" s="12" t="n">
        <x:f>IF(V232="Active Zero Sales",U232,0)</x:f>
        <x:v>0</x:v>
      </x:c>
      <x:c r="X232" t="str">
        <x:f>IF(E232&lt;25,"Low &lt; 25",IF(E232&lt;100,"Medium 25-99",IF(E232&lt;300,"High 100-299","Premium 300+")))</x:f>
        <x:v>Low &lt; 25</x:v>
      </x:c>
      <x:c r="Y232" t="n">
        <x:f>IF(C232="Active",1,0)</x:f>
        <x:v>1</x:v>
      </x:c>
    </x:row>
    <x:row r="233">
      <x:c r="A233" t="str">
        <x:v>SKU00232</x:v>
      </x:c>
      <x:c r="B233" t="str">
        <x:v>Sample Product 00232</x:v>
      </x:c>
      <x:c r="C233" t="str">
        <x:v>Active</x:v>
      </x:c>
      <x:c r="D233" t="str">
        <x:v>2026-06</x:v>
      </x:c>
      <x:c r="E233" s="12" t="n">
        <x:v>41.47</x:v>
      </x:c>
      <x:c r="F233" s="10" t="n">
        <x:v>0.33</x:v>
      </x:c>
      <x:c r="G233" t="str">
        <x:v>Personal Care</x:v>
      </x:c>
      <x:c r="H233" t="str">
        <x:v>Hygiene</x:v>
      </x:c>
      <x:c r="I233" t="str">
        <x:v>MFG003</x:v>
      </x:c>
      <x:c r="J233" t="str">
        <x:v>Manufacturer 003</x:v>
      </x:c>
      <x:c r="K233" t="str">
        <x:v>SUP011</x:v>
      </x:c>
      <x:c r="L233" t="str">
        <x:v>Supplier 011</x:v>
      </x:c>
      <x:c r="M233" t="str">
        <x:v>REG-491531</x:v>
      </x:c>
      <x:c r="N233" t="str">
        <x:v>Generic Ingredient 104</x:v>
      </x:c>
      <x:c r="O233" t="str">
        <x:v>General Sale</x:v>
      </x:c>
      <x:c r="P233" t="n">
        <x:v>51</x:v>
      </x:c>
      <x:c r="Q233" t="n">
        <x:v>51</x:v>
      </x:c>
      <x:c r="R233" t="n">
        <x:v>0</x:v>
      </x:c>
      <x:c r="S233" s="12" t="n">
        <x:f>E233*Q233</x:f>
        <x:v>2114.97</x:v>
      </x:c>
      <x:c r="T233" s="12" t="n">
        <x:f>ROUND(S233*F233+0.000000001,2)</x:f>
        <x:v>697.94</x:v>
      </x:c>
      <x:c r="U233" s="12" t="n">
        <x:f>E233*R233</x:f>
        <x:v>0</x:v>
      </x:c>
      <x:c r="V233" t="str">
        <x:f>IF(AND(C233="Active",Q233=0),"Active Zero Sales","Not Zero Sales")</x:f>
        <x:v>Not Zero Sales</x:v>
      </x:c>
      <x:c r="W233" s="12" t="n">
        <x:f>IF(V233="Active Zero Sales",U233,0)</x:f>
        <x:v>0</x:v>
      </x:c>
      <x:c r="X233" t="str">
        <x:f>IF(E233&lt;25,"Low &lt; 25",IF(E233&lt;100,"Medium 25-99",IF(E233&lt;300,"High 100-299","Premium 300+")))</x:f>
        <x:v>Medium 25-99</x:v>
      </x:c>
      <x:c r="Y233" t="n">
        <x:f>IF(C233="Active",1,0)</x:f>
        <x:v>1</x:v>
      </x:c>
    </x:row>
    <x:row r="234">
      <x:c r="A234" t="str">
        <x:v>SKU00233</x:v>
      </x:c>
      <x:c r="B234" t="str">
        <x:v>Sample Product 00233</x:v>
      </x:c>
      <x:c r="C234" t="str">
        <x:v>Active</x:v>
      </x:c>
      <x:c r="D234" t="str">
        <x:v>2026-01</x:v>
      </x:c>
      <x:c r="E234" s="12" t="n">
        <x:v>239.76</x:v>
      </x:c>
      <x:c r="F234" s="10" t="n">
        <x:v>0.347</x:v>
      </x:c>
      <x:c r="G234" t="str">
        <x:v>Medical Devices</x:v>
      </x:c>
      <x:c r="H234" t="str">
        <x:v>First Aid</x:v>
      </x:c>
      <x:c r="I234" t="str">
        <x:v>MFG006</x:v>
      </x:c>
      <x:c r="J234" t="str">
        <x:v>Manufacturer 006</x:v>
      </x:c>
      <x:c r="K234" t="str">
        <x:v>SUP007</x:v>
      </x:c>
      <x:c r="L234" t="str">
        <x:v>Supplier 007</x:v>
      </x:c>
      <x:c r="M234" t="str">
        <x:v>REG-494367</x:v>
      </x:c>
      <x:c r="N234" t="str">
        <x:v>Generic Ingredient 037</x:v>
      </x:c>
      <x:c r="O234" t="str">
        <x:v>General Sale</x:v>
      </x:c>
      <x:c r="P234" t="n">
        <x:v>46</x:v>
      </x:c>
      <x:c r="Q234" t="n">
        <x:v>5</x:v>
      </x:c>
      <x:c r="R234" t="n">
        <x:v>0</x:v>
      </x:c>
      <x:c r="S234" s="12" t="n">
        <x:f>E234*Q234</x:f>
        <x:v>1198.8</x:v>
      </x:c>
      <x:c r="T234" s="12" t="n">
        <x:f>ROUND(S234*F234+0.000000001,2)</x:f>
        <x:v>415.98</x:v>
      </x:c>
      <x:c r="U234" s="12" t="n">
        <x:f>E234*R234</x:f>
        <x:v>0</x:v>
      </x:c>
      <x:c r="V234" t="str">
        <x:f>IF(AND(C234="Active",Q234=0),"Active Zero Sales","Not Zero Sales")</x:f>
        <x:v>Not Zero Sales</x:v>
      </x:c>
      <x:c r="W234" s="12" t="n">
        <x:f>IF(V234="Active Zero Sales",U234,0)</x:f>
        <x:v>0</x:v>
      </x:c>
      <x:c r="X234" t="str">
        <x:f>IF(E234&lt;25,"Low &lt; 25",IF(E234&lt;100,"Medium 25-99",IF(E234&lt;300,"High 100-299","Premium 300+")))</x:f>
        <x:v>High 100-299</x:v>
      </x:c>
      <x:c r="Y234" t="n">
        <x:f>IF(C234="Active",1,0)</x:f>
        <x:v>1</x:v>
      </x:c>
    </x:row>
    <x:row r="235">
      <x:c r="A235" t="str">
        <x:v>SKU00234</x:v>
      </x:c>
      <x:c r="B235" t="str">
        <x:v>Sample Product 00234</x:v>
      </x:c>
      <x:c r="C235" t="str">
        <x:v>Active</x:v>
      </x:c>
      <x:c r="D235" t="str">
        <x:v>2026-02</x:v>
      </x:c>
      <x:c r="E235" s="12" t="n">
        <x:v>35.61</x:v>
      </x:c>
      <x:c r="F235" s="10" t="n">
        <x:v>0.296</x:v>
      </x:c>
      <x:c r="G235" t="str">
        <x:v>Medical Devices</x:v>
      </x:c>
      <x:c r="H235" t="str">
        <x:v>First Aid</x:v>
      </x:c>
      <x:c r="I235" t="str">
        <x:v>MFG020</x:v>
      </x:c>
      <x:c r="J235" t="str">
        <x:v>Manufacturer 020</x:v>
      </x:c>
      <x:c r="K235" t="str">
        <x:v>SUP001</x:v>
      </x:c>
      <x:c r="L235" t="str">
        <x:v>Supplier 001</x:v>
      </x:c>
      <x:c r="M235" t="str">
        <x:v>REG-930478</x:v>
      </x:c>
      <x:c r="N235" t="str">
        <x:v>Generic Ingredient 070</x:v>
      </x:c>
      <x:c r="O235" t="str">
        <x:v>General Sale</x:v>
      </x:c>
      <x:c r="P235" t="n">
        <x:v>0</x:v>
      </x:c>
      <x:c r="Q235" t="n">
        <x:v>0</x:v>
      </x:c>
      <x:c r="R235" t="n">
        <x:v>0</x:v>
      </x:c>
      <x:c r="S235" s="12" t="n">
        <x:f>E235*Q235</x:f>
        <x:v>0</x:v>
      </x:c>
      <x:c r="T235" s="12" t="n">
        <x:f>ROUND(S235*F235+0.000000001,2)</x:f>
        <x:v>0</x:v>
      </x:c>
      <x:c r="U235" s="12" t="n">
        <x:f>E235*R235</x:f>
        <x:v>0</x:v>
      </x:c>
      <x:c r="V235" t="str">
        <x:f>IF(AND(C235="Active",Q235=0),"Active Zero Sales","Not Zero Sales")</x:f>
        <x:v>Active Zero Sales</x:v>
      </x:c>
      <x:c r="W235" s="12" t="n">
        <x:f>IF(V235="Active Zero Sales",U235,0)</x:f>
        <x:v>0</x:v>
      </x:c>
      <x:c r="X235" t="str">
        <x:f>IF(E235&lt;25,"Low &lt; 25",IF(E235&lt;100,"Medium 25-99",IF(E235&lt;300,"High 100-299","Premium 300+")))</x:f>
        <x:v>Medium 25-99</x:v>
      </x:c>
      <x:c r="Y235" t="n">
        <x:f>IF(C235="Active",1,0)</x:f>
        <x:v>1</x:v>
      </x:c>
    </x:row>
    <x:row r="236">
      <x:c r="A236" t="str">
        <x:v>SKU00235</x:v>
      </x:c>
      <x:c r="B236" t="str">
        <x:v>Sample Product 00235</x:v>
      </x:c>
      <x:c r="C236" t="str">
        <x:v>Active</x:v>
      </x:c>
      <x:c r="D236" t="str">
        <x:v>2026-05</x:v>
      </x:c>
      <x:c r="E236" s="12" t="n">
        <x:v>52.15</x:v>
      </x:c>
      <x:c r="F236" s="10" t="n">
        <x:v>0.355</x:v>
      </x:c>
      <x:c r="G236" t="str">
        <x:v>Personal Care</x:v>
      </x:c>
      <x:c r="H236" t="str">
        <x:v>Hygiene</x:v>
      </x:c>
      <x:c r="I236" t="str">
        <x:v>MFG007</x:v>
      </x:c>
      <x:c r="J236" t="str">
        <x:v>Manufacturer 007</x:v>
      </x:c>
      <x:c r="K236" t="str">
        <x:v>SUP009</x:v>
      </x:c>
      <x:c r="L236" t="str">
        <x:v>Supplier 009</x:v>
      </x:c>
      <x:c r="M236" t="str">
        <x:v>REG-234655</x:v>
      </x:c>
      <x:c r="N236" t="str">
        <x:v>Generic Ingredient 108</x:v>
      </x:c>
      <x:c r="O236" t="str">
        <x:v>General Sale</x:v>
      </x:c>
      <x:c r="P236" t="n">
        <x:v>267</x:v>
      </x:c>
      <x:c r="Q236" t="n">
        <x:v>178</x:v>
      </x:c>
      <x:c r="R236" t="n">
        <x:v>59</x:v>
      </x:c>
      <x:c r="S236" s="12" t="n">
        <x:f>E236*Q236</x:f>
        <x:v>9282.699999999999</x:v>
      </x:c>
      <x:c r="T236" s="12" t="n">
        <x:f>ROUND(S236*F236+0.000000001,2)</x:f>
        <x:v>3295.36</x:v>
      </x:c>
      <x:c r="U236" s="12" t="n">
        <x:f>E236*R236</x:f>
        <x:v>3076.85</x:v>
      </x:c>
      <x:c r="V236" t="str">
        <x:f>IF(AND(C236="Active",Q236=0),"Active Zero Sales","Not Zero Sales")</x:f>
        <x:v>Not Zero Sales</x:v>
      </x:c>
      <x:c r="W236" s="12" t="n">
        <x:f>IF(V236="Active Zero Sales",U236,0)</x:f>
        <x:v>0</x:v>
      </x:c>
      <x:c r="X236" t="str">
        <x:f>IF(E236&lt;25,"Low &lt; 25",IF(E236&lt;100,"Medium 25-99",IF(E236&lt;300,"High 100-299","Premium 300+")))</x:f>
        <x:v>Medium 25-99</x:v>
      </x:c>
      <x:c r="Y236" t="n">
        <x:f>IF(C236="Active",1,0)</x:f>
        <x:v>1</x:v>
      </x:c>
    </x:row>
    <x:row r="237">
      <x:c r="A237" t="str">
        <x:v>SKU00236</x:v>
      </x:c>
      <x:c r="B237" t="str">
        <x:v>Sample Product 00236</x:v>
      </x:c>
      <x:c r="C237" t="str">
        <x:v>Blocked</x:v>
      </x:c>
      <x:c r="D237" t="str">
        <x:v>2026-03</x:v>
      </x:c>
      <x:c r="E237" s="12" t="n">
        <x:v>60.78</x:v>
      </x:c>
      <x:c r="F237" s="10" t="n">
        <x:v>0.351</x:v>
      </x:c>
      <x:c r="G237" t="str">
        <x:v>OTC &amp; Wellness</x:v>
      </x:c>
      <x:c r="H237" t="str">
        <x:v>Vitamins</x:v>
      </x:c>
      <x:c r="I237" t="str">
        <x:v>MFG020</x:v>
      </x:c>
      <x:c r="J237" t="str">
        <x:v>Manufacturer 020</x:v>
      </x:c>
      <x:c r="K237" t="str">
        <x:v>SUP006</x:v>
      </x:c>
      <x:c r="L237" t="str">
        <x:v>Supplier 006</x:v>
      </x:c>
      <x:c r="M237" t="str">
        <x:v>REG-801563</x:v>
      </x:c>
      <x:c r="N237" t="str">
        <x:v>Generic Ingredient 168</x:v>
      </x:c>
      <x:c r="O237" t="str">
        <x:v>General Sale</x:v>
      </x:c>
      <x:c r="P237" t="n">
        <x:v>50</x:v>
      </x:c>
      <x:c r="Q237" t="n">
        <x:v>0</x:v>
      </x:c>
      <x:c r="R237" t="n">
        <x:v>0</x:v>
      </x:c>
      <x:c r="S237" s="12" t="n">
        <x:f>E237*Q237</x:f>
        <x:v>0</x:v>
      </x:c>
      <x:c r="T237" s="12" t="n">
        <x:f>ROUND(S237*F237+0.000000001,2)</x:f>
        <x:v>0</x:v>
      </x:c>
      <x:c r="U237" s="12" t="n">
        <x:f>E237*R237</x:f>
        <x:v>0</x:v>
      </x:c>
      <x:c r="V237" t="str">
        <x:f>IF(AND(C237="Active",Q237=0),"Active Zero Sales","Not Zero Sales")</x:f>
        <x:v>Not Zero Sales</x:v>
      </x:c>
      <x:c r="W237" s="12" t="n">
        <x:f>IF(V237="Active Zero Sales",U237,0)</x:f>
        <x:v>0</x:v>
      </x:c>
      <x:c r="X237" t="str">
        <x:f>IF(E237&lt;25,"Low &lt; 25",IF(E237&lt;100,"Medium 25-99",IF(E237&lt;300,"High 100-299","Premium 300+")))</x:f>
        <x:v>Medium 25-99</x:v>
      </x:c>
      <x:c r="Y237" t="n">
        <x:f>IF(C237="Active",1,0)</x:f>
        <x:v>0</x:v>
      </x:c>
    </x:row>
    <x:row r="238">
      <x:c r="A238" t="str">
        <x:v>SKU00237</x:v>
      </x:c>
      <x:c r="B238" t="str">
        <x:v>Sample Product 00237</x:v>
      </x:c>
      <x:c r="C238" t="str">
        <x:v>Blocked</x:v>
      </x:c>
      <x:c r="D238" t="str">
        <x:v>2026-06</x:v>
      </x:c>
      <x:c r="E238" s="12" t="n">
        <x:v>24.64</x:v>
      </x:c>
      <x:c r="F238" s="10" t="n">
        <x:v>0.389</x:v>
      </x:c>
      <x:c r="G238" t="str">
        <x:v>Personal Care</x:v>
      </x:c>
      <x:c r="H238" t="str">
        <x:v>Skin Care</x:v>
      </x:c>
      <x:c r="I238" t="str">
        <x:v>MFG001</x:v>
      </x:c>
      <x:c r="J238" t="str">
        <x:v>Manufacturer 001</x:v>
      </x:c>
      <x:c r="K238" t="str">
        <x:v>SUP004</x:v>
      </x:c>
      <x:c r="L238" t="str">
        <x:v>Supplier 004</x:v>
      </x:c>
      <x:c r="M238" t="str">
        <x:v>REG-311555</x:v>
      </x:c>
      <x:c r="N238" t="str">
        <x:v>Generic Ingredient 035</x:v>
      </x:c>
      <x:c r="O238" t="str">
        <x:v>Restricted Sale</x:v>
      </x:c>
      <x:c r="P238" t="n">
        <x:v>48</x:v>
      </x:c>
      <x:c r="Q238" t="n">
        <x:v>0</x:v>
      </x:c>
      <x:c r="R238" t="n">
        <x:v>0</x:v>
      </x:c>
      <x:c r="S238" s="12" t="n">
        <x:f>E238*Q238</x:f>
        <x:v>0</x:v>
      </x:c>
      <x:c r="T238" s="12" t="n">
        <x:f>ROUND(S238*F238+0.000000001,2)</x:f>
        <x:v>0</x:v>
      </x:c>
      <x:c r="U238" s="12" t="n">
        <x:f>E238*R238</x:f>
        <x:v>0</x:v>
      </x:c>
      <x:c r="V238" t="str">
        <x:f>IF(AND(C238="Active",Q238=0),"Active Zero Sales","Not Zero Sales")</x:f>
        <x:v>Not Zero Sales</x:v>
      </x:c>
      <x:c r="W238" s="12" t="n">
        <x:f>IF(V238="Active Zero Sales",U238,0)</x:f>
        <x:v>0</x:v>
      </x:c>
      <x:c r="X238" t="str">
        <x:f>IF(E238&lt;25,"Low &lt; 25",IF(E238&lt;100,"Medium 25-99",IF(E238&lt;300,"High 100-299","Premium 300+")))</x:f>
        <x:v>Low &lt; 25</x:v>
      </x:c>
      <x:c r="Y238" t="n">
        <x:f>IF(C238="Active",1,0)</x:f>
        <x:v>0</x:v>
      </x:c>
    </x:row>
    <x:row r="239">
      <x:c r="A239" t="str">
        <x:v>SKU00238</x:v>
      </x:c>
      <x:c r="B239" t="str">
        <x:v>Sample Product 00238</x:v>
      </x:c>
      <x:c r="C239" t="str">
        <x:v>Active</x:v>
      </x:c>
      <x:c r="D239" t="str">
        <x:v>2026-02</x:v>
      </x:c>
      <x:c r="E239" s="12" t="n">
        <x:v>234.43</x:v>
      </x:c>
      <x:c r="F239" s="10" t="n">
        <x:v>0.397</x:v>
      </x:c>
      <x:c r="G239" t="str">
        <x:v>Personal Care</x:v>
      </x:c>
      <x:c r="H239" t="str">
        <x:v>Oral Care</x:v>
      </x:c>
      <x:c r="I239" t="str">
        <x:v>MFG008</x:v>
      </x:c>
      <x:c r="J239" t="str">
        <x:v>Manufacturer 008</x:v>
      </x:c>
      <x:c r="K239" t="str">
        <x:v>SUP016</x:v>
      </x:c>
      <x:c r="L239" t="str">
        <x:v>Supplier 016</x:v>
      </x:c>
      <x:c r="M239" t="str">
        <x:v>REG-285350</x:v>
      </x:c>
      <x:c r="N239" t="str">
        <x:v>Generic Ingredient 153</x:v>
      </x:c>
      <x:c r="O239" t="str">
        <x:v>General Sale</x:v>
      </x:c>
      <x:c r="P239" t="n">
        <x:v>58</x:v>
      </x:c>
      <x:c r="Q239" t="n">
        <x:v>8</x:v>
      </x:c>
      <x:c r="R239" t="n">
        <x:v>7</x:v>
      </x:c>
      <x:c r="S239" s="12" t="n">
        <x:f>E239*Q239</x:f>
        <x:v>1875.44</x:v>
      </x:c>
      <x:c r="T239" s="12" t="n">
        <x:f>ROUND(S239*F239+0.000000001,2)</x:f>
        <x:v>744.55</x:v>
      </x:c>
      <x:c r="U239" s="12" t="n">
        <x:f>E239*R239</x:f>
        <x:v>1641.01</x:v>
      </x:c>
      <x:c r="V239" t="str">
        <x:f>IF(AND(C239="Active",Q239=0),"Active Zero Sales","Not Zero Sales")</x:f>
        <x:v>Not Zero Sales</x:v>
      </x:c>
      <x:c r="W239" s="12" t="n">
        <x:f>IF(V239="Active Zero Sales",U239,0)</x:f>
        <x:v>0</x:v>
      </x:c>
      <x:c r="X239" t="str">
        <x:f>IF(E239&lt;25,"Low &lt; 25",IF(E239&lt;100,"Medium 25-99",IF(E239&lt;300,"High 100-299","Premium 300+")))</x:f>
        <x:v>High 100-299</x:v>
      </x:c>
      <x:c r="Y239" t="n">
        <x:f>IF(C239="Active",1,0)</x:f>
        <x:v>1</x:v>
      </x:c>
    </x:row>
    <x:row r="240">
      <x:c r="A240" t="str">
        <x:v>SKU00239</x:v>
      </x:c>
      <x:c r="B240" t="str">
        <x:v>Sample Product 00239</x:v>
      </x:c>
      <x:c r="C240" t="str">
        <x:v>Active</x:v>
      </x:c>
      <x:c r="D240" t="str">
        <x:v>2026-06</x:v>
      </x:c>
      <x:c r="E240" s="12" t="n">
        <x:v>68.94</x:v>
      </x:c>
      <x:c r="F240" s="10" t="n">
        <x:v>0.311</x:v>
      </x:c>
      <x:c r="G240" t="str">
        <x:v>Nutrition</x:v>
      </x:c>
      <x:c r="H240" t="str">
        <x:v>Hydration</x:v>
      </x:c>
      <x:c r="I240" t="str">
        <x:v>MFG002</x:v>
      </x:c>
      <x:c r="J240" t="str">
        <x:v>Manufacturer 002</x:v>
      </x:c>
      <x:c r="K240" t="str">
        <x:v>SUP026</x:v>
      </x:c>
      <x:c r="L240" t="str">
        <x:v>Supplier 026</x:v>
      </x:c>
      <x:c r="M240" t="str">
        <x:v>REG-146700</x:v>
      </x:c>
      <x:c r="N240" t="str">
        <x:v>Generic Ingredient 083</x:v>
      </x:c>
      <x:c r="O240" t="str">
        <x:v>Restricted Sale</x:v>
      </x:c>
      <x:c r="P240" t="n">
        <x:v>91</x:v>
      </x:c>
      <x:c r="Q240" t="n">
        <x:v>39</x:v>
      </x:c>
      <x:c r="R240" t="n">
        <x:v>17</x:v>
      </x:c>
      <x:c r="S240" s="12" t="n">
        <x:f>E240*Q240</x:f>
        <x:v>2688.66</x:v>
      </x:c>
      <x:c r="T240" s="12" t="n">
        <x:f>ROUND(S240*F240+0.000000001,2)</x:f>
        <x:v>836.17</x:v>
      </x:c>
      <x:c r="U240" s="12" t="n">
        <x:f>E240*R240</x:f>
        <x:v>1171.98</x:v>
      </x:c>
      <x:c r="V240" t="str">
        <x:f>IF(AND(C240="Active",Q240=0),"Active Zero Sales","Not Zero Sales")</x:f>
        <x:v>Not Zero Sales</x:v>
      </x:c>
      <x:c r="W240" s="12" t="n">
        <x:f>IF(V240="Active Zero Sales",U240,0)</x:f>
        <x:v>0</x:v>
      </x:c>
      <x:c r="X240" t="str">
        <x:f>IF(E240&lt;25,"Low &lt; 25",IF(E240&lt;100,"Medium 25-99",IF(E240&lt;300,"High 100-299","Premium 300+")))</x:f>
        <x:v>Medium 25-99</x:v>
      </x:c>
      <x:c r="Y240" t="n">
        <x:f>IF(C240="Active",1,0)</x:f>
        <x:v>1</x:v>
      </x:c>
    </x:row>
    <x:row r="241">
      <x:c r="A241" t="str">
        <x:v>SKU00240</x:v>
      </x:c>
      <x:c r="B241" t="str">
        <x:v>Sample Product 00240</x:v>
      </x:c>
      <x:c r="C241" t="str">
        <x:v>Blocked</x:v>
      </x:c>
      <x:c r="D241" t="str">
        <x:v>2026-01</x:v>
      </x:c>
      <x:c r="E241" s="12" t="n">
        <x:v>10.43</x:v>
      </x:c>
      <x:c r="F241" s="10" t="n">
        <x:v>0.286</x:v>
      </x:c>
      <x:c r="G241" t="str">
        <x:v>OTC &amp; Wellness</x:v>
      </x:c>
      <x:c r="H241" t="str">
        <x:v>Cold &amp; Allergy</x:v>
      </x:c>
      <x:c r="I241" t="str">
        <x:v>MFG010</x:v>
      </x:c>
      <x:c r="J241" t="str">
        <x:v>Manufacturer 010</x:v>
      </x:c>
      <x:c r="K241" t="str">
        <x:v>SUP023</x:v>
      </x:c>
      <x:c r="L241" t="str">
        <x:v>Supplier 023</x:v>
      </x:c>
      <x:c r="M241" t="str">
        <x:v>REG-105058</x:v>
      </x:c>
      <x:c r="N241" t="str">
        <x:v>Generic Ingredient 082</x:v>
      </x:c>
      <x:c r="O241" t="str">
        <x:v>General Sale</x:v>
      </x:c>
      <x:c r="P241" t="n">
        <x:v>51</x:v>
      </x:c>
      <x:c r="Q241" t="n">
        <x:v>13</x:v>
      </x:c>
      <x:c r="R241" t="n">
        <x:v>0</x:v>
      </x:c>
      <x:c r="S241" s="12" t="n">
        <x:f>E241*Q241</x:f>
        <x:v>135.59</x:v>
      </x:c>
      <x:c r="T241" s="12" t="n">
        <x:f>ROUND(S241*F241+0.000000001,2)</x:f>
        <x:v>38.78</x:v>
      </x:c>
      <x:c r="U241" s="12" t="n">
        <x:f>E241*R241</x:f>
        <x:v>0</x:v>
      </x:c>
      <x:c r="V241" t="str">
        <x:f>IF(AND(C241="Active",Q241=0),"Active Zero Sales","Not Zero Sales")</x:f>
        <x:v>Not Zero Sales</x:v>
      </x:c>
      <x:c r="W241" s="12" t="n">
        <x:f>IF(V241="Active Zero Sales",U241,0)</x:f>
        <x:v>0</x:v>
      </x:c>
      <x:c r="X241" t="str">
        <x:f>IF(E241&lt;25,"Low &lt; 25",IF(E241&lt;100,"Medium 25-99",IF(E241&lt;300,"High 100-299","Premium 300+")))</x:f>
        <x:v>Low &lt; 25</x:v>
      </x:c>
      <x:c r="Y241" t="n">
        <x:f>IF(C241="Active",1,0)</x:f>
        <x:v>0</x:v>
      </x:c>
    </x:row>
    <x:row r="242">
      <x:c r="A242" t="str">
        <x:v>SKU00241</x:v>
      </x:c>
      <x:c r="B242" t="str">
        <x:v>Sample Product 00241</x:v>
      </x:c>
      <x:c r="C242" t="str">
        <x:v>Active</x:v>
      </x:c>
      <x:c r="D242" t="str">
        <x:v>2026-03</x:v>
      </x:c>
      <x:c r="E242" s="12" t="n">
        <x:v>20</x:v>
      </x:c>
      <x:c r="F242" s="10" t="n">
        <x:v>0.417</x:v>
      </x:c>
      <x:c r="G242" t="str">
        <x:v>Personal Care</x:v>
      </x:c>
      <x:c r="H242" t="str">
        <x:v>Hygiene</x:v>
      </x:c>
      <x:c r="I242" t="str">
        <x:v>MFG014</x:v>
      </x:c>
      <x:c r="J242" t="str">
        <x:v>Manufacturer 014</x:v>
      </x:c>
      <x:c r="K242" t="str">
        <x:v>SUP021</x:v>
      </x:c>
      <x:c r="L242" t="str">
        <x:v>Supplier 021</x:v>
      </x:c>
      <x:c r="M242" t="str">
        <x:v>REG-106967</x:v>
      </x:c>
      <x:c r="N242" t="str">
        <x:v>Generic Ingredient 145</x:v>
      </x:c>
      <x:c r="O242" t="str">
        <x:v>General Sale</x:v>
      </x:c>
      <x:c r="P242" t="n">
        <x:v>59</x:v>
      </x:c>
      <x:c r="Q242" t="n">
        <x:v>8</x:v>
      </x:c>
      <x:c r="R242" t="n">
        <x:v>8</x:v>
      </x:c>
      <x:c r="S242" s="12" t="n">
        <x:f>E242*Q242</x:f>
        <x:v>160</x:v>
      </x:c>
      <x:c r="T242" s="12" t="n">
        <x:f>ROUND(S242*F242+0.000000001,2)</x:f>
        <x:v>66.72</x:v>
      </x:c>
      <x:c r="U242" s="12" t="n">
        <x:f>E242*R242</x:f>
        <x:v>160</x:v>
      </x:c>
      <x:c r="V242" t="str">
        <x:f>IF(AND(C242="Active",Q242=0),"Active Zero Sales","Not Zero Sales")</x:f>
        <x:v>Not Zero Sales</x:v>
      </x:c>
      <x:c r="W242" s="12" t="n">
        <x:f>IF(V242="Active Zero Sales",U242,0)</x:f>
        <x:v>0</x:v>
      </x:c>
      <x:c r="X242" t="str">
        <x:f>IF(E242&lt;25,"Low &lt; 25",IF(E242&lt;100,"Medium 25-99",IF(E242&lt;300,"High 100-299","Premium 300+")))</x:f>
        <x:v>Low &lt; 25</x:v>
      </x:c>
      <x:c r="Y242" t="n">
        <x:f>IF(C242="Active",1,0)</x:f>
        <x:v>1</x:v>
      </x:c>
    </x:row>
    <x:row r="243">
      <x:c r="A243" t="str">
        <x:v>SKU00242</x:v>
      </x:c>
      <x:c r="B243" t="str">
        <x:v>Sample Product 00242</x:v>
      </x:c>
      <x:c r="C243" t="str">
        <x:v>Active</x:v>
      </x:c>
      <x:c r="D243" t="str">
        <x:v>2026-05</x:v>
      </x:c>
      <x:c r="E243" s="12" t="n">
        <x:v>83.04</x:v>
      </x:c>
      <x:c r="F243" s="10" t="n">
        <x:v>0.32</x:v>
      </x:c>
      <x:c r="G243" t="str">
        <x:v>OTC &amp; Wellness</x:v>
      </x:c>
      <x:c r="H243" t="str">
        <x:v>Digestive Care</x:v>
      </x:c>
      <x:c r="I243" t="str">
        <x:v>MFG005</x:v>
      </x:c>
      <x:c r="J243" t="str">
        <x:v>Manufacturer 005</x:v>
      </x:c>
      <x:c r="K243" t="str">
        <x:v>SUP009</x:v>
      </x:c>
      <x:c r="L243" t="str">
        <x:v>Supplier 009</x:v>
      </x:c>
      <x:c r="M243" t="str">
        <x:v>REG-488584</x:v>
      </x:c>
      <x:c r="N243" t="str">
        <x:v>Generic Ingredient 091</x:v>
      </x:c>
      <x:c r="O243" t="str">
        <x:v>Pharmacy Only</x:v>
      </x:c>
      <x:c r="P243" t="n">
        <x:v>53</x:v>
      </x:c>
      <x:c r="Q243" t="n">
        <x:v>8</x:v>
      </x:c>
      <x:c r="R243" t="n">
        <x:v>17</x:v>
      </x:c>
      <x:c r="S243" s="12" t="n">
        <x:f>E243*Q243</x:f>
        <x:v>664.32</x:v>
      </x:c>
      <x:c r="T243" s="12" t="n">
        <x:f>ROUND(S243*F243+0.000000001,2)</x:f>
        <x:v>212.58</x:v>
      </x:c>
      <x:c r="U243" s="12" t="n">
        <x:f>E243*R243</x:f>
        <x:v>1411.68</x:v>
      </x:c>
      <x:c r="V243" t="str">
        <x:f>IF(AND(C243="Active",Q243=0),"Active Zero Sales","Not Zero Sales")</x:f>
        <x:v>Not Zero Sales</x:v>
      </x:c>
      <x:c r="W243" s="12" t="n">
        <x:f>IF(V243="Active Zero Sales",U243,0)</x:f>
        <x:v>0</x:v>
      </x:c>
      <x:c r="X243" t="str">
        <x:f>IF(E243&lt;25,"Low &lt; 25",IF(E243&lt;100,"Medium 25-99",IF(E243&lt;300,"High 100-299","Premium 300+")))</x:f>
        <x:v>Medium 25-99</x:v>
      </x:c>
      <x:c r="Y243" t="n">
        <x:f>IF(C243="Active",1,0)</x:f>
        <x:v>1</x:v>
      </x:c>
    </x:row>
    <x:row r="244">
      <x:c r="A244" t="str">
        <x:v>SKU00243</x:v>
      </x:c>
      <x:c r="B244" t="str">
        <x:v>Sample Product 00243</x:v>
      </x:c>
      <x:c r="C244" t="str">
        <x:v>Active</x:v>
      </x:c>
      <x:c r="D244" t="str">
        <x:v>2026-04</x:v>
      </x:c>
      <x:c r="E244" s="12" t="n">
        <x:v>155.5</x:v>
      </x:c>
      <x:c r="F244" s="10" t="n">
        <x:v>0.377</x:v>
      </x:c>
      <x:c r="G244" t="str">
        <x:v>General Merchandise</x:v>
      </x:c>
      <x:c r="H244" t="str">
        <x:v>Travel Health</x:v>
      </x:c>
      <x:c r="I244" t="str">
        <x:v>MFG016</x:v>
      </x:c>
      <x:c r="J244" t="str">
        <x:v>Manufacturer 016</x:v>
      </x:c>
      <x:c r="K244" t="str">
        <x:v>SUP019</x:v>
      </x:c>
      <x:c r="L244" t="str">
        <x:v>Supplier 019</x:v>
      </x:c>
      <x:c r="M244" t="str">
        <x:v>REG-108924</x:v>
      </x:c>
      <x:c r="N244" t="str">
        <x:v>Generic Ingredient 043</x:v>
      </x:c>
      <x:c r="O244" t="str">
        <x:v>Pharmacy Only</x:v>
      </x:c>
      <x:c r="P244" t="n">
        <x:v>79</x:v>
      </x:c>
      <x:c r="Q244" t="n">
        <x:v>49</x:v>
      </x:c>
      <x:c r="R244" t="n">
        <x:v>22</x:v>
      </x:c>
      <x:c r="S244" s="12" t="n">
        <x:f>E244*Q244</x:f>
        <x:v>7619.5</x:v>
      </x:c>
      <x:c r="T244" s="12" t="n">
        <x:f>ROUND(S244*F244+0.000000001,2)</x:f>
        <x:v>2872.55</x:v>
      </x:c>
      <x:c r="U244" s="12" t="n">
        <x:f>E244*R244</x:f>
        <x:v>3421</x:v>
      </x:c>
      <x:c r="V244" t="str">
        <x:f>IF(AND(C244="Active",Q244=0),"Active Zero Sales","Not Zero Sales")</x:f>
        <x:v>Not Zero Sales</x:v>
      </x:c>
      <x:c r="W244" s="12" t="n">
        <x:f>IF(V244="Active Zero Sales",U244,0)</x:f>
        <x:v>0</x:v>
      </x:c>
      <x:c r="X244" t="str">
        <x:f>IF(E244&lt;25,"Low &lt; 25",IF(E244&lt;100,"Medium 25-99",IF(E244&lt;300,"High 100-299","Premium 300+")))</x:f>
        <x:v>High 100-299</x:v>
      </x:c>
      <x:c r="Y244" t="n">
        <x:f>IF(C244="Active",1,0)</x:f>
        <x:v>1</x:v>
      </x:c>
    </x:row>
    <x:row r="245">
      <x:c r="A245" t="str">
        <x:v>SKU00244</x:v>
      </x:c>
      <x:c r="B245" t="str">
        <x:v>Sample Product 00244</x:v>
      </x:c>
      <x:c r="C245" t="str">
        <x:v>Active</x:v>
      </x:c>
      <x:c r="D245" t="str">
        <x:v>2026-01</x:v>
      </x:c>
      <x:c r="E245" s="12" t="n">
        <x:v>50.13</x:v>
      </x:c>
      <x:c r="F245" s="10" t="n">
        <x:v>0.428</x:v>
      </x:c>
      <x:c r="G245" t="str">
        <x:v>OTC &amp; Wellness</x:v>
      </x:c>
      <x:c r="H245" t="str">
        <x:v>Cold &amp; Allergy</x:v>
      </x:c>
      <x:c r="I245" t="str">
        <x:v>MFG003</x:v>
      </x:c>
      <x:c r="J245" t="str">
        <x:v>Manufacturer 003</x:v>
      </x:c>
      <x:c r="K245" t="str">
        <x:v>SUP027</x:v>
      </x:c>
      <x:c r="L245" t="str">
        <x:v>Supplier 027</x:v>
      </x:c>
      <x:c r="M245" t="str">
        <x:v>REG-747888</x:v>
      </x:c>
      <x:c r="N245" t="str">
        <x:v>Generic Ingredient 129</x:v>
      </x:c>
      <x:c r="O245" t="str">
        <x:v>General Sale</x:v>
      </x:c>
      <x:c r="P245" t="n">
        <x:v>44</x:v>
      </x:c>
      <x:c r="Q245" t="n">
        <x:v>3</x:v>
      </x:c>
      <x:c r="R245" t="n">
        <x:v>11</x:v>
      </x:c>
      <x:c r="S245" s="12" t="n">
        <x:f>E245*Q245</x:f>
        <x:v>150.39000000000001</x:v>
      </x:c>
      <x:c r="T245" s="12" t="n">
        <x:f>ROUND(S245*F245+0.000000001,2)</x:f>
        <x:v>64.37</x:v>
      </x:c>
      <x:c r="U245" s="12" t="n">
        <x:f>E245*R245</x:f>
        <x:v>551.4300000000001</x:v>
      </x:c>
      <x:c r="V245" t="str">
        <x:f>IF(AND(C245="Active",Q245=0),"Active Zero Sales","Not Zero Sales")</x:f>
        <x:v>Not Zero Sales</x:v>
      </x:c>
      <x:c r="W245" s="12" t="n">
        <x:f>IF(V245="Active Zero Sales",U245,0)</x:f>
        <x:v>0</x:v>
      </x:c>
      <x:c r="X245" t="str">
        <x:f>IF(E245&lt;25,"Low &lt; 25",IF(E245&lt;100,"Medium 25-99",IF(E245&lt;300,"High 100-299","Premium 300+")))</x:f>
        <x:v>Medium 25-99</x:v>
      </x:c>
      <x:c r="Y245" t="n">
        <x:f>IF(C245="Active",1,0)</x:f>
        <x:v>1</x:v>
      </x:c>
    </x:row>
    <x:row r="246">
      <x:c r="A246" t="str">
        <x:v>SKU00245</x:v>
      </x:c>
      <x:c r="B246" t="str">
        <x:v>Sample Product 00245</x:v>
      </x:c>
      <x:c r="C246" t="str">
        <x:v>Active</x:v>
      </x:c>
      <x:c r="D246" t="str">
        <x:v>2026-04</x:v>
      </x:c>
      <x:c r="E246" s="12" t="n">
        <x:v>35.68</x:v>
      </x:c>
      <x:c r="F246" s="10" t="n">
        <x:v>0.406</x:v>
      </x:c>
      <x:c r="G246" t="str">
        <x:v>Personal Care</x:v>
      </x:c>
      <x:c r="H246" t="str">
        <x:v>Hair Care</x:v>
      </x:c>
      <x:c r="I246" t="str">
        <x:v>MFG011</x:v>
      </x:c>
      <x:c r="J246" t="str">
        <x:v>Manufacturer 011</x:v>
      </x:c>
      <x:c r="K246" t="str">
        <x:v>SUP008</x:v>
      </x:c>
      <x:c r="L246" t="str">
        <x:v>Supplier 008</x:v>
      </x:c>
      <x:c r="M246" t="str">
        <x:v>REG-933466</x:v>
      </x:c>
      <x:c r="N246" t="str">
        <x:v>Generic Ingredient 063</x:v>
      </x:c>
      <x:c r="O246" t="str">
        <x:v>General Sale</x:v>
      </x:c>
      <x:c r="P246" t="n">
        <x:v>99</x:v>
      </x:c>
      <x:c r="Q246" t="n">
        <x:v>70</x:v>
      </x:c>
      <x:c r="R246" t="n">
        <x:v>8</x:v>
      </x:c>
      <x:c r="S246" s="12" t="n">
        <x:f>E246*Q246</x:f>
        <x:v>2497.6</x:v>
      </x:c>
      <x:c r="T246" s="12" t="n">
        <x:f>ROUND(S246*F246+0.000000001,2)</x:f>
        <x:v>1014.03</x:v>
      </x:c>
      <x:c r="U246" s="12" t="n">
        <x:f>E246*R246</x:f>
        <x:v>285.44</x:v>
      </x:c>
      <x:c r="V246" t="str">
        <x:f>IF(AND(C246="Active",Q246=0),"Active Zero Sales","Not Zero Sales")</x:f>
        <x:v>Not Zero Sales</x:v>
      </x:c>
      <x:c r="W246" s="12" t="n">
        <x:f>IF(V246="Active Zero Sales",U246,0)</x:f>
        <x:v>0</x:v>
      </x:c>
      <x:c r="X246" t="str">
        <x:f>IF(E246&lt;25,"Low &lt; 25",IF(E246&lt;100,"Medium 25-99",IF(E246&lt;300,"High 100-299","Premium 300+")))</x:f>
        <x:v>Medium 25-99</x:v>
      </x:c>
      <x:c r="Y246" t="n">
        <x:f>IF(C246="Active",1,0)</x:f>
        <x:v>1</x:v>
      </x:c>
    </x:row>
    <x:row r="247">
      <x:c r="A247" t="str">
        <x:v>SKU00246</x:v>
      </x:c>
      <x:c r="B247" t="str">
        <x:v>Sample Product 00246</x:v>
      </x:c>
      <x:c r="C247" t="str">
        <x:v>Active</x:v>
      </x:c>
      <x:c r="D247" t="str">
        <x:v>2026-02</x:v>
      </x:c>
      <x:c r="E247" s="12" t="n">
        <x:v>22.34</x:v>
      </x:c>
      <x:c r="F247" s="10" t="n">
        <x:v>0.42</x:v>
      </x:c>
      <x:c r="G247" t="str">
        <x:v>Personal Care</x:v>
      </x:c>
      <x:c r="H247" t="str">
        <x:v>Hair Care</x:v>
      </x:c>
      <x:c r="I247" t="str">
        <x:v>MFG018</x:v>
      </x:c>
      <x:c r="J247" t="str">
        <x:v>Manufacturer 018</x:v>
      </x:c>
      <x:c r="K247" t="str">
        <x:v>SUP015</x:v>
      </x:c>
      <x:c r="L247" t="str">
        <x:v>Supplier 015</x:v>
      </x:c>
      <x:c r="M247" t="str">
        <x:v>REG-964960</x:v>
      </x:c>
      <x:c r="N247" t="str">
        <x:v>Generic Ingredient 044</x:v>
      </x:c>
      <x:c r="O247" t="str">
        <x:v>General Sale</x:v>
      </x:c>
      <x:c r="P247" t="n">
        <x:v>139</x:v>
      </x:c>
      <x:c r="Q247" t="n">
        <x:v>53</x:v>
      </x:c>
      <x:c r="R247" t="n">
        <x:v>47</x:v>
      </x:c>
      <x:c r="S247" s="12" t="n">
        <x:f>E247*Q247</x:f>
        <x:v>1184.02</x:v>
      </x:c>
      <x:c r="T247" s="12" t="n">
        <x:f>ROUND(S247*F247+0.000000001,2)</x:f>
        <x:v>497.29</x:v>
      </x:c>
      <x:c r="U247" s="12" t="n">
        <x:f>E247*R247</x:f>
        <x:v>1049.98</x:v>
      </x:c>
      <x:c r="V247" t="str">
        <x:f>IF(AND(C247="Active",Q247=0),"Active Zero Sales","Not Zero Sales")</x:f>
        <x:v>Not Zero Sales</x:v>
      </x:c>
      <x:c r="W247" s="12" t="n">
        <x:f>IF(V247="Active Zero Sales",U247,0)</x:f>
        <x:v>0</x:v>
      </x:c>
      <x:c r="X247" t="str">
        <x:f>IF(E247&lt;25,"Low &lt; 25",IF(E247&lt;100,"Medium 25-99",IF(E247&lt;300,"High 100-299","Premium 300+")))</x:f>
        <x:v>Low &lt; 25</x:v>
      </x:c>
      <x:c r="Y247" t="n">
        <x:f>IF(C247="Active",1,0)</x:f>
        <x:v>1</x:v>
      </x:c>
    </x:row>
    <x:row r="248">
      <x:c r="A248" t="str">
        <x:v>SKU00247</x:v>
      </x:c>
      <x:c r="B248" t="str">
        <x:v>Sample Product 00247</x:v>
      </x:c>
      <x:c r="C248" t="str">
        <x:v>Active</x:v>
      </x:c>
      <x:c r="D248" t="str">
        <x:v>2026-03</x:v>
      </x:c>
      <x:c r="E248" s="12" t="n">
        <x:v>70.79</x:v>
      </x:c>
      <x:c r="F248" s="10" t="n">
        <x:v>0.417</x:v>
      </x:c>
      <x:c r="G248" t="str">
        <x:v>Personal Care</x:v>
      </x:c>
      <x:c r="H248" t="str">
        <x:v>Oral Care</x:v>
      </x:c>
      <x:c r="I248" t="str">
        <x:v>MFG008</x:v>
      </x:c>
      <x:c r="J248" t="str">
        <x:v>Manufacturer 008</x:v>
      </x:c>
      <x:c r="K248" t="str">
        <x:v>SUP029</x:v>
      </x:c>
      <x:c r="L248" t="str">
        <x:v>Supplier 029</x:v>
      </x:c>
      <x:c r="M248" t="str">
        <x:v>REG-573612</x:v>
      </x:c>
      <x:c r="N248" t="str">
        <x:v>Generic Ingredient 135</x:v>
      </x:c>
      <x:c r="O248" t="str">
        <x:v>General Sale</x:v>
      </x:c>
      <x:c r="P248" t="n">
        <x:v>18</x:v>
      </x:c>
      <x:c r="Q248" t="n">
        <x:v>15</x:v>
      </x:c>
      <x:c r="R248" t="n">
        <x:v>12</x:v>
      </x:c>
      <x:c r="S248" s="12" t="n">
        <x:f>E248*Q248</x:f>
        <x:v>1061.8500000000001</x:v>
      </x:c>
      <x:c r="T248" s="12" t="n">
        <x:f>ROUND(S248*F248+0.000000001,2)</x:f>
        <x:v>442.79</x:v>
      </x:c>
      <x:c r="U248" s="12" t="n">
        <x:f>E248*R248</x:f>
        <x:v>849.48</x:v>
      </x:c>
      <x:c r="V248" t="str">
        <x:f>IF(AND(C248="Active",Q248=0),"Active Zero Sales","Not Zero Sales")</x:f>
        <x:v>Not Zero Sales</x:v>
      </x:c>
      <x:c r="W248" s="12" t="n">
        <x:f>IF(V248="Active Zero Sales",U248,0)</x:f>
        <x:v>0</x:v>
      </x:c>
      <x:c r="X248" t="str">
        <x:f>IF(E248&lt;25,"Low &lt; 25",IF(E248&lt;100,"Medium 25-99",IF(E248&lt;300,"High 100-299","Premium 300+")))</x:f>
        <x:v>Medium 25-99</x:v>
      </x:c>
      <x:c r="Y248" t="n">
        <x:f>IF(C248="Active",1,0)</x:f>
        <x:v>1</x:v>
      </x:c>
    </x:row>
    <x:row r="249">
      <x:c r="A249" t="str">
        <x:v>SKU00248</x:v>
      </x:c>
      <x:c r="B249" t="str">
        <x:v>Sample Product 00248</x:v>
      </x:c>
      <x:c r="C249" t="str">
        <x:v>Active</x:v>
      </x:c>
      <x:c r="D249" t="str">
        <x:v>2026-01</x:v>
      </x:c>
      <x:c r="E249" s="12" t="n">
        <x:v>74.54</x:v>
      </x:c>
      <x:c r="F249" s="10" t="n">
        <x:v>0.352</x:v>
      </x:c>
      <x:c r="G249" t="str">
        <x:v>Personal Care</x:v>
      </x:c>
      <x:c r="H249" t="str">
        <x:v>Skin Care</x:v>
      </x:c>
      <x:c r="I249" t="str">
        <x:v>MFG015</x:v>
      </x:c>
      <x:c r="J249" t="str">
        <x:v>Manufacturer 015</x:v>
      </x:c>
      <x:c r="K249" t="str">
        <x:v>SUP008</x:v>
      </x:c>
      <x:c r="L249" t="str">
        <x:v>Supplier 008</x:v>
      </x:c>
      <x:c r="M249" t="str">
        <x:v>REG-498858</x:v>
      </x:c>
      <x:c r="N249" t="str">
        <x:v>Generic Ingredient 160</x:v>
      </x:c>
      <x:c r="O249" t="str">
        <x:v>General Sale</x:v>
      </x:c>
      <x:c r="P249" t="n">
        <x:v>77</x:v>
      </x:c>
      <x:c r="Q249" t="n">
        <x:v>34</x:v>
      </x:c>
      <x:c r="R249" t="n">
        <x:v>9</x:v>
      </x:c>
      <x:c r="S249" s="12" t="n">
        <x:f>E249*Q249</x:f>
        <x:v>2534.36</x:v>
      </x:c>
      <x:c r="T249" s="12" t="n">
        <x:f>ROUND(S249*F249+0.000000001,2)</x:f>
        <x:v>892.09</x:v>
      </x:c>
      <x:c r="U249" s="12" t="n">
        <x:f>E249*R249</x:f>
        <x:v>670.86</x:v>
      </x:c>
      <x:c r="V249" t="str">
        <x:f>IF(AND(C249="Active",Q249=0),"Active Zero Sales","Not Zero Sales")</x:f>
        <x:v>Not Zero Sales</x:v>
      </x:c>
      <x:c r="W249" s="12" t="n">
        <x:f>IF(V249="Active Zero Sales",U249,0)</x:f>
        <x:v>0</x:v>
      </x:c>
      <x:c r="X249" t="str">
        <x:f>IF(E249&lt;25,"Low &lt; 25",IF(E249&lt;100,"Medium 25-99",IF(E249&lt;300,"High 100-299","Premium 300+")))</x:f>
        <x:v>Medium 25-99</x:v>
      </x:c>
      <x:c r="Y249" t="n">
        <x:f>IF(C249="Active",1,0)</x:f>
        <x:v>1</x:v>
      </x:c>
    </x:row>
    <x:row r="250">
      <x:c r="A250" t="str">
        <x:v>SKU00249</x:v>
      </x:c>
      <x:c r="B250" t="str">
        <x:v>Sample Product 00249</x:v>
      </x:c>
      <x:c r="C250" t="str">
        <x:v>Active</x:v>
      </x:c>
      <x:c r="D250" t="str">
        <x:v>2026-05</x:v>
      </x:c>
      <x:c r="E250" s="12" t="n">
        <x:v>135.85</x:v>
      </x:c>
      <x:c r="F250" s="10" t="n">
        <x:v>0.416</x:v>
      </x:c>
      <x:c r="G250" t="str">
        <x:v>Personal Care</x:v>
      </x:c>
      <x:c r="H250" t="str">
        <x:v>Hair Care</x:v>
      </x:c>
      <x:c r="I250" t="str">
        <x:v>MFG005</x:v>
      </x:c>
      <x:c r="J250" t="str">
        <x:v>Manufacturer 005</x:v>
      </x:c>
      <x:c r="K250" t="str">
        <x:v>SUP005</x:v>
      </x:c>
      <x:c r="L250" t="str">
        <x:v>Supplier 005</x:v>
      </x:c>
      <x:c r="M250" t="str">
        <x:v>REG-634042</x:v>
      </x:c>
      <x:c r="N250" t="str">
        <x:v>Generic Ingredient 099</x:v>
      </x:c>
      <x:c r="O250" t="str">
        <x:v>General Sale</x:v>
      </x:c>
      <x:c r="P250" t="n">
        <x:v>95</x:v>
      </x:c>
      <x:c r="Q250" t="n">
        <x:v>32</x:v>
      </x:c>
      <x:c r="R250" t="n">
        <x:v>31</x:v>
      </x:c>
      <x:c r="S250" s="12" t="n">
        <x:f>E250*Q250</x:f>
        <x:v>4347.2</x:v>
      </x:c>
      <x:c r="T250" s="12" t="n">
        <x:f>ROUND(S250*F250+0.000000001,2)</x:f>
        <x:v>1808.44</x:v>
      </x:c>
      <x:c r="U250" s="12" t="n">
        <x:f>E250*R250</x:f>
        <x:v>4211.349999999999</x:v>
      </x:c>
      <x:c r="V250" t="str">
        <x:f>IF(AND(C250="Active",Q250=0),"Active Zero Sales","Not Zero Sales")</x:f>
        <x:v>Not Zero Sales</x:v>
      </x:c>
      <x:c r="W250" s="12" t="n">
        <x:f>IF(V250="Active Zero Sales",U250,0)</x:f>
        <x:v>0</x:v>
      </x:c>
      <x:c r="X250" t="str">
        <x:f>IF(E250&lt;25,"Low &lt; 25",IF(E250&lt;100,"Medium 25-99",IF(E250&lt;300,"High 100-299","Premium 300+")))</x:f>
        <x:v>High 100-299</x:v>
      </x:c>
      <x:c r="Y250" t="n">
        <x:f>IF(C250="Active",1,0)</x:f>
        <x:v>1</x:v>
      </x:c>
    </x:row>
    <x:row r="251">
      <x:c r="A251" t="str">
        <x:v>SKU00250</x:v>
      </x:c>
      <x:c r="B251" t="str">
        <x:v>Sample Product 00250</x:v>
      </x:c>
      <x:c r="C251" t="str">
        <x:v>Blocked</x:v>
      </x:c>
      <x:c r="D251" t="str">
        <x:v>2026-01</x:v>
      </x:c>
      <x:c r="E251" s="12" t="n">
        <x:v>15.26</x:v>
      </x:c>
      <x:c r="F251" s="10" t="n">
        <x:v>0.241</x:v>
      </x:c>
      <x:c r="G251" t="str">
        <x:v>General Merchandise</x:v>
      </x:c>
      <x:c r="H251" t="str">
        <x:v>Travel Health</x:v>
      </x:c>
      <x:c r="I251" t="str">
        <x:v>MFG001</x:v>
      </x:c>
      <x:c r="J251" t="str">
        <x:v>Manufacturer 001</x:v>
      </x:c>
      <x:c r="K251" t="str">
        <x:v>SUP019</x:v>
      </x:c>
      <x:c r="L251" t="str">
        <x:v>Supplier 019</x:v>
      </x:c>
      <x:c r="M251" t="str">
        <x:v>REG-386715</x:v>
      </x:c>
      <x:c r="N251" t="str">
        <x:v>Generic Ingredient 093</x:v>
      </x:c>
      <x:c r="O251" t="str">
        <x:v>General Sale</x:v>
      </x:c>
      <x:c r="P251" t="n">
        <x:v>13</x:v>
      </x:c>
      <x:c r="Q251" t="n">
        <x:v>0</x:v>
      </x:c>
      <x:c r="R251" t="n">
        <x:v>16</x:v>
      </x:c>
      <x:c r="S251" s="12" t="n">
        <x:f>E251*Q251</x:f>
        <x:v>0</x:v>
      </x:c>
      <x:c r="T251" s="12" t="n">
        <x:f>ROUND(S251*F251+0.000000001,2)</x:f>
        <x:v>0</x:v>
      </x:c>
      <x:c r="U251" s="12" t="n">
        <x:f>E251*R251</x:f>
        <x:v>244.16</x:v>
      </x:c>
      <x:c r="V251" t="str">
        <x:f>IF(AND(C251="Active",Q251=0),"Active Zero Sales","Not Zero Sales")</x:f>
        <x:v>Not Zero Sales</x:v>
      </x:c>
      <x:c r="W251" s="12" t="n">
        <x:f>IF(V251="Active Zero Sales",U251,0)</x:f>
        <x:v>0</x:v>
      </x:c>
      <x:c r="X251" t="str">
        <x:f>IF(E251&lt;25,"Low &lt; 25",IF(E251&lt;100,"Medium 25-99",IF(E251&lt;300,"High 100-299","Premium 300+")))</x:f>
        <x:v>Low &lt; 25</x:v>
      </x:c>
      <x:c r="Y251" t="n">
        <x:f>IF(C251="Active",1,0)</x:f>
        <x:v>0</x:v>
      </x:c>
    </x:row>
    <x:row r="252">
      <x:c r="A252" t="str">
        <x:v>SKU00251</x:v>
      </x:c>
      <x:c r="B252" t="str">
        <x:v>Sample Product 00251</x:v>
      </x:c>
      <x:c r="C252" t="str">
        <x:v>Active</x:v>
      </x:c>
      <x:c r="D252" t="str">
        <x:v>2026-01</x:v>
      </x:c>
      <x:c r="E252" s="12" t="n">
        <x:v>98.81</x:v>
      </x:c>
      <x:c r="F252" s="10" t="n">
        <x:v>0.414</x:v>
      </x:c>
      <x:c r="G252" t="str">
        <x:v>OTC &amp; Wellness</x:v>
      </x:c>
      <x:c r="H252" t="str">
        <x:v>Vitamins</x:v>
      </x:c>
      <x:c r="I252" t="str">
        <x:v>MFG013</x:v>
      </x:c>
      <x:c r="J252" t="str">
        <x:v>Manufacturer 013</x:v>
      </x:c>
      <x:c r="K252" t="str">
        <x:v>SUP026</x:v>
      </x:c>
      <x:c r="L252" t="str">
        <x:v>Supplier 026</x:v>
      </x:c>
      <x:c r="M252" t="str">
        <x:v>REG-238386</x:v>
      </x:c>
      <x:c r="N252" t="str">
        <x:v>Generic Ingredient 081</x:v>
      </x:c>
      <x:c r="O252" t="str">
        <x:v>General Sale</x:v>
      </x:c>
      <x:c r="P252" t="n">
        <x:v>101</x:v>
      </x:c>
      <x:c r="Q252" t="n">
        <x:v>60</x:v>
      </x:c>
      <x:c r="R252" t="n">
        <x:v>27</x:v>
      </x:c>
      <x:c r="S252" s="12" t="n">
        <x:f>E252*Q252</x:f>
        <x:v>5928.6</x:v>
      </x:c>
      <x:c r="T252" s="12" t="n">
        <x:f>ROUND(S252*F252+0.000000001,2)</x:f>
        <x:v>2454.44</x:v>
      </x:c>
      <x:c r="U252" s="12" t="n">
        <x:f>E252*R252</x:f>
        <x:v>2667.87</x:v>
      </x:c>
      <x:c r="V252" t="str">
        <x:f>IF(AND(C252="Active",Q252=0),"Active Zero Sales","Not Zero Sales")</x:f>
        <x:v>Not Zero Sales</x:v>
      </x:c>
      <x:c r="W252" s="12" t="n">
        <x:f>IF(V252="Active Zero Sales",U252,0)</x:f>
        <x:v>0</x:v>
      </x:c>
      <x:c r="X252" t="str">
        <x:f>IF(E252&lt;25,"Low &lt; 25",IF(E252&lt;100,"Medium 25-99",IF(E252&lt;300,"High 100-299","Premium 300+")))</x:f>
        <x:v>Medium 25-99</x:v>
      </x:c>
      <x:c r="Y252" t="n">
        <x:f>IF(C252="Active",1,0)</x:f>
        <x:v>1</x:v>
      </x:c>
    </x:row>
    <x:row r="253">
      <x:c r="A253" t="str">
        <x:v>SKU00252</x:v>
      </x:c>
      <x:c r="B253" t="str">
        <x:v>Sample Product 00252</x:v>
      </x:c>
      <x:c r="C253" t="str">
        <x:v>Active</x:v>
      </x:c>
      <x:c r="D253" t="str">
        <x:v>2026-03</x:v>
      </x:c>
      <x:c r="E253" s="12" t="n">
        <x:v>97.66</x:v>
      </x:c>
      <x:c r="F253" s="10" t="n">
        <x:v>0.359</x:v>
      </x:c>
      <x:c r="G253" t="str">
        <x:v>General Merchandise</x:v>
      </x:c>
      <x:c r="H253" t="str">
        <x:v>Accessories</x:v>
      </x:c>
      <x:c r="I253" t="str">
        <x:v>MFG007</x:v>
      </x:c>
      <x:c r="J253" t="str">
        <x:v>Manufacturer 007</x:v>
      </x:c>
      <x:c r="K253" t="str">
        <x:v>SUP006</x:v>
      </x:c>
      <x:c r="L253" t="str">
        <x:v>Supplier 006</x:v>
      </x:c>
      <x:c r="M253" t="str">
        <x:v>REG-329073</x:v>
      </x:c>
      <x:c r="N253" t="str">
        <x:v>Generic Ingredient 171</x:v>
      </x:c>
      <x:c r="O253" t="str">
        <x:v>Restricted Sale</x:v>
      </x:c>
      <x:c r="P253" t="n">
        <x:v>72</x:v>
      </x:c>
      <x:c r="Q253" t="n">
        <x:v>28</x:v>
      </x:c>
      <x:c r="R253" t="n">
        <x:v>40</x:v>
      </x:c>
      <x:c r="S253" s="12" t="n">
        <x:f>E253*Q253</x:f>
        <x:v>2734.48</x:v>
      </x:c>
      <x:c r="T253" s="12" t="n">
        <x:f>ROUND(S253*F253+0.000000001,2)</x:f>
        <x:v>981.68</x:v>
      </x:c>
      <x:c r="U253" s="12" t="n">
        <x:f>E253*R253</x:f>
        <x:v>3906.3999999999996</x:v>
      </x:c>
      <x:c r="V253" t="str">
        <x:f>IF(AND(C253="Active",Q253=0),"Active Zero Sales","Not Zero Sales")</x:f>
        <x:v>Not Zero Sales</x:v>
      </x:c>
      <x:c r="W253" s="12" t="n">
        <x:f>IF(V253="Active Zero Sales",U253,0)</x:f>
        <x:v>0</x:v>
      </x:c>
      <x:c r="X253" t="str">
        <x:f>IF(E253&lt;25,"Low &lt; 25",IF(E253&lt;100,"Medium 25-99",IF(E253&lt;300,"High 100-299","Premium 300+")))</x:f>
        <x:v>Medium 25-99</x:v>
      </x:c>
      <x:c r="Y253" t="n">
        <x:f>IF(C253="Active",1,0)</x:f>
        <x:v>1</x:v>
      </x:c>
    </x:row>
    <x:row r="254">
      <x:c r="A254" t="str">
        <x:v>SKU00253</x:v>
      </x:c>
      <x:c r="B254" t="str">
        <x:v>Sample Product 00253</x:v>
      </x:c>
      <x:c r="C254" t="str">
        <x:v>Blocked</x:v>
      </x:c>
      <x:c r="D254" t="str">
        <x:v>2026-03</x:v>
      </x:c>
      <x:c r="E254" s="12" t="n">
        <x:v>43.79</x:v>
      </x:c>
      <x:c r="F254" s="10" t="n">
        <x:v>0.36</x:v>
      </x:c>
      <x:c r="G254" t="str">
        <x:v>General Merchandise</x:v>
      </x:c>
      <x:c r="H254" t="str">
        <x:v>Baby Essentials</x:v>
      </x:c>
      <x:c r="I254" t="str">
        <x:v>MFG010</x:v>
      </x:c>
      <x:c r="J254" t="str">
        <x:v>Manufacturer 010</x:v>
      </x:c>
      <x:c r="K254" t="str">
        <x:v>SUP021</x:v>
      </x:c>
      <x:c r="L254" t="str">
        <x:v>Supplier 021</x:v>
      </x:c>
      <x:c r="M254" t="str">
        <x:v>REG-827189</x:v>
      </x:c>
      <x:c r="N254" t="str">
        <x:v>Generic Ingredient 132</x:v>
      </x:c>
      <x:c r="O254" t="str">
        <x:v>General Sale</x:v>
      </x:c>
      <x:c r="P254" t="n">
        <x:v>12</x:v>
      </x:c>
      <x:c r="Q254" t="n">
        <x:v>6</x:v>
      </x:c>
      <x:c r="R254" t="n">
        <x:v>4</x:v>
      </x:c>
      <x:c r="S254" s="12" t="n">
        <x:f>E254*Q254</x:f>
        <x:v>262.74</x:v>
      </x:c>
      <x:c r="T254" s="12" t="n">
        <x:f>ROUND(S254*F254+0.000000001,2)</x:f>
        <x:v>94.59</x:v>
      </x:c>
      <x:c r="U254" s="12" t="n">
        <x:f>E254*R254</x:f>
        <x:v>175.16</x:v>
      </x:c>
      <x:c r="V254" t="str">
        <x:f>IF(AND(C254="Active",Q254=0),"Active Zero Sales","Not Zero Sales")</x:f>
        <x:v>Not Zero Sales</x:v>
      </x:c>
      <x:c r="W254" s="12" t="n">
        <x:f>IF(V254="Active Zero Sales",U254,0)</x:f>
        <x:v>0</x:v>
      </x:c>
      <x:c r="X254" t="str">
        <x:f>IF(E254&lt;25,"Low &lt; 25",IF(E254&lt;100,"Medium 25-99",IF(E254&lt;300,"High 100-299","Premium 300+")))</x:f>
        <x:v>Medium 25-99</x:v>
      </x:c>
      <x:c r="Y254" t="n">
        <x:f>IF(C254="Active",1,0)</x:f>
        <x:v>0</x:v>
      </x:c>
    </x:row>
    <x:row r="255">
      <x:c r="A255" t="str">
        <x:v>SKU00254</x:v>
      </x:c>
      <x:c r="B255" t="str">
        <x:v>Sample Product 00254</x:v>
      </x:c>
      <x:c r="C255" t="str">
        <x:v>Active</x:v>
      </x:c>
      <x:c r="D255" t="str">
        <x:v>2026-01</x:v>
      </x:c>
      <x:c r="E255" s="12" t="n">
        <x:v>245.23</x:v>
      </x:c>
      <x:c r="F255" s="10" t="n">
        <x:v>0.36</x:v>
      </x:c>
      <x:c r="G255" t="str">
        <x:v>Personal Care</x:v>
      </x:c>
      <x:c r="H255" t="str">
        <x:v>Skin Care</x:v>
      </x:c>
      <x:c r="I255" t="str">
        <x:v>MFG009</x:v>
      </x:c>
      <x:c r="J255" t="str">
        <x:v>Manufacturer 009</x:v>
      </x:c>
      <x:c r="K255" t="str">
        <x:v>SUP010</x:v>
      </x:c>
      <x:c r="L255" t="str">
        <x:v>Supplier 010</x:v>
      </x:c>
      <x:c r="M255" t="str">
        <x:v>REG-698163</x:v>
      </x:c>
      <x:c r="N255" t="str">
        <x:v>Generic Ingredient 083</x:v>
      </x:c>
      <x:c r="O255" t="str">
        <x:v>Pharmacy Only</x:v>
      </x:c>
      <x:c r="P255" t="n">
        <x:v>77</x:v>
      </x:c>
      <x:c r="Q255" t="n">
        <x:v>22</x:v>
      </x:c>
      <x:c r="R255" t="n">
        <x:v>9</x:v>
      </x:c>
      <x:c r="S255" s="12" t="n">
        <x:f>E255*Q255</x:f>
        <x:v>5395.0599999999995</x:v>
      </x:c>
      <x:c r="T255" s="12" t="n">
        <x:f>ROUND(S255*F255+0.000000001,2)</x:f>
        <x:v>1942.22</x:v>
      </x:c>
      <x:c r="U255" s="12" t="n">
        <x:f>E255*R255</x:f>
        <x:v>2207.0699999999997</x:v>
      </x:c>
      <x:c r="V255" t="str">
        <x:f>IF(AND(C255="Active",Q255=0),"Active Zero Sales","Not Zero Sales")</x:f>
        <x:v>Not Zero Sales</x:v>
      </x:c>
      <x:c r="W255" s="12" t="n">
        <x:f>IF(V255="Active Zero Sales",U255,0)</x:f>
        <x:v>0</x:v>
      </x:c>
      <x:c r="X255" t="str">
        <x:f>IF(E255&lt;25,"Low &lt; 25",IF(E255&lt;100,"Medium 25-99",IF(E255&lt;300,"High 100-299","Premium 300+")))</x:f>
        <x:v>High 100-299</x:v>
      </x:c>
      <x:c r="Y255" t="n">
        <x:f>IF(C255="Active",1,0)</x:f>
        <x:v>1</x:v>
      </x:c>
    </x:row>
    <x:row r="256">
      <x:c r="A256" t="str">
        <x:v>SKU00255</x:v>
      </x:c>
      <x:c r="B256" t="str">
        <x:v>Sample Product 00255</x:v>
      </x:c>
      <x:c r="C256" t="str">
        <x:v>Active</x:v>
      </x:c>
      <x:c r="D256" t="str">
        <x:v>2026-04</x:v>
      </x:c>
      <x:c r="E256" s="12" t="n">
        <x:v>14.72</x:v>
      </x:c>
      <x:c r="F256" s="10" t="n">
        <x:v>0.419</x:v>
      </x:c>
      <x:c r="G256" t="str">
        <x:v>Personal Care</x:v>
      </x:c>
      <x:c r="H256" t="str">
        <x:v>Oral Care</x:v>
      </x:c>
      <x:c r="I256" t="str">
        <x:v>MFG018</x:v>
      </x:c>
      <x:c r="J256" t="str">
        <x:v>Manufacturer 018</x:v>
      </x:c>
      <x:c r="K256" t="str">
        <x:v>SUP001</x:v>
      </x:c>
      <x:c r="L256" t="str">
        <x:v>Supplier 001</x:v>
      </x:c>
      <x:c r="M256" t="str">
        <x:v>REG-193259</x:v>
      </x:c>
      <x:c r="N256" t="str">
        <x:v>Generic Ingredient 038</x:v>
      </x:c>
      <x:c r="O256" t="str">
        <x:v>General Sale</x:v>
      </x:c>
      <x:c r="P256" t="n">
        <x:v>49</x:v>
      </x:c>
      <x:c r="Q256" t="n">
        <x:v>0</x:v>
      </x:c>
      <x:c r="R256" t="n">
        <x:v>36</x:v>
      </x:c>
      <x:c r="S256" s="12" t="n">
        <x:f>E256*Q256</x:f>
        <x:v>0</x:v>
      </x:c>
      <x:c r="T256" s="12" t="n">
        <x:f>ROUND(S256*F256+0.000000001,2)</x:f>
        <x:v>0</x:v>
      </x:c>
      <x:c r="U256" s="12" t="n">
        <x:f>E256*R256</x:f>
        <x:v>529.9200000000001</x:v>
      </x:c>
      <x:c r="V256" t="str">
        <x:f>IF(AND(C256="Active",Q256=0),"Active Zero Sales","Not Zero Sales")</x:f>
        <x:v>Active Zero Sales</x:v>
      </x:c>
      <x:c r="W256" s="12" t="n">
        <x:f>IF(V256="Active Zero Sales",U256,0)</x:f>
        <x:v>529.9200000000001</x:v>
      </x:c>
      <x:c r="X256" t="str">
        <x:f>IF(E256&lt;25,"Low &lt; 25",IF(E256&lt;100,"Medium 25-99",IF(E256&lt;300,"High 100-299","Premium 300+")))</x:f>
        <x:v>Low &lt; 25</x:v>
      </x:c>
      <x:c r="Y256" t="n">
        <x:f>IF(C256="Active",1,0)</x:f>
        <x:v>1</x:v>
      </x:c>
    </x:row>
    <x:row r="257">
      <x:c r="A257" t="str">
        <x:v>SKU00256</x:v>
      </x:c>
      <x:c r="B257" t="str">
        <x:v>Sample Product 00256</x:v>
      </x:c>
      <x:c r="C257" t="str">
        <x:v>Active</x:v>
      </x:c>
      <x:c r="D257" t="str">
        <x:v>2026-05</x:v>
      </x:c>
      <x:c r="E257" s="12" t="n">
        <x:v>170.94</x:v>
      </x:c>
      <x:c r="F257" s="10" t="n">
        <x:v>0.414</x:v>
      </x:c>
      <x:c r="G257" t="str">
        <x:v>Personal Care</x:v>
      </x:c>
      <x:c r="H257" t="str">
        <x:v>Skin Care</x:v>
      </x:c>
      <x:c r="I257" t="str">
        <x:v>MFG005</x:v>
      </x:c>
      <x:c r="J257" t="str">
        <x:v>Manufacturer 005</x:v>
      </x:c>
      <x:c r="K257" t="str">
        <x:v>SUP016</x:v>
      </x:c>
      <x:c r="L257" t="str">
        <x:v>Supplier 016</x:v>
      </x:c>
      <x:c r="M257" t="str">
        <x:v>REG-647483</x:v>
      </x:c>
      <x:c r="N257" t="str">
        <x:v>Generic Ingredient 077</x:v>
      </x:c>
      <x:c r="O257" t="str">
        <x:v>General Sale</x:v>
      </x:c>
      <x:c r="P257" t="n">
        <x:v>101</x:v>
      </x:c>
      <x:c r="Q257" t="n">
        <x:v>26</x:v>
      </x:c>
      <x:c r="R257" t="n">
        <x:v>25</x:v>
      </x:c>
      <x:c r="S257" s="12" t="n">
        <x:f>E257*Q257</x:f>
        <x:v>4444.44</x:v>
      </x:c>
      <x:c r="T257" s="12" t="n">
        <x:f>ROUND(S257*F257+0.000000001,2)</x:f>
        <x:v>1840</x:v>
      </x:c>
      <x:c r="U257" s="12" t="n">
        <x:f>E257*R257</x:f>
        <x:v>4273.5</x:v>
      </x:c>
      <x:c r="V257" t="str">
        <x:f>IF(AND(C257="Active",Q257=0),"Active Zero Sales","Not Zero Sales")</x:f>
        <x:v>Not Zero Sales</x:v>
      </x:c>
      <x:c r="W257" s="12" t="n">
        <x:f>IF(V257="Active Zero Sales",U257,0)</x:f>
        <x:v>0</x:v>
      </x:c>
      <x:c r="X257" t="str">
        <x:f>IF(E257&lt;25,"Low &lt; 25",IF(E257&lt;100,"Medium 25-99",IF(E257&lt;300,"High 100-299","Premium 300+")))</x:f>
        <x:v>High 100-299</x:v>
      </x:c>
      <x:c r="Y257" t="n">
        <x:f>IF(C257="Active",1,0)</x:f>
        <x:v>1</x:v>
      </x:c>
    </x:row>
    <x:row r="258">
      <x:c r="A258" t="str">
        <x:v>SKU00257</x:v>
      </x:c>
      <x:c r="B258" t="str">
        <x:v>Sample Product 00257</x:v>
      </x:c>
      <x:c r="C258" t="str">
        <x:v>Active</x:v>
      </x:c>
      <x:c r="D258" t="str">
        <x:v>2026-04</x:v>
      </x:c>
      <x:c r="E258" s="12" t="n">
        <x:v>88.64</x:v>
      </x:c>
      <x:c r="F258" s="10" t="n">
        <x:v>0.338</x:v>
      </x:c>
      <x:c r="G258" t="str">
        <x:v>Nutrition</x:v>
      </x:c>
      <x:c r="H258" t="str">
        <x:v>Sports Nutrition</x:v>
      </x:c>
      <x:c r="I258" t="str">
        <x:v>MFG017</x:v>
      </x:c>
      <x:c r="J258" t="str">
        <x:v>Manufacturer 017</x:v>
      </x:c>
      <x:c r="K258" t="str">
        <x:v>SUP029</x:v>
      </x:c>
      <x:c r="L258" t="str">
        <x:v>Supplier 029</x:v>
      </x:c>
      <x:c r="M258" t="str">
        <x:v>REG-692832</x:v>
      </x:c>
      <x:c r="N258" t="str">
        <x:v>Generic Ingredient 124</x:v>
      </x:c>
      <x:c r="O258" t="str">
        <x:v>General Sale</x:v>
      </x:c>
      <x:c r="P258" t="n">
        <x:v>53</x:v>
      </x:c>
      <x:c r="Q258" t="n">
        <x:v>0</x:v>
      </x:c>
      <x:c r="R258" t="n">
        <x:v>48</x:v>
      </x:c>
      <x:c r="S258" s="12" t="n">
        <x:f>E258*Q258</x:f>
        <x:v>0</x:v>
      </x:c>
      <x:c r="T258" s="12" t="n">
        <x:f>ROUND(S258*F258+0.000000001,2)</x:f>
        <x:v>0</x:v>
      </x:c>
      <x:c r="U258" s="12" t="n">
        <x:f>E258*R258</x:f>
        <x:v>4254.72</x:v>
      </x:c>
      <x:c r="V258" t="str">
        <x:f>IF(AND(C258="Active",Q258=0),"Active Zero Sales","Not Zero Sales")</x:f>
        <x:v>Active Zero Sales</x:v>
      </x:c>
      <x:c r="W258" s="12" t="n">
        <x:f>IF(V258="Active Zero Sales",U258,0)</x:f>
        <x:v>4254.72</x:v>
      </x:c>
      <x:c r="X258" t="str">
        <x:f>IF(E258&lt;25,"Low &lt; 25",IF(E258&lt;100,"Medium 25-99",IF(E258&lt;300,"High 100-299","Premium 300+")))</x:f>
        <x:v>Medium 25-99</x:v>
      </x:c>
      <x:c r="Y258" t="n">
        <x:f>IF(C258="Active",1,0)</x:f>
        <x:v>1</x:v>
      </x:c>
    </x:row>
    <x:row r="259">
      <x:c r="A259" t="str">
        <x:v>SKU00258</x:v>
      </x:c>
      <x:c r="B259" t="str">
        <x:v>Sample Product 00258</x:v>
      </x:c>
      <x:c r="C259" t="str">
        <x:v>Active</x:v>
      </x:c>
      <x:c r="D259" t="str">
        <x:v>2026-06</x:v>
      </x:c>
      <x:c r="E259" s="12" t="n">
        <x:v>69.29</x:v>
      </x:c>
      <x:c r="F259" s="10" t="n">
        <x:v>0.396</x:v>
      </x:c>
      <x:c r="G259" t="str">
        <x:v>Personal Care</x:v>
      </x:c>
      <x:c r="H259" t="str">
        <x:v>Oral Care</x:v>
      </x:c>
      <x:c r="I259" t="str">
        <x:v>MFG004</x:v>
      </x:c>
      <x:c r="J259" t="str">
        <x:v>Manufacturer 004</x:v>
      </x:c>
      <x:c r="K259" t="str">
        <x:v>SUP003</x:v>
      </x:c>
      <x:c r="L259" t="str">
        <x:v>Supplier 003</x:v>
      </x:c>
      <x:c r="M259" t="str">
        <x:v>REG-693919</x:v>
      </x:c>
      <x:c r="N259" t="str">
        <x:v>Generic Ingredient 111</x:v>
      </x:c>
      <x:c r="O259" t="str">
        <x:v>General Sale</x:v>
      </x:c>
      <x:c r="P259" t="n">
        <x:v>42</x:v>
      </x:c>
      <x:c r="Q259" t="n">
        <x:v>0</x:v>
      </x:c>
      <x:c r="R259" t="n">
        <x:v>28</x:v>
      </x:c>
      <x:c r="S259" s="12" t="n">
        <x:f>E259*Q259</x:f>
        <x:v>0</x:v>
      </x:c>
      <x:c r="T259" s="12" t="n">
        <x:f>ROUND(S259*F259+0.000000001,2)</x:f>
        <x:v>0</x:v>
      </x:c>
      <x:c r="U259" s="12" t="n">
        <x:f>E259*R259</x:f>
        <x:v>1940.1200000000001</x:v>
      </x:c>
      <x:c r="V259" t="str">
        <x:f>IF(AND(C259="Active",Q259=0),"Active Zero Sales","Not Zero Sales")</x:f>
        <x:v>Active Zero Sales</x:v>
      </x:c>
      <x:c r="W259" s="12" t="n">
        <x:f>IF(V259="Active Zero Sales",U259,0)</x:f>
        <x:v>1940.1200000000001</x:v>
      </x:c>
      <x:c r="X259" t="str">
        <x:f>IF(E259&lt;25,"Low &lt; 25",IF(E259&lt;100,"Medium 25-99",IF(E259&lt;300,"High 100-299","Premium 300+")))</x:f>
        <x:v>Medium 25-99</x:v>
      </x:c>
      <x:c r="Y259" t="n">
        <x:f>IF(C259="Active",1,0)</x:f>
        <x:v>1</x:v>
      </x:c>
    </x:row>
    <x:row r="260">
      <x:c r="A260" t="str">
        <x:v>SKU00259</x:v>
      </x:c>
      <x:c r="B260" t="str">
        <x:v>Sample Product 00259</x:v>
      </x:c>
      <x:c r="C260" t="str">
        <x:v>Active</x:v>
      </x:c>
      <x:c r="D260" t="str">
        <x:v>2026-05</x:v>
      </x:c>
      <x:c r="E260" s="12" t="n">
        <x:v>12.2</x:v>
      </x:c>
      <x:c r="F260" s="10" t="n">
        <x:v>0.223</x:v>
      </x:c>
      <x:c r="G260" t="str">
        <x:v>OTC &amp; Wellness</x:v>
      </x:c>
      <x:c r="H260" t="str">
        <x:v>Digestive Care</x:v>
      </x:c>
      <x:c r="I260" t="str">
        <x:v>MFG016</x:v>
      </x:c>
      <x:c r="J260" t="str">
        <x:v>Manufacturer 016</x:v>
      </x:c>
      <x:c r="K260" t="str">
        <x:v>SUP008</x:v>
      </x:c>
      <x:c r="L260" t="str">
        <x:v>Supplier 008</x:v>
      </x:c>
      <x:c r="M260" t="str">
        <x:v>REG-921235</x:v>
      </x:c>
      <x:c r="N260" t="str">
        <x:v>Generic Ingredient 128</x:v>
      </x:c>
      <x:c r="O260" t="str">
        <x:v>Pharmacy Only</x:v>
      </x:c>
      <x:c r="P260" t="n">
        <x:v>90</x:v>
      </x:c>
      <x:c r="Q260" t="n">
        <x:v>27</x:v>
      </x:c>
      <x:c r="R260" t="n">
        <x:v>20</x:v>
      </x:c>
      <x:c r="S260" s="12" t="n">
        <x:f>E260*Q260</x:f>
        <x:v>329.4</x:v>
      </x:c>
      <x:c r="T260" s="12" t="n">
        <x:f>ROUND(S260*F260+0.000000001,2)</x:f>
        <x:v>73.46</x:v>
      </x:c>
      <x:c r="U260" s="12" t="n">
        <x:f>E260*R260</x:f>
        <x:v>244</x:v>
      </x:c>
      <x:c r="V260" t="str">
        <x:f>IF(AND(C260="Active",Q260=0),"Active Zero Sales","Not Zero Sales")</x:f>
        <x:v>Not Zero Sales</x:v>
      </x:c>
      <x:c r="W260" s="12" t="n">
        <x:f>IF(V260="Active Zero Sales",U260,0)</x:f>
        <x:v>0</x:v>
      </x:c>
      <x:c r="X260" t="str">
        <x:f>IF(E260&lt;25,"Low &lt; 25",IF(E260&lt;100,"Medium 25-99",IF(E260&lt;300,"High 100-299","Premium 300+")))</x:f>
        <x:v>Low &lt; 25</x:v>
      </x:c>
      <x:c r="Y260" t="n">
        <x:f>IF(C260="Active",1,0)</x:f>
        <x:v>1</x:v>
      </x:c>
    </x:row>
    <x:row r="261">
      <x:c r="A261" t="str">
        <x:v>SKU00260</x:v>
      </x:c>
      <x:c r="B261" t="str">
        <x:v>Sample Product 00260</x:v>
      </x:c>
      <x:c r="C261" t="str">
        <x:v>Active</x:v>
      </x:c>
      <x:c r="D261" t="str">
        <x:v>2026-05</x:v>
      </x:c>
      <x:c r="E261" s="12" t="n">
        <x:v>80.57</x:v>
      </x:c>
      <x:c r="F261" s="10" t="n">
        <x:v>0.375</x:v>
      </x:c>
      <x:c r="G261" t="str">
        <x:v>OTC &amp; Wellness</x:v>
      </x:c>
      <x:c r="H261" t="str">
        <x:v>Cold &amp; Allergy</x:v>
      </x:c>
      <x:c r="I261" t="str">
        <x:v>MFG012</x:v>
      </x:c>
      <x:c r="J261" t="str">
        <x:v>Manufacturer 012</x:v>
      </x:c>
      <x:c r="K261" t="str">
        <x:v>SUP009</x:v>
      </x:c>
      <x:c r="L261" t="str">
        <x:v>Supplier 009</x:v>
      </x:c>
      <x:c r="M261" t="str">
        <x:v>REG-566907</x:v>
      </x:c>
      <x:c r="N261" t="str">
        <x:v>Generic Ingredient 103</x:v>
      </x:c>
      <x:c r="O261" t="str">
        <x:v>General Sale</x:v>
      </x:c>
      <x:c r="P261" t="n">
        <x:v>47</x:v>
      </x:c>
      <x:c r="Q261" t="n">
        <x:v>0</x:v>
      </x:c>
      <x:c r="R261" t="n">
        <x:v>57</x:v>
      </x:c>
      <x:c r="S261" s="12" t="n">
        <x:f>E261*Q261</x:f>
        <x:v>0</x:v>
      </x:c>
      <x:c r="T261" s="12" t="n">
        <x:f>ROUND(S261*F261+0.000000001,2)</x:f>
        <x:v>0</x:v>
      </x:c>
      <x:c r="U261" s="12" t="n">
        <x:f>E261*R261</x:f>
        <x:v>4592.49</x:v>
      </x:c>
      <x:c r="V261" t="str">
        <x:f>IF(AND(C261="Active",Q261=0),"Active Zero Sales","Not Zero Sales")</x:f>
        <x:v>Active Zero Sales</x:v>
      </x:c>
      <x:c r="W261" s="12" t="n">
        <x:f>IF(V261="Active Zero Sales",U261,0)</x:f>
        <x:v>4592.49</x:v>
      </x:c>
      <x:c r="X261" t="str">
        <x:f>IF(E261&lt;25,"Low &lt; 25",IF(E261&lt;100,"Medium 25-99",IF(E261&lt;300,"High 100-299","Premium 300+")))</x:f>
        <x:v>Medium 25-99</x:v>
      </x:c>
      <x:c r="Y261" t="n">
        <x:f>IF(C261="Active",1,0)</x:f>
        <x:v>1</x:v>
      </x:c>
    </x:row>
    <x:row r="262">
      <x:c r="A262" t="str">
        <x:v>SKU00261</x:v>
      </x:c>
      <x:c r="B262" t="str">
        <x:v>Sample Product 00261</x:v>
      </x:c>
      <x:c r="C262" t="str">
        <x:v>Active</x:v>
      </x:c>
      <x:c r="D262" t="str">
        <x:v>2026-04</x:v>
      </x:c>
      <x:c r="E262" s="12" t="n">
        <x:v>191.98</x:v>
      </x:c>
      <x:c r="F262" s="10" t="n">
        <x:v>0.178</x:v>
      </x:c>
      <x:c r="G262" t="str">
        <x:v>Nutrition</x:v>
      </x:c>
      <x:c r="H262" t="str">
        <x:v>Adult Nutrition</x:v>
      </x:c>
      <x:c r="I262" t="str">
        <x:v>MFG003</x:v>
      </x:c>
      <x:c r="J262" t="str">
        <x:v>Manufacturer 003</x:v>
      </x:c>
      <x:c r="K262" t="str">
        <x:v>SUP018</x:v>
      </x:c>
      <x:c r="L262" t="str">
        <x:v>Supplier 018</x:v>
      </x:c>
      <x:c r="M262" t="str">
        <x:v>REG-378999</x:v>
      </x:c>
      <x:c r="N262" t="str">
        <x:v>Generic Ingredient 088</x:v>
      </x:c>
      <x:c r="O262" t="str">
        <x:v>General Sale</x:v>
      </x:c>
      <x:c r="P262" t="n">
        <x:v>169</x:v>
      </x:c>
      <x:c r="Q262" t="n">
        <x:v>118</x:v>
      </x:c>
      <x:c r="R262" t="n">
        <x:v>43</x:v>
      </x:c>
      <x:c r="S262" s="12" t="n">
        <x:f>E262*Q262</x:f>
        <x:v>22653.64</x:v>
      </x:c>
      <x:c r="T262" s="12" t="n">
        <x:f>ROUND(S262*F262+0.000000001,2)</x:f>
        <x:v>4032.35</x:v>
      </x:c>
      <x:c r="U262" s="12" t="n">
        <x:f>E262*R262</x:f>
        <x:v>8255.14</x:v>
      </x:c>
      <x:c r="V262" t="str">
        <x:f>IF(AND(C262="Active",Q262=0),"Active Zero Sales","Not Zero Sales")</x:f>
        <x:v>Not Zero Sales</x:v>
      </x:c>
      <x:c r="W262" s="12" t="n">
        <x:f>IF(V262="Active Zero Sales",U262,0)</x:f>
        <x:v>0</x:v>
      </x:c>
      <x:c r="X262" t="str">
        <x:f>IF(E262&lt;25,"Low &lt; 25",IF(E262&lt;100,"Medium 25-99",IF(E262&lt;300,"High 100-299","Premium 300+")))</x:f>
        <x:v>High 100-299</x:v>
      </x:c>
      <x:c r="Y262" t="n">
        <x:f>IF(C262="Active",1,0)</x:f>
        <x:v>1</x:v>
      </x:c>
    </x:row>
    <x:row r="263">
      <x:c r="A263" t="str">
        <x:v>SKU00262</x:v>
      </x:c>
      <x:c r="B263" t="str">
        <x:v>Sample Product 00262</x:v>
      </x:c>
      <x:c r="C263" t="str">
        <x:v>Active</x:v>
      </x:c>
      <x:c r="D263" t="str">
        <x:v>2026-06</x:v>
      </x:c>
      <x:c r="E263" s="12" t="n">
        <x:v>24.12</x:v>
      </x:c>
      <x:c r="F263" s="10" t="n">
        <x:v>0.547</x:v>
      </x:c>
      <x:c r="G263" t="str">
        <x:v>General Merchandise</x:v>
      </x:c>
      <x:c r="H263" t="str">
        <x:v>Accessories</x:v>
      </x:c>
      <x:c r="I263" t="str">
        <x:v>MFG008</x:v>
      </x:c>
      <x:c r="J263" t="str">
        <x:v>Manufacturer 008</x:v>
      </x:c>
      <x:c r="K263" t="str">
        <x:v>SUP015</x:v>
      </x:c>
      <x:c r="L263" t="str">
        <x:v>Supplier 015</x:v>
      </x:c>
      <x:c r="M263" t="str">
        <x:v>REG-618582</x:v>
      </x:c>
      <x:c r="N263" t="str">
        <x:v>Generic Ingredient 167</x:v>
      </x:c>
      <x:c r="O263" t="str">
        <x:v>Pharmacy Only</x:v>
      </x:c>
      <x:c r="P263" t="n">
        <x:v>65</x:v>
      </x:c>
      <x:c r="Q263" t="n">
        <x:v>40</x:v>
      </x:c>
      <x:c r="R263" t="n">
        <x:v>29</x:v>
      </x:c>
      <x:c r="S263" s="12" t="n">
        <x:f>E263*Q263</x:f>
        <x:v>964.8000000000001</x:v>
      </x:c>
      <x:c r="T263" s="12" t="n">
        <x:f>ROUND(S263*F263+0.000000001,2)</x:f>
        <x:v>527.75</x:v>
      </x:c>
      <x:c r="U263" s="12" t="n">
        <x:f>E263*R263</x:f>
        <x:v>699.48</x:v>
      </x:c>
      <x:c r="V263" t="str">
        <x:f>IF(AND(C263="Active",Q263=0),"Active Zero Sales","Not Zero Sales")</x:f>
        <x:v>Not Zero Sales</x:v>
      </x:c>
      <x:c r="W263" s="12" t="n">
        <x:f>IF(V263="Active Zero Sales",U263,0)</x:f>
        <x:v>0</x:v>
      </x:c>
      <x:c r="X263" t="str">
        <x:f>IF(E263&lt;25,"Low &lt; 25",IF(E263&lt;100,"Medium 25-99",IF(E263&lt;300,"High 100-299","Premium 300+")))</x:f>
        <x:v>Low &lt; 25</x:v>
      </x:c>
      <x:c r="Y263" t="n">
        <x:f>IF(C263="Active",1,0)</x:f>
        <x:v>1</x:v>
      </x:c>
    </x:row>
    <x:row r="264">
      <x:c r="A264" t="str">
        <x:v>SKU00263</x:v>
      </x:c>
      <x:c r="B264" t="str">
        <x:v>Sample Product 00263</x:v>
      </x:c>
      <x:c r="C264" t="str">
        <x:v>Active</x:v>
      </x:c>
      <x:c r="D264" t="str">
        <x:v>2026-01</x:v>
      </x:c>
      <x:c r="E264" s="12" t="n">
        <x:v>23.92</x:v>
      </x:c>
      <x:c r="F264" s="10" t="n">
        <x:v>0.369</x:v>
      </x:c>
      <x:c r="G264" t="str">
        <x:v>Personal Care</x:v>
      </x:c>
      <x:c r="H264" t="str">
        <x:v>Hair Care</x:v>
      </x:c>
      <x:c r="I264" t="str">
        <x:v>MFG016</x:v>
      </x:c>
      <x:c r="J264" t="str">
        <x:v>Manufacturer 016</x:v>
      </x:c>
      <x:c r="K264" t="str">
        <x:v>SUP026</x:v>
      </x:c>
      <x:c r="L264" t="str">
        <x:v>Supplier 026</x:v>
      </x:c>
      <x:c r="M264" t="str">
        <x:v>REG-646344</x:v>
      </x:c>
      <x:c r="N264" t="str">
        <x:v>Generic Ingredient 146</x:v>
      </x:c>
      <x:c r="O264" t="str">
        <x:v>General Sale</x:v>
      </x:c>
      <x:c r="P264" t="n">
        <x:v>14</x:v>
      </x:c>
      <x:c r="Q264" t="n">
        <x:v>16</x:v>
      </x:c>
      <x:c r="R264" t="n">
        <x:v>0</x:v>
      </x:c>
      <x:c r="S264" s="12" t="n">
        <x:f>E264*Q264</x:f>
        <x:v>382.72</x:v>
      </x:c>
      <x:c r="T264" s="12" t="n">
        <x:f>ROUND(S264*F264+0.000000001,2)</x:f>
        <x:v>141.22</x:v>
      </x:c>
      <x:c r="U264" s="12" t="n">
        <x:f>E264*R264</x:f>
        <x:v>0</x:v>
      </x:c>
      <x:c r="V264" t="str">
        <x:f>IF(AND(C264="Active",Q264=0),"Active Zero Sales","Not Zero Sales")</x:f>
        <x:v>Not Zero Sales</x:v>
      </x:c>
      <x:c r="W264" s="12" t="n">
        <x:f>IF(V264="Active Zero Sales",U264,0)</x:f>
        <x:v>0</x:v>
      </x:c>
      <x:c r="X264" t="str">
        <x:f>IF(E264&lt;25,"Low &lt; 25",IF(E264&lt;100,"Medium 25-99",IF(E264&lt;300,"High 100-299","Premium 300+")))</x:f>
        <x:v>Low &lt; 25</x:v>
      </x:c>
      <x:c r="Y264" t="n">
        <x:f>IF(C264="Active",1,0)</x:f>
        <x:v>1</x:v>
      </x:c>
    </x:row>
    <x:row r="265">
      <x:c r="A265" t="str">
        <x:v>SKU00264</x:v>
      </x:c>
      <x:c r="B265" t="str">
        <x:v>Sample Product 00264</x:v>
      </x:c>
      <x:c r="C265" t="str">
        <x:v>Active</x:v>
      </x:c>
      <x:c r="D265" t="str">
        <x:v>2026-05</x:v>
      </x:c>
      <x:c r="E265" s="12" t="n">
        <x:v>530.71</x:v>
      </x:c>
      <x:c r="F265" s="10" t="n">
        <x:v>0.427</x:v>
      </x:c>
      <x:c r="G265" t="str">
        <x:v>Personal Care</x:v>
      </x:c>
      <x:c r="H265" t="str">
        <x:v>Hygiene</x:v>
      </x:c>
      <x:c r="I265" t="str">
        <x:v>MFG004</x:v>
      </x:c>
      <x:c r="J265" t="str">
        <x:v>Manufacturer 004</x:v>
      </x:c>
      <x:c r="K265" t="str">
        <x:v>SUP010</x:v>
      </x:c>
      <x:c r="L265" t="str">
        <x:v>Supplier 010</x:v>
      </x:c>
      <x:c r="M265" t="str">
        <x:v>REG-522300</x:v>
      </x:c>
      <x:c r="N265" t="str">
        <x:v>Generic Ingredient 180</x:v>
      </x:c>
      <x:c r="O265" t="str">
        <x:v>Pharmacy Only</x:v>
      </x:c>
      <x:c r="P265" t="n">
        <x:v>68</x:v>
      </x:c>
      <x:c r="Q265" t="n">
        <x:v>34</x:v>
      </x:c>
      <x:c r="R265" t="n">
        <x:v>15</x:v>
      </x:c>
      <x:c r="S265" s="12" t="n">
        <x:f>E265*Q265</x:f>
        <x:v>18044.14</x:v>
      </x:c>
      <x:c r="T265" s="12" t="n">
        <x:f>ROUND(S265*F265+0.000000001,2)</x:f>
        <x:v>7704.85</x:v>
      </x:c>
      <x:c r="U265" s="12" t="n">
        <x:f>E265*R265</x:f>
        <x:v>7960.650000000001</x:v>
      </x:c>
      <x:c r="V265" t="str">
        <x:f>IF(AND(C265="Active",Q265=0),"Active Zero Sales","Not Zero Sales")</x:f>
        <x:v>Not Zero Sales</x:v>
      </x:c>
      <x:c r="W265" s="12" t="n">
        <x:f>IF(V265="Active Zero Sales",U265,0)</x:f>
        <x:v>0</x:v>
      </x:c>
      <x:c r="X265" t="str">
        <x:f>IF(E265&lt;25,"Low &lt; 25",IF(E265&lt;100,"Medium 25-99",IF(E265&lt;300,"High 100-299","Premium 300+")))</x:f>
        <x:v>Premium 300+</x:v>
      </x:c>
      <x:c r="Y265" t="n">
        <x:f>IF(C265="Active",1,0)</x:f>
        <x:v>1</x:v>
      </x:c>
    </x:row>
    <x:row r="266">
      <x:c r="A266" t="str">
        <x:v>SKU00265</x:v>
      </x:c>
      <x:c r="B266" t="str">
        <x:v>Sample Product 00265</x:v>
      </x:c>
      <x:c r="C266" t="str">
        <x:v>Active</x:v>
      </x:c>
      <x:c r="D266" t="str">
        <x:v>2026-05</x:v>
      </x:c>
      <x:c r="E266" s="12" t="n">
        <x:v>32.43</x:v>
      </x:c>
      <x:c r="F266" s="10" t="n">
        <x:v>0.412</x:v>
      </x:c>
      <x:c r="G266" t="str">
        <x:v>Nutrition</x:v>
      </x:c>
      <x:c r="H266" t="str">
        <x:v>Sports Nutrition</x:v>
      </x:c>
      <x:c r="I266" t="str">
        <x:v>MFG019</x:v>
      </x:c>
      <x:c r="J266" t="str">
        <x:v>Manufacturer 019</x:v>
      </x:c>
      <x:c r="K266" t="str">
        <x:v>SUP030</x:v>
      </x:c>
      <x:c r="L266" t="str">
        <x:v>Supplier 030</x:v>
      </x:c>
      <x:c r="M266" t="str">
        <x:v>REG-236927</x:v>
      </x:c>
      <x:c r="N266" t="str">
        <x:v>Generic Ingredient 092</x:v>
      </x:c>
      <x:c r="O266" t="str">
        <x:v>General Sale</x:v>
      </x:c>
      <x:c r="P266" t="n">
        <x:v>150</x:v>
      </x:c>
      <x:c r="Q266" t="n">
        <x:v>70</x:v>
      </x:c>
      <x:c r="R266" t="n">
        <x:v>45</x:v>
      </x:c>
      <x:c r="S266" s="12" t="n">
        <x:f>E266*Q266</x:f>
        <x:v>2270.1</x:v>
      </x:c>
      <x:c r="T266" s="12" t="n">
        <x:f>ROUND(S266*F266+0.000000001,2)</x:f>
        <x:v>935.28</x:v>
      </x:c>
      <x:c r="U266" s="12" t="n">
        <x:f>E266*R266</x:f>
        <x:v>1459.35</x:v>
      </x:c>
      <x:c r="V266" t="str">
        <x:f>IF(AND(C266="Active",Q266=0),"Active Zero Sales","Not Zero Sales")</x:f>
        <x:v>Not Zero Sales</x:v>
      </x:c>
      <x:c r="W266" s="12" t="n">
        <x:f>IF(V266="Active Zero Sales",U266,0)</x:f>
        <x:v>0</x:v>
      </x:c>
      <x:c r="X266" t="str">
        <x:f>IF(E266&lt;25,"Low &lt; 25",IF(E266&lt;100,"Medium 25-99",IF(E266&lt;300,"High 100-299","Premium 300+")))</x:f>
        <x:v>Medium 25-99</x:v>
      </x:c>
      <x:c r="Y266" t="n">
        <x:f>IF(C266="Active",1,0)</x:f>
        <x:v>1</x:v>
      </x:c>
    </x:row>
    <x:row r="267">
      <x:c r="A267" t="str">
        <x:v>SKU00266</x:v>
      </x:c>
      <x:c r="B267" t="str">
        <x:v>Sample Product 00266</x:v>
      </x:c>
      <x:c r="C267" t="str">
        <x:v>Active</x:v>
      </x:c>
      <x:c r="D267" t="str">
        <x:v>2026-05</x:v>
      </x:c>
      <x:c r="E267" s="12" t="n">
        <x:v>13.21</x:v>
      </x:c>
      <x:c r="F267" s="10" t="n">
        <x:v>0.284</x:v>
      </x:c>
      <x:c r="G267" t="str">
        <x:v>Medical Devices</x:v>
      </x:c>
      <x:c r="H267" t="str">
        <x:v>First Aid</x:v>
      </x:c>
      <x:c r="I267" t="str">
        <x:v>MFG004</x:v>
      </x:c>
      <x:c r="J267" t="str">
        <x:v>Manufacturer 004</x:v>
      </x:c>
      <x:c r="K267" t="str">
        <x:v>SUP014</x:v>
      </x:c>
      <x:c r="L267" t="str">
        <x:v>Supplier 014</x:v>
      </x:c>
      <x:c r="M267" t="str">
        <x:v>REG-763516</x:v>
      </x:c>
      <x:c r="N267" t="str">
        <x:v>Generic Ingredient 084</x:v>
      </x:c>
      <x:c r="O267" t="str">
        <x:v>General Sale</x:v>
      </x:c>
      <x:c r="P267" t="n">
        <x:v>55</x:v>
      </x:c>
      <x:c r="Q267" t="n">
        <x:v>18</x:v>
      </x:c>
      <x:c r="R267" t="n">
        <x:v>19</x:v>
      </x:c>
      <x:c r="S267" s="12" t="n">
        <x:f>E267*Q267</x:f>
        <x:v>237.78000000000003</x:v>
      </x:c>
      <x:c r="T267" s="12" t="n">
        <x:f>ROUND(S267*F267+0.000000001,2)</x:f>
        <x:v>67.53</x:v>
      </x:c>
      <x:c r="U267" s="12" t="n">
        <x:f>E267*R267</x:f>
        <x:v>250.99</x:v>
      </x:c>
      <x:c r="V267" t="str">
        <x:f>IF(AND(C267="Active",Q267=0),"Active Zero Sales","Not Zero Sales")</x:f>
        <x:v>Not Zero Sales</x:v>
      </x:c>
      <x:c r="W267" s="12" t="n">
        <x:f>IF(V267="Active Zero Sales",U267,0)</x:f>
        <x:v>0</x:v>
      </x:c>
      <x:c r="X267" t="str">
        <x:f>IF(E267&lt;25,"Low &lt; 25",IF(E267&lt;100,"Medium 25-99",IF(E267&lt;300,"High 100-299","Premium 300+")))</x:f>
        <x:v>Low &lt; 25</x:v>
      </x:c>
      <x:c r="Y267" t="n">
        <x:f>IF(C267="Active",1,0)</x:f>
        <x:v>1</x:v>
      </x:c>
    </x:row>
    <x:row r="268">
      <x:c r="A268" t="str">
        <x:v>SKU00267</x:v>
      </x:c>
      <x:c r="B268" t="str">
        <x:v>Sample Product 00267</x:v>
      </x:c>
      <x:c r="C268" t="str">
        <x:v>Active</x:v>
      </x:c>
      <x:c r="D268" t="str">
        <x:v>2026-02</x:v>
      </x:c>
      <x:c r="E268" s="12" t="n">
        <x:v>35.26</x:v>
      </x:c>
      <x:c r="F268" s="10" t="n">
        <x:v>0.226</x:v>
      </x:c>
      <x:c r="G268" t="str">
        <x:v>General Merchandise</x:v>
      </x:c>
      <x:c r="H268" t="str">
        <x:v>Accessories</x:v>
      </x:c>
      <x:c r="I268" t="str">
        <x:v>MFG013</x:v>
      </x:c>
      <x:c r="J268" t="str">
        <x:v>Manufacturer 013</x:v>
      </x:c>
      <x:c r="K268" t="str">
        <x:v>SUP023</x:v>
      </x:c>
      <x:c r="L268" t="str">
        <x:v>Supplier 023</x:v>
      </x:c>
      <x:c r="M268" t="str">
        <x:v>REG-341083</x:v>
      </x:c>
      <x:c r="N268" t="str">
        <x:v>Generic Ingredient 033</x:v>
      </x:c>
      <x:c r="O268" t="str">
        <x:v>General Sale</x:v>
      </x:c>
      <x:c r="P268" t="n">
        <x:v>68</x:v>
      </x:c>
      <x:c r="Q268" t="n">
        <x:v>22</x:v>
      </x:c>
      <x:c r="R268" t="n">
        <x:v>10</x:v>
      </x:c>
      <x:c r="S268" s="12" t="n">
        <x:f>E268*Q268</x:f>
        <x:v>775.7199999999999</x:v>
      </x:c>
      <x:c r="T268" s="12" t="n">
        <x:f>ROUND(S268*F268+0.000000001,2)</x:f>
        <x:v>175.31</x:v>
      </x:c>
      <x:c r="U268" s="12" t="n">
        <x:f>E268*R268</x:f>
        <x:v>352.59999999999997</x:v>
      </x:c>
      <x:c r="V268" t="str">
        <x:f>IF(AND(C268="Active",Q268=0),"Active Zero Sales","Not Zero Sales")</x:f>
        <x:v>Not Zero Sales</x:v>
      </x:c>
      <x:c r="W268" s="12" t="n">
        <x:f>IF(V268="Active Zero Sales",U268,0)</x:f>
        <x:v>0</x:v>
      </x:c>
      <x:c r="X268" t="str">
        <x:f>IF(E268&lt;25,"Low &lt; 25",IF(E268&lt;100,"Medium 25-99",IF(E268&lt;300,"High 100-299","Premium 300+")))</x:f>
        <x:v>Medium 25-99</x:v>
      </x:c>
      <x:c r="Y268" t="n">
        <x:f>IF(C268="Active",1,0)</x:f>
        <x:v>1</x:v>
      </x:c>
    </x:row>
    <x:row r="269">
      <x:c r="A269" t="str">
        <x:v>SKU00268</x:v>
      </x:c>
      <x:c r="B269" t="str">
        <x:v>Sample Product 00268</x:v>
      </x:c>
      <x:c r="C269" t="str">
        <x:v>Blocked</x:v>
      </x:c>
      <x:c r="D269" t="str">
        <x:v>2026-02</x:v>
      </x:c>
      <x:c r="E269" s="12" t="n">
        <x:v>23.21</x:v>
      </x:c>
      <x:c r="F269" s="10" t="n">
        <x:v>0.384</x:v>
      </x:c>
      <x:c r="G269" t="str">
        <x:v>OTC &amp; Wellness</x:v>
      </x:c>
      <x:c r="H269" t="str">
        <x:v>Vitamins</x:v>
      </x:c>
      <x:c r="I269" t="str">
        <x:v>MFG015</x:v>
      </x:c>
      <x:c r="J269" t="str">
        <x:v>Manufacturer 015</x:v>
      </x:c>
      <x:c r="K269" t="str">
        <x:v>SUP018</x:v>
      </x:c>
      <x:c r="L269" t="str">
        <x:v>Supplier 018</x:v>
      </x:c>
      <x:c r="M269" t="str">
        <x:v>REG-253458</x:v>
      </x:c>
      <x:c r="N269" t="str">
        <x:v>Generic Ingredient 027</x:v>
      </x:c>
      <x:c r="O269" t="str">
        <x:v>General Sale</x:v>
      </x:c>
      <x:c r="P269" t="n">
        <x:v>17</x:v>
      </x:c>
      <x:c r="Q269" t="n">
        <x:v>0</x:v>
      </x:c>
      <x:c r="R269" t="n">
        <x:v>8</x:v>
      </x:c>
      <x:c r="S269" s="12" t="n">
        <x:f>E269*Q269</x:f>
        <x:v>0</x:v>
      </x:c>
      <x:c r="T269" s="12" t="n">
        <x:f>ROUND(S269*F269+0.000000001,2)</x:f>
        <x:v>0</x:v>
      </x:c>
      <x:c r="U269" s="12" t="n">
        <x:f>E269*R269</x:f>
        <x:v>185.68</x:v>
      </x:c>
      <x:c r="V269" t="str">
        <x:f>IF(AND(C269="Active",Q269=0),"Active Zero Sales","Not Zero Sales")</x:f>
        <x:v>Not Zero Sales</x:v>
      </x:c>
      <x:c r="W269" s="12" t="n">
        <x:f>IF(V269="Active Zero Sales",U269,0)</x:f>
        <x:v>0</x:v>
      </x:c>
      <x:c r="X269" t="str">
        <x:f>IF(E269&lt;25,"Low &lt; 25",IF(E269&lt;100,"Medium 25-99",IF(E269&lt;300,"High 100-299","Premium 300+")))</x:f>
        <x:v>Low &lt; 25</x:v>
      </x:c>
      <x:c r="Y269" t="n">
        <x:f>IF(C269="Active",1,0)</x:f>
        <x:v>0</x:v>
      </x:c>
    </x:row>
    <x:row r="270">
      <x:c r="A270" t="str">
        <x:v>SKU00269</x:v>
      </x:c>
      <x:c r="B270" t="str">
        <x:v>Sample Product 00269</x:v>
      </x:c>
      <x:c r="C270" t="str">
        <x:v>Active</x:v>
      </x:c>
      <x:c r="D270" t="str">
        <x:v>2026-03</x:v>
      </x:c>
      <x:c r="E270" s="12" t="n">
        <x:v>16.51</x:v>
      </x:c>
      <x:c r="F270" s="10" t="n">
        <x:v>0.281</x:v>
      </x:c>
      <x:c r="G270" t="str">
        <x:v>OTC &amp; Wellness</x:v>
      </x:c>
      <x:c r="H270" t="str">
        <x:v>Vitamins</x:v>
      </x:c>
      <x:c r="I270" t="str">
        <x:v>MFG016</x:v>
      </x:c>
      <x:c r="J270" t="str">
        <x:v>Manufacturer 016</x:v>
      </x:c>
      <x:c r="K270" t="str">
        <x:v>SUP005</x:v>
      </x:c>
      <x:c r="L270" t="str">
        <x:v>Supplier 005</x:v>
      </x:c>
      <x:c r="M270" t="str">
        <x:v>REG-993281</x:v>
      </x:c>
      <x:c r="N270" t="str">
        <x:v>Generic Ingredient 150</x:v>
      </x:c>
      <x:c r="O270" t="str">
        <x:v>General Sale</x:v>
      </x:c>
      <x:c r="P270" t="n">
        <x:v>1</x:v>
      </x:c>
      <x:c r="Q270" t="n">
        <x:v>11</x:v>
      </x:c>
      <x:c r="R270" t="n">
        <x:v>0</x:v>
      </x:c>
      <x:c r="S270" s="12" t="n">
        <x:f>E270*Q270</x:f>
        <x:v>181.61</x:v>
      </x:c>
      <x:c r="T270" s="12" t="n">
        <x:f>ROUND(S270*F270+0.000000001,2)</x:f>
        <x:v>51.03</x:v>
      </x:c>
      <x:c r="U270" s="12" t="n">
        <x:f>E270*R270</x:f>
        <x:v>0</x:v>
      </x:c>
      <x:c r="V270" t="str">
        <x:f>IF(AND(C270="Active",Q270=0),"Active Zero Sales","Not Zero Sales")</x:f>
        <x:v>Not Zero Sales</x:v>
      </x:c>
      <x:c r="W270" s="12" t="n">
        <x:f>IF(V270="Active Zero Sales",U270,0)</x:f>
        <x:v>0</x:v>
      </x:c>
      <x:c r="X270" t="str">
        <x:f>IF(E270&lt;25,"Low &lt; 25",IF(E270&lt;100,"Medium 25-99",IF(E270&lt;300,"High 100-299","Premium 300+")))</x:f>
        <x:v>Low &lt; 25</x:v>
      </x:c>
      <x:c r="Y270" t="n">
        <x:f>IF(C270="Active",1,0)</x:f>
        <x:v>1</x:v>
      </x:c>
    </x:row>
    <x:row r="271">
      <x:c r="A271" t="str">
        <x:v>SKU00270</x:v>
      </x:c>
      <x:c r="B271" t="str">
        <x:v>Sample Product 00270</x:v>
      </x:c>
      <x:c r="C271" t="str">
        <x:v>Active</x:v>
      </x:c>
      <x:c r="D271" t="str">
        <x:v>2026-04</x:v>
      </x:c>
      <x:c r="E271" s="12" t="n">
        <x:v>99</x:v>
      </x:c>
      <x:c r="F271" s="10" t="n">
        <x:v>0.418</x:v>
      </x:c>
      <x:c r="G271" t="str">
        <x:v>OTC &amp; Wellness</x:v>
      </x:c>
      <x:c r="H271" t="str">
        <x:v>Vitamins</x:v>
      </x:c>
      <x:c r="I271" t="str">
        <x:v>MFG016</x:v>
      </x:c>
      <x:c r="J271" t="str">
        <x:v>Manufacturer 016</x:v>
      </x:c>
      <x:c r="K271" t="str">
        <x:v>SUP005</x:v>
      </x:c>
      <x:c r="L271" t="str">
        <x:v>Supplier 005</x:v>
      </x:c>
      <x:c r="M271" t="str">
        <x:v>REG-674053</x:v>
      </x:c>
      <x:c r="N271" t="str">
        <x:v>Generic Ingredient 042</x:v>
      </x:c>
      <x:c r="O271" t="str">
        <x:v>Pharmacy Only</x:v>
      </x:c>
      <x:c r="P271" t="n">
        <x:v>89</x:v>
      </x:c>
      <x:c r="Q271" t="n">
        <x:v>69</x:v>
      </x:c>
      <x:c r="R271" t="n">
        <x:v>28</x:v>
      </x:c>
      <x:c r="S271" s="12" t="n">
        <x:f>E271*Q271</x:f>
        <x:v>6831</x:v>
      </x:c>
      <x:c r="T271" s="12" t="n">
        <x:f>ROUND(S271*F271+0.000000001,2)</x:f>
        <x:v>2855.36</x:v>
      </x:c>
      <x:c r="U271" s="12" t="n">
        <x:f>E271*R271</x:f>
        <x:v>2772</x:v>
      </x:c>
      <x:c r="V271" t="str">
        <x:f>IF(AND(C271="Active",Q271=0),"Active Zero Sales","Not Zero Sales")</x:f>
        <x:v>Not Zero Sales</x:v>
      </x:c>
      <x:c r="W271" s="12" t="n">
        <x:f>IF(V271="Active Zero Sales",U271,0)</x:f>
        <x:v>0</x:v>
      </x:c>
      <x:c r="X271" t="str">
        <x:f>IF(E271&lt;25,"Low &lt; 25",IF(E271&lt;100,"Medium 25-99",IF(E271&lt;300,"High 100-299","Premium 300+")))</x:f>
        <x:v>Medium 25-99</x:v>
      </x:c>
      <x:c r="Y271" t="n">
        <x:f>IF(C271="Active",1,0)</x:f>
        <x:v>1</x:v>
      </x:c>
    </x:row>
    <x:row r="272">
      <x:c r="A272" t="str">
        <x:v>SKU00271</x:v>
      </x:c>
      <x:c r="B272" t="str">
        <x:v>Sample Product 00271</x:v>
      </x:c>
      <x:c r="C272" t="str">
        <x:v>Active</x:v>
      </x:c>
      <x:c r="D272" t="str">
        <x:v>2026-02</x:v>
      </x:c>
      <x:c r="E272" s="12" t="n">
        <x:v>33.03</x:v>
      </x:c>
      <x:c r="F272" s="10" t="n">
        <x:v>0.201</x:v>
      </x:c>
      <x:c r="G272" t="str">
        <x:v>Medical Devices</x:v>
      </x:c>
      <x:c r="H272" t="str">
        <x:v>Monitoring Supplies</x:v>
      </x:c>
      <x:c r="I272" t="str">
        <x:v>MFG020</x:v>
      </x:c>
      <x:c r="J272" t="str">
        <x:v>Manufacturer 020</x:v>
      </x:c>
      <x:c r="K272" t="str">
        <x:v>SUP020</x:v>
      </x:c>
      <x:c r="L272" t="str">
        <x:v>Supplier 020</x:v>
      </x:c>
      <x:c r="M272" t="str">
        <x:v>REG-272185</x:v>
      </x:c>
      <x:c r="N272" t="str">
        <x:v>Generic Ingredient 020</x:v>
      </x:c>
      <x:c r="O272" t="str">
        <x:v>Pharmacy Only</x:v>
      </x:c>
      <x:c r="P272" t="n">
        <x:v>50</x:v>
      </x:c>
      <x:c r="Q272" t="n">
        <x:v>16</x:v>
      </x:c>
      <x:c r="R272" t="n">
        <x:v>0</x:v>
      </x:c>
      <x:c r="S272" s="12" t="n">
        <x:f>E272*Q272</x:f>
        <x:v>528.48</x:v>
      </x:c>
      <x:c r="T272" s="12" t="n">
        <x:f>ROUND(S272*F272+0.000000001,2)</x:f>
        <x:v>106.22</x:v>
      </x:c>
      <x:c r="U272" s="12" t="n">
        <x:f>E272*R272</x:f>
        <x:v>0</x:v>
      </x:c>
      <x:c r="V272" t="str">
        <x:f>IF(AND(C272="Active",Q272=0),"Active Zero Sales","Not Zero Sales")</x:f>
        <x:v>Not Zero Sales</x:v>
      </x:c>
      <x:c r="W272" s="12" t="n">
        <x:f>IF(V272="Active Zero Sales",U272,0)</x:f>
        <x:v>0</x:v>
      </x:c>
      <x:c r="X272" t="str">
        <x:f>IF(E272&lt;25,"Low &lt; 25",IF(E272&lt;100,"Medium 25-99",IF(E272&lt;300,"High 100-299","Premium 300+")))</x:f>
        <x:v>Medium 25-99</x:v>
      </x:c>
      <x:c r="Y272" t="n">
        <x:f>IF(C272="Active",1,0)</x:f>
        <x:v>1</x:v>
      </x:c>
    </x:row>
    <x:row r="273">
      <x:c r="A273" t="str">
        <x:v>SKU00272</x:v>
      </x:c>
      <x:c r="B273" t="str">
        <x:v>Sample Product 00272</x:v>
      </x:c>
      <x:c r="C273" t="str">
        <x:v>Active</x:v>
      </x:c>
      <x:c r="D273" t="str">
        <x:v>2026-02</x:v>
      </x:c>
      <x:c r="E273" s="12" t="n">
        <x:v>80.18</x:v>
      </x:c>
      <x:c r="F273" s="10" t="n">
        <x:v>0.301</x:v>
      </x:c>
      <x:c r="G273" t="str">
        <x:v>General Merchandise</x:v>
      </x:c>
      <x:c r="H273" t="str">
        <x:v>Travel Health</x:v>
      </x:c>
      <x:c r="I273" t="str">
        <x:v>MFG004</x:v>
      </x:c>
      <x:c r="J273" t="str">
        <x:v>Manufacturer 004</x:v>
      </x:c>
      <x:c r="K273" t="str">
        <x:v>SUP019</x:v>
      </x:c>
      <x:c r="L273" t="str">
        <x:v>Supplier 019</x:v>
      </x:c>
      <x:c r="M273" t="str">
        <x:v>REG-178718</x:v>
      </x:c>
      <x:c r="N273" t="str">
        <x:v>Generic Ingredient 134</x:v>
      </x:c>
      <x:c r="O273" t="str">
        <x:v>General Sale</x:v>
      </x:c>
      <x:c r="P273" t="n">
        <x:v>38</x:v>
      </x:c>
      <x:c r="Q273" t="n">
        <x:v>29</x:v>
      </x:c>
      <x:c r="R273" t="n">
        <x:v>0</x:v>
      </x:c>
      <x:c r="S273" s="12" t="n">
        <x:f>E273*Q273</x:f>
        <x:v>2325.2200000000003</x:v>
      </x:c>
      <x:c r="T273" s="12" t="n">
        <x:f>ROUND(S273*F273+0.000000001,2)</x:f>
        <x:v>699.89</x:v>
      </x:c>
      <x:c r="U273" s="12" t="n">
        <x:f>E273*R273</x:f>
        <x:v>0</x:v>
      </x:c>
      <x:c r="V273" t="str">
        <x:f>IF(AND(C273="Active",Q273=0),"Active Zero Sales","Not Zero Sales")</x:f>
        <x:v>Not Zero Sales</x:v>
      </x:c>
      <x:c r="W273" s="12" t="n">
        <x:f>IF(V273="Active Zero Sales",U273,0)</x:f>
        <x:v>0</x:v>
      </x:c>
      <x:c r="X273" t="str">
        <x:f>IF(E273&lt;25,"Low &lt; 25",IF(E273&lt;100,"Medium 25-99",IF(E273&lt;300,"High 100-299","Premium 300+")))</x:f>
        <x:v>Medium 25-99</x:v>
      </x:c>
      <x:c r="Y273" t="n">
        <x:f>IF(C273="Active",1,0)</x:f>
        <x:v>1</x:v>
      </x:c>
    </x:row>
    <x:row r="274">
      <x:c r="A274" t="str">
        <x:v>SKU00273</x:v>
      </x:c>
      <x:c r="B274" t="str">
        <x:v>Sample Product 00273</x:v>
      </x:c>
      <x:c r="C274" t="str">
        <x:v>Active</x:v>
      </x:c>
      <x:c r="D274" t="str">
        <x:v>2026-03</x:v>
      </x:c>
      <x:c r="E274" s="12" t="n">
        <x:v>362.93</x:v>
      </x:c>
      <x:c r="F274" s="10" t="n">
        <x:v>0.409</x:v>
      </x:c>
      <x:c r="G274" t="str">
        <x:v>Personal Care</x:v>
      </x:c>
      <x:c r="H274" t="str">
        <x:v>Hygiene</x:v>
      </x:c>
      <x:c r="I274" t="str">
        <x:v>MFG008</x:v>
      </x:c>
      <x:c r="J274" t="str">
        <x:v>Manufacturer 008</x:v>
      </x:c>
      <x:c r="K274" t="str">
        <x:v>SUP028</x:v>
      </x:c>
      <x:c r="L274" t="str">
        <x:v>Supplier 028</x:v>
      </x:c>
      <x:c r="M274" t="str">
        <x:v>REG-271423</x:v>
      </x:c>
      <x:c r="N274" t="str">
        <x:v>Generic Ingredient 084</x:v>
      </x:c>
      <x:c r="O274" t="str">
        <x:v>General Sale</x:v>
      </x:c>
      <x:c r="P274" t="n">
        <x:v>27</x:v>
      </x:c>
      <x:c r="Q274" t="n">
        <x:v>22</x:v>
      </x:c>
      <x:c r="R274" t="n">
        <x:v>0</x:v>
      </x:c>
      <x:c r="S274" s="12" t="n">
        <x:f>E274*Q274</x:f>
        <x:v>7984.46</x:v>
      </x:c>
      <x:c r="T274" s="12" t="n">
        <x:f>ROUND(S274*F274+0.000000001,2)</x:f>
        <x:v>3265.64</x:v>
      </x:c>
      <x:c r="U274" s="12" t="n">
        <x:f>E274*R274</x:f>
        <x:v>0</x:v>
      </x:c>
      <x:c r="V274" t="str">
        <x:f>IF(AND(C274="Active",Q274=0),"Active Zero Sales","Not Zero Sales")</x:f>
        <x:v>Not Zero Sales</x:v>
      </x:c>
      <x:c r="W274" s="12" t="n">
        <x:f>IF(V274="Active Zero Sales",U274,0)</x:f>
        <x:v>0</x:v>
      </x:c>
      <x:c r="X274" t="str">
        <x:f>IF(E274&lt;25,"Low &lt; 25",IF(E274&lt;100,"Medium 25-99",IF(E274&lt;300,"High 100-299","Premium 300+")))</x:f>
        <x:v>Premium 300+</x:v>
      </x:c>
      <x:c r="Y274" t="n">
        <x:f>IF(C274="Active",1,0)</x:f>
        <x:v>1</x:v>
      </x:c>
    </x:row>
    <x:row r="275">
      <x:c r="A275" t="str">
        <x:v>SKU00274</x:v>
      </x:c>
      <x:c r="B275" t="str">
        <x:v>Sample Product 00274</x:v>
      </x:c>
      <x:c r="C275" t="str">
        <x:v>Active</x:v>
      </x:c>
      <x:c r="D275" t="str">
        <x:v>2026-02</x:v>
      </x:c>
      <x:c r="E275" s="12" t="n">
        <x:v>12.13</x:v>
      </x:c>
      <x:c r="F275" s="10" t="n">
        <x:v>0.378</x:v>
      </x:c>
      <x:c r="G275" t="str">
        <x:v>Nutrition</x:v>
      </x:c>
      <x:c r="H275" t="str">
        <x:v>Adult Nutrition</x:v>
      </x:c>
      <x:c r="I275" t="str">
        <x:v>MFG019</x:v>
      </x:c>
      <x:c r="J275" t="str">
        <x:v>Manufacturer 019</x:v>
      </x:c>
      <x:c r="K275" t="str">
        <x:v>SUP013</x:v>
      </x:c>
      <x:c r="L275" t="str">
        <x:v>Supplier 013</x:v>
      </x:c>
      <x:c r="M275" t="str">
        <x:v>REG-636565</x:v>
      </x:c>
      <x:c r="N275" t="str">
        <x:v>Generic Ingredient 162</x:v>
      </x:c>
      <x:c r="O275" t="str">
        <x:v>Pharmacy Only</x:v>
      </x:c>
      <x:c r="P275" t="n">
        <x:v>60</x:v>
      </x:c>
      <x:c r="Q275" t="n">
        <x:v>27</x:v>
      </x:c>
      <x:c r="R275" t="n">
        <x:v>26</x:v>
      </x:c>
      <x:c r="S275" s="12" t="n">
        <x:f>E275*Q275</x:f>
        <x:v>327.51000000000005</x:v>
      </x:c>
      <x:c r="T275" s="12" t="n">
        <x:f>ROUND(S275*F275+0.000000001,2)</x:f>
        <x:v>123.8</x:v>
      </x:c>
      <x:c r="U275" s="12" t="n">
        <x:f>E275*R275</x:f>
        <x:v>315.38</x:v>
      </x:c>
      <x:c r="V275" t="str">
        <x:f>IF(AND(C275="Active",Q275=0),"Active Zero Sales","Not Zero Sales")</x:f>
        <x:v>Not Zero Sales</x:v>
      </x:c>
      <x:c r="W275" s="12" t="n">
        <x:f>IF(V275="Active Zero Sales",U275,0)</x:f>
        <x:v>0</x:v>
      </x:c>
      <x:c r="X275" t="str">
        <x:f>IF(E275&lt;25,"Low &lt; 25",IF(E275&lt;100,"Medium 25-99",IF(E275&lt;300,"High 100-299","Premium 300+")))</x:f>
        <x:v>Low &lt; 25</x:v>
      </x:c>
      <x:c r="Y275" t="n">
        <x:f>IF(C275="Active",1,0)</x:f>
        <x:v>1</x:v>
      </x:c>
    </x:row>
    <x:row r="276">
      <x:c r="A276" t="str">
        <x:v>SKU00275</x:v>
      </x:c>
      <x:c r="B276" t="str">
        <x:v>Sample Product 00275</x:v>
      </x:c>
      <x:c r="C276" t="str">
        <x:v>Active</x:v>
      </x:c>
      <x:c r="D276" t="str">
        <x:v>2026-02</x:v>
      </x:c>
      <x:c r="E276" s="12" t="n">
        <x:v>4.58</x:v>
      </x:c>
      <x:c r="F276" s="10" t="n">
        <x:v>0.326</x:v>
      </x:c>
      <x:c r="G276" t="str">
        <x:v>OTC &amp; Wellness</x:v>
      </x:c>
      <x:c r="H276" t="str">
        <x:v>Cold &amp; Allergy</x:v>
      </x:c>
      <x:c r="I276" t="str">
        <x:v>MFG014</x:v>
      </x:c>
      <x:c r="J276" t="str">
        <x:v>Manufacturer 014</x:v>
      </x:c>
      <x:c r="K276" t="str">
        <x:v>SUP009</x:v>
      </x:c>
      <x:c r="L276" t="str">
        <x:v>Supplier 009</x:v>
      </x:c>
      <x:c r="M276" t="str">
        <x:v>REG-598485</x:v>
      </x:c>
      <x:c r="N276" t="str">
        <x:v>Generic Ingredient 138</x:v>
      </x:c>
      <x:c r="O276" t="str">
        <x:v>General Sale</x:v>
      </x:c>
      <x:c r="P276" t="n">
        <x:v>128</x:v>
      </x:c>
      <x:c r="Q276" t="n">
        <x:v>67</x:v>
      </x:c>
      <x:c r="R276" t="n">
        <x:v>40</x:v>
      </x:c>
      <x:c r="S276" s="12" t="n">
        <x:f>E276*Q276</x:f>
        <x:v>306.86</x:v>
      </x:c>
      <x:c r="T276" s="12" t="n">
        <x:f>ROUND(S276*F276+0.000000001,2)</x:f>
        <x:v>100.04</x:v>
      </x:c>
      <x:c r="U276" s="12" t="n">
        <x:f>E276*R276</x:f>
        <x:v>183.2</x:v>
      </x:c>
      <x:c r="V276" t="str">
        <x:f>IF(AND(C276="Active",Q276=0),"Active Zero Sales","Not Zero Sales")</x:f>
        <x:v>Not Zero Sales</x:v>
      </x:c>
      <x:c r="W276" s="12" t="n">
        <x:f>IF(V276="Active Zero Sales",U276,0)</x:f>
        <x:v>0</x:v>
      </x:c>
      <x:c r="X276" t="str">
        <x:f>IF(E276&lt;25,"Low &lt; 25",IF(E276&lt;100,"Medium 25-99",IF(E276&lt;300,"High 100-299","Premium 300+")))</x:f>
        <x:v>Low &lt; 25</x:v>
      </x:c>
      <x:c r="Y276" t="n">
        <x:f>IF(C276="Active",1,0)</x:f>
        <x:v>1</x:v>
      </x:c>
    </x:row>
    <x:row r="277">
      <x:c r="A277" t="str">
        <x:v>SKU00276</x:v>
      </x:c>
      <x:c r="B277" t="str">
        <x:v>Sample Product 00276</x:v>
      </x:c>
      <x:c r="C277" t="str">
        <x:v>Active</x:v>
      </x:c>
      <x:c r="D277" t="str">
        <x:v>2026-06</x:v>
      </x:c>
      <x:c r="E277" s="12" t="n">
        <x:v>519.42</x:v>
      </x:c>
      <x:c r="F277" s="10" t="n">
        <x:v>0.426</x:v>
      </x:c>
      <x:c r="G277" t="str">
        <x:v>Personal Care</x:v>
      </x:c>
      <x:c r="H277" t="str">
        <x:v>Hygiene</x:v>
      </x:c>
      <x:c r="I277" t="str">
        <x:v>MFG010</x:v>
      </x:c>
      <x:c r="J277" t="str">
        <x:v>Manufacturer 010</x:v>
      </x:c>
      <x:c r="K277" t="str">
        <x:v>SUP014</x:v>
      </x:c>
      <x:c r="L277" t="str">
        <x:v>Supplier 014</x:v>
      </x:c>
      <x:c r="M277" t="str">
        <x:v>REG-616640</x:v>
      </x:c>
      <x:c r="N277" t="str">
        <x:v>Generic Ingredient 032</x:v>
      </x:c>
      <x:c r="O277" t="str">
        <x:v>Pharmacy Only</x:v>
      </x:c>
      <x:c r="P277" t="n">
        <x:v>103</x:v>
      </x:c>
      <x:c r="Q277" t="n">
        <x:v>52</x:v>
      </x:c>
      <x:c r="R277" t="n">
        <x:v>14</x:v>
      </x:c>
      <x:c r="S277" s="12" t="n">
        <x:f>E277*Q277</x:f>
        <x:v>27009.839999999997</x:v>
      </x:c>
      <x:c r="T277" s="12" t="n">
        <x:f>ROUND(S277*F277+0.000000001,2)</x:f>
        <x:v>11506.19</x:v>
      </x:c>
      <x:c r="U277" s="12" t="n">
        <x:f>E277*R277</x:f>
        <x:v>7271.879999999999</x:v>
      </x:c>
      <x:c r="V277" t="str">
        <x:f>IF(AND(C277="Active",Q277=0),"Active Zero Sales","Not Zero Sales")</x:f>
        <x:v>Not Zero Sales</x:v>
      </x:c>
      <x:c r="W277" s="12" t="n">
        <x:f>IF(V277="Active Zero Sales",U277,0)</x:f>
        <x:v>0</x:v>
      </x:c>
      <x:c r="X277" t="str">
        <x:f>IF(E277&lt;25,"Low &lt; 25",IF(E277&lt;100,"Medium 25-99",IF(E277&lt;300,"High 100-299","Premium 300+")))</x:f>
        <x:v>Premium 300+</x:v>
      </x:c>
      <x:c r="Y277" t="n">
        <x:f>IF(C277="Active",1,0)</x:f>
        <x:v>1</x:v>
      </x:c>
    </x:row>
    <x:row r="278">
      <x:c r="A278" t="str">
        <x:v>SKU00277</x:v>
      </x:c>
      <x:c r="B278" t="str">
        <x:v>Sample Product 00277</x:v>
      </x:c>
      <x:c r="C278" t="str">
        <x:v>Active</x:v>
      </x:c>
      <x:c r="D278" t="str">
        <x:v>2026-01</x:v>
      </x:c>
      <x:c r="E278" s="12" t="n">
        <x:v>172.28</x:v>
      </x:c>
      <x:c r="F278" s="10" t="n">
        <x:v>0.319</x:v>
      </x:c>
      <x:c r="G278" t="str">
        <x:v>Medical Devices</x:v>
      </x:c>
      <x:c r="H278" t="str">
        <x:v>Mobility Aids</x:v>
      </x:c>
      <x:c r="I278" t="str">
        <x:v>MFG013</x:v>
      </x:c>
      <x:c r="J278" t="str">
        <x:v>Manufacturer 013</x:v>
      </x:c>
      <x:c r="K278" t="str">
        <x:v>SUP011</x:v>
      </x:c>
      <x:c r="L278" t="str">
        <x:v>Supplier 011</x:v>
      </x:c>
      <x:c r="M278" t="str">
        <x:v>REG-192001</x:v>
      </x:c>
      <x:c r="N278" t="str">
        <x:v>Generic Ingredient 019</x:v>
      </x:c>
      <x:c r="O278" t="str">
        <x:v>General Sale</x:v>
      </x:c>
      <x:c r="P278" t="n">
        <x:v>25</x:v>
      </x:c>
      <x:c r="Q278" t="n">
        <x:v>27</x:v>
      </x:c>
      <x:c r="R278" t="n">
        <x:v>0</x:v>
      </x:c>
      <x:c r="S278" s="12" t="n">
        <x:f>E278*Q278</x:f>
        <x:v>4651.56</x:v>
      </x:c>
      <x:c r="T278" s="12" t="n">
        <x:f>ROUND(S278*F278+0.000000001,2)</x:f>
        <x:v>1483.85</x:v>
      </x:c>
      <x:c r="U278" s="12" t="n">
        <x:f>E278*R278</x:f>
        <x:v>0</x:v>
      </x:c>
      <x:c r="V278" t="str">
        <x:f>IF(AND(C278="Active",Q278=0),"Active Zero Sales","Not Zero Sales")</x:f>
        <x:v>Not Zero Sales</x:v>
      </x:c>
      <x:c r="W278" s="12" t="n">
        <x:f>IF(V278="Active Zero Sales",U278,0)</x:f>
        <x:v>0</x:v>
      </x:c>
      <x:c r="X278" t="str">
        <x:f>IF(E278&lt;25,"Low &lt; 25",IF(E278&lt;100,"Medium 25-99",IF(E278&lt;300,"High 100-299","Premium 300+")))</x:f>
        <x:v>High 100-299</x:v>
      </x:c>
      <x:c r="Y278" t="n">
        <x:f>IF(C278="Active",1,0)</x:f>
        <x:v>1</x:v>
      </x:c>
    </x:row>
    <x:row r="279">
      <x:c r="A279" t="str">
        <x:v>SKU00278</x:v>
      </x:c>
      <x:c r="B279" t="str">
        <x:v>Sample Product 00278</x:v>
      </x:c>
      <x:c r="C279" t="str">
        <x:v>Active</x:v>
      </x:c>
      <x:c r="D279" t="str">
        <x:v>2026-06</x:v>
      </x:c>
      <x:c r="E279" s="12" t="n">
        <x:v>38.34</x:v>
      </x:c>
      <x:c r="F279" s="10" t="n">
        <x:v>0.3</x:v>
      </x:c>
      <x:c r="G279" t="str">
        <x:v>General Merchandise</x:v>
      </x:c>
      <x:c r="H279" t="str">
        <x:v>Seasonal Care</x:v>
      </x:c>
      <x:c r="I279" t="str">
        <x:v>MFG011</x:v>
      </x:c>
      <x:c r="J279" t="str">
        <x:v>Manufacturer 011</x:v>
      </x:c>
      <x:c r="K279" t="str">
        <x:v>SUP001</x:v>
      </x:c>
      <x:c r="L279" t="str">
        <x:v>Supplier 001</x:v>
      </x:c>
      <x:c r="M279" t="str">
        <x:v>REG-417758</x:v>
      </x:c>
      <x:c r="N279" t="str">
        <x:v>Generic Ingredient 027</x:v>
      </x:c>
      <x:c r="O279" t="str">
        <x:v>General Sale</x:v>
      </x:c>
      <x:c r="P279" t="n">
        <x:v>18</x:v>
      </x:c>
      <x:c r="Q279" t="n">
        <x:v>7</x:v>
      </x:c>
      <x:c r="R279" t="n">
        <x:v>0</x:v>
      </x:c>
      <x:c r="S279" s="12" t="n">
        <x:f>E279*Q279</x:f>
        <x:v>268.38</x:v>
      </x:c>
      <x:c r="T279" s="12" t="n">
        <x:f>ROUND(S279*F279+0.000000001,2)</x:f>
        <x:v>80.51</x:v>
      </x:c>
      <x:c r="U279" s="12" t="n">
        <x:f>E279*R279</x:f>
        <x:v>0</x:v>
      </x:c>
      <x:c r="V279" t="str">
        <x:f>IF(AND(C279="Active",Q279=0),"Active Zero Sales","Not Zero Sales")</x:f>
        <x:v>Not Zero Sales</x:v>
      </x:c>
      <x:c r="W279" s="12" t="n">
        <x:f>IF(V279="Active Zero Sales",U279,0)</x:f>
        <x:v>0</x:v>
      </x:c>
      <x:c r="X279" t="str">
        <x:f>IF(E279&lt;25,"Low &lt; 25",IF(E279&lt;100,"Medium 25-99",IF(E279&lt;300,"High 100-299","Premium 300+")))</x:f>
        <x:v>Medium 25-99</x:v>
      </x:c>
      <x:c r="Y279" t="n">
        <x:f>IF(C279="Active",1,0)</x:f>
        <x:v>1</x:v>
      </x:c>
    </x:row>
    <x:row r="280">
      <x:c r="A280" t="str">
        <x:v>SKU00279</x:v>
      </x:c>
      <x:c r="B280" t="str">
        <x:v>Sample Product 00279</x:v>
      </x:c>
      <x:c r="C280" t="str">
        <x:v>Active</x:v>
      </x:c>
      <x:c r="D280" t="str">
        <x:v>2026-04</x:v>
      </x:c>
      <x:c r="E280" s="12" t="n">
        <x:v>28.34</x:v>
      </x:c>
      <x:c r="F280" s="10" t="n">
        <x:v>0.417</x:v>
      </x:c>
      <x:c r="G280" t="str">
        <x:v>Medical Devices</x:v>
      </x:c>
      <x:c r="H280" t="str">
        <x:v>First Aid</x:v>
      </x:c>
      <x:c r="I280" t="str">
        <x:v>MFG018</x:v>
      </x:c>
      <x:c r="J280" t="str">
        <x:v>Manufacturer 018</x:v>
      </x:c>
      <x:c r="K280" t="str">
        <x:v>SUP014</x:v>
      </x:c>
      <x:c r="L280" t="str">
        <x:v>Supplier 014</x:v>
      </x:c>
      <x:c r="M280" t="str">
        <x:v>REG-311010</x:v>
      </x:c>
      <x:c r="N280" t="str">
        <x:v>Generic Ingredient 174</x:v>
      </x:c>
      <x:c r="O280" t="str">
        <x:v>General Sale</x:v>
      </x:c>
      <x:c r="P280" t="n">
        <x:v>46</x:v>
      </x:c>
      <x:c r="Q280" t="n">
        <x:v>10</x:v>
      </x:c>
      <x:c r="R280" t="n">
        <x:v>11</x:v>
      </x:c>
      <x:c r="S280" s="12" t="n">
        <x:f>E280*Q280</x:f>
        <x:v>283.4</x:v>
      </x:c>
      <x:c r="T280" s="12" t="n">
        <x:f>ROUND(S280*F280+0.000000001,2)</x:f>
        <x:v>118.18</x:v>
      </x:c>
      <x:c r="U280" s="12" t="n">
        <x:f>E280*R280</x:f>
        <x:v>311.74</x:v>
      </x:c>
      <x:c r="V280" t="str">
        <x:f>IF(AND(C280="Active",Q280=0),"Active Zero Sales","Not Zero Sales")</x:f>
        <x:v>Not Zero Sales</x:v>
      </x:c>
      <x:c r="W280" s="12" t="n">
        <x:f>IF(V280="Active Zero Sales",U280,0)</x:f>
        <x:v>0</x:v>
      </x:c>
      <x:c r="X280" t="str">
        <x:f>IF(E280&lt;25,"Low &lt; 25",IF(E280&lt;100,"Medium 25-99",IF(E280&lt;300,"High 100-299","Premium 300+")))</x:f>
        <x:v>Medium 25-99</x:v>
      </x:c>
      <x:c r="Y280" t="n">
        <x:f>IF(C280="Active",1,0)</x:f>
        <x:v>1</x:v>
      </x:c>
    </x:row>
    <x:row r="281">
      <x:c r="A281" t="str">
        <x:v>SKU00280</x:v>
      </x:c>
      <x:c r="B281" t="str">
        <x:v>Sample Product 00280</x:v>
      </x:c>
      <x:c r="C281" t="str">
        <x:v>Active</x:v>
      </x:c>
      <x:c r="D281" t="str">
        <x:v>2026-05</x:v>
      </x:c>
      <x:c r="E281" s="12" t="n">
        <x:v>54.62</x:v>
      </x:c>
      <x:c r="F281" s="10" t="n">
        <x:v>0.341</x:v>
      </x:c>
      <x:c r="G281" t="str">
        <x:v>Personal Care</x:v>
      </x:c>
      <x:c r="H281" t="str">
        <x:v>Skin Care</x:v>
      </x:c>
      <x:c r="I281" t="str">
        <x:v>MFG006</x:v>
      </x:c>
      <x:c r="J281" t="str">
        <x:v>Manufacturer 006</x:v>
      </x:c>
      <x:c r="K281" t="str">
        <x:v>SUP004</x:v>
      </x:c>
      <x:c r="L281" t="str">
        <x:v>Supplier 004</x:v>
      </x:c>
      <x:c r="M281" t="str">
        <x:v>REG-428640</x:v>
      </x:c>
      <x:c r="N281" t="str">
        <x:v>Generic Ingredient 033</x:v>
      </x:c>
      <x:c r="O281" t="str">
        <x:v>General Sale</x:v>
      </x:c>
      <x:c r="P281" t="n">
        <x:v>64</x:v>
      </x:c>
      <x:c r="Q281" t="n">
        <x:v>18</x:v>
      </x:c>
      <x:c r="R281" t="n">
        <x:v>1</x:v>
      </x:c>
      <x:c r="S281" s="12" t="n">
        <x:f>E281*Q281</x:f>
        <x:v>983.16</x:v>
      </x:c>
      <x:c r="T281" s="12" t="n">
        <x:f>ROUND(S281*F281+0.000000001,2)</x:f>
        <x:v>335.26</x:v>
      </x:c>
      <x:c r="U281" s="12" t="n">
        <x:f>E281*R281</x:f>
        <x:v>54.62</x:v>
      </x:c>
      <x:c r="V281" t="str">
        <x:f>IF(AND(C281="Active",Q281=0),"Active Zero Sales","Not Zero Sales")</x:f>
        <x:v>Not Zero Sales</x:v>
      </x:c>
      <x:c r="W281" s="12" t="n">
        <x:f>IF(V281="Active Zero Sales",U281,0)</x:f>
        <x:v>0</x:v>
      </x:c>
      <x:c r="X281" t="str">
        <x:f>IF(E281&lt;25,"Low &lt; 25",IF(E281&lt;100,"Medium 25-99",IF(E281&lt;300,"High 100-299","Premium 300+")))</x:f>
        <x:v>Medium 25-99</x:v>
      </x:c>
      <x:c r="Y281" t="n">
        <x:f>IF(C281="Active",1,0)</x:f>
        <x:v>1</x:v>
      </x:c>
    </x:row>
    <x:row r="282">
      <x:c r="A282" t="str">
        <x:v>SKU00281</x:v>
      </x:c>
      <x:c r="B282" t="str">
        <x:v>Sample Product 00281</x:v>
      </x:c>
      <x:c r="C282" t="str">
        <x:v>Active</x:v>
      </x:c>
      <x:c r="D282" t="str">
        <x:v>2026-01</x:v>
      </x:c>
      <x:c r="E282" s="12" t="n">
        <x:v>48.18</x:v>
      </x:c>
      <x:c r="F282" s="10" t="n">
        <x:v>0.329</x:v>
      </x:c>
      <x:c r="G282" t="str">
        <x:v>Nutrition</x:v>
      </x:c>
      <x:c r="H282" t="str">
        <x:v>Hydration</x:v>
      </x:c>
      <x:c r="I282" t="str">
        <x:v>MFG009</x:v>
      </x:c>
      <x:c r="J282" t="str">
        <x:v>Manufacturer 009</x:v>
      </x:c>
      <x:c r="K282" t="str">
        <x:v>SUP009</x:v>
      </x:c>
      <x:c r="L282" t="str">
        <x:v>Supplier 009</x:v>
      </x:c>
      <x:c r="M282" t="str">
        <x:v>REG-599857</x:v>
      </x:c>
      <x:c r="N282" t="str">
        <x:v>Generic Ingredient 040</x:v>
      </x:c>
      <x:c r="O282" t="str">
        <x:v>General Sale</x:v>
      </x:c>
      <x:c r="P282" t="n">
        <x:v>60</x:v>
      </x:c>
      <x:c r="Q282" t="n">
        <x:v>42</x:v>
      </x:c>
      <x:c r="R282" t="n">
        <x:v>10</x:v>
      </x:c>
      <x:c r="S282" s="12" t="n">
        <x:f>E282*Q282</x:f>
        <x:v>2023.56</x:v>
      </x:c>
      <x:c r="T282" s="12" t="n">
        <x:f>ROUND(S282*F282+0.000000001,2)</x:f>
        <x:v>665.75</x:v>
      </x:c>
      <x:c r="U282" s="12" t="n">
        <x:f>E282*R282</x:f>
        <x:v>481.8</x:v>
      </x:c>
      <x:c r="V282" t="str">
        <x:f>IF(AND(C282="Active",Q282=0),"Active Zero Sales","Not Zero Sales")</x:f>
        <x:v>Not Zero Sales</x:v>
      </x:c>
      <x:c r="W282" s="12" t="n">
        <x:f>IF(V282="Active Zero Sales",U282,0)</x:f>
        <x:v>0</x:v>
      </x:c>
      <x:c r="X282" t="str">
        <x:f>IF(E282&lt;25,"Low &lt; 25",IF(E282&lt;100,"Medium 25-99",IF(E282&lt;300,"High 100-299","Premium 300+")))</x:f>
        <x:v>Medium 25-99</x:v>
      </x:c>
      <x:c r="Y282" t="n">
        <x:f>IF(C282="Active",1,0)</x:f>
        <x:v>1</x:v>
      </x:c>
    </x:row>
    <x:row r="283">
      <x:c r="A283" t="str">
        <x:v>SKU00282</x:v>
      </x:c>
      <x:c r="B283" t="str">
        <x:v>Sample Product 00282</x:v>
      </x:c>
      <x:c r="C283" t="str">
        <x:v>Active</x:v>
      </x:c>
      <x:c r="D283" t="str">
        <x:v>2026-04</x:v>
      </x:c>
      <x:c r="E283" s="12" t="n">
        <x:v>70.38</x:v>
      </x:c>
      <x:c r="F283" s="10" t="n">
        <x:v>0.239</x:v>
      </x:c>
      <x:c r="G283" t="str">
        <x:v>Medical Devices</x:v>
      </x:c>
      <x:c r="H283" t="str">
        <x:v>Mobility Aids</x:v>
      </x:c>
      <x:c r="I283" t="str">
        <x:v>MFG005</x:v>
      </x:c>
      <x:c r="J283" t="str">
        <x:v>Manufacturer 005</x:v>
      </x:c>
      <x:c r="K283" t="str">
        <x:v>SUP011</x:v>
      </x:c>
      <x:c r="L283" t="str">
        <x:v>Supplier 011</x:v>
      </x:c>
      <x:c r="M283" t="str">
        <x:v>REG-446125</x:v>
      </x:c>
      <x:c r="N283" t="str">
        <x:v>Generic Ingredient 063</x:v>
      </x:c>
      <x:c r="O283" t="str">
        <x:v>General Sale</x:v>
      </x:c>
      <x:c r="P283" t="n">
        <x:v>60</x:v>
      </x:c>
      <x:c r="Q283" t="n">
        <x:v>16</x:v>
      </x:c>
      <x:c r="R283" t="n">
        <x:v>0</x:v>
      </x:c>
      <x:c r="S283" s="12" t="n">
        <x:f>E283*Q283</x:f>
        <x:v>1126.08</x:v>
      </x:c>
      <x:c r="T283" s="12" t="n">
        <x:f>ROUND(S283*F283+0.000000001,2)</x:f>
        <x:v>269.13</x:v>
      </x:c>
      <x:c r="U283" s="12" t="n">
        <x:f>E283*R283</x:f>
        <x:v>0</x:v>
      </x:c>
      <x:c r="V283" t="str">
        <x:f>IF(AND(C283="Active",Q283=0),"Active Zero Sales","Not Zero Sales")</x:f>
        <x:v>Not Zero Sales</x:v>
      </x:c>
      <x:c r="W283" s="12" t="n">
        <x:f>IF(V283="Active Zero Sales",U283,0)</x:f>
        <x:v>0</x:v>
      </x:c>
      <x:c r="X283" t="str">
        <x:f>IF(E283&lt;25,"Low &lt; 25",IF(E283&lt;100,"Medium 25-99",IF(E283&lt;300,"High 100-299","Premium 300+")))</x:f>
        <x:v>Medium 25-99</x:v>
      </x:c>
      <x:c r="Y283" t="n">
        <x:f>IF(C283="Active",1,0)</x:f>
        <x:v>1</x:v>
      </x:c>
    </x:row>
    <x:row r="284">
      <x:c r="A284" t="str">
        <x:v>SKU00283</x:v>
      </x:c>
      <x:c r="B284" t="str">
        <x:v>Sample Product 00283</x:v>
      </x:c>
      <x:c r="C284" t="str">
        <x:v>Active</x:v>
      </x:c>
      <x:c r="D284" t="str">
        <x:v>2026-01</x:v>
      </x:c>
      <x:c r="E284" s="12" t="n">
        <x:v>297.79</x:v>
      </x:c>
      <x:c r="F284" s="10" t="n">
        <x:v>0.275</x:v>
      </x:c>
      <x:c r="G284" t="str">
        <x:v>OTC &amp; Wellness</x:v>
      </x:c>
      <x:c r="H284" t="str">
        <x:v>Vitamins</x:v>
      </x:c>
      <x:c r="I284" t="str">
        <x:v>MFG002</x:v>
      </x:c>
      <x:c r="J284" t="str">
        <x:v>Manufacturer 002</x:v>
      </x:c>
      <x:c r="K284" t="str">
        <x:v>SUP030</x:v>
      </x:c>
      <x:c r="L284" t="str">
        <x:v>Supplier 030</x:v>
      </x:c>
      <x:c r="M284" t="str">
        <x:v>REG-238549</x:v>
      </x:c>
      <x:c r="N284" t="str">
        <x:v>Generic Ingredient 045</x:v>
      </x:c>
      <x:c r="O284" t="str">
        <x:v>General Sale</x:v>
      </x:c>
      <x:c r="P284" t="n">
        <x:v>82</x:v>
      </x:c>
      <x:c r="Q284" t="n">
        <x:v>17</x:v>
      </x:c>
      <x:c r="R284" t="n">
        <x:v>23</x:v>
      </x:c>
      <x:c r="S284" s="12" t="n">
        <x:f>E284*Q284</x:f>
        <x:v>5062.43</x:v>
      </x:c>
      <x:c r="T284" s="12" t="n">
        <x:f>ROUND(S284*F284+0.000000001,2)</x:f>
        <x:v>1392.17</x:v>
      </x:c>
      <x:c r="U284" s="12" t="n">
        <x:f>E284*R284</x:f>
        <x:v>6849.17</x:v>
      </x:c>
      <x:c r="V284" t="str">
        <x:f>IF(AND(C284="Active",Q284=0),"Active Zero Sales","Not Zero Sales")</x:f>
        <x:v>Not Zero Sales</x:v>
      </x:c>
      <x:c r="W284" s="12" t="n">
        <x:f>IF(V284="Active Zero Sales",U284,0)</x:f>
        <x:v>0</x:v>
      </x:c>
      <x:c r="X284" t="str">
        <x:f>IF(E284&lt;25,"Low &lt; 25",IF(E284&lt;100,"Medium 25-99",IF(E284&lt;300,"High 100-299","Premium 300+")))</x:f>
        <x:v>High 100-299</x:v>
      </x:c>
      <x:c r="Y284" t="n">
        <x:f>IF(C284="Active",1,0)</x:f>
        <x:v>1</x:v>
      </x:c>
    </x:row>
    <x:row r="285">
      <x:c r="A285" t="str">
        <x:v>SKU00284</x:v>
      </x:c>
      <x:c r="B285" t="str">
        <x:v>Sample Product 00284</x:v>
      </x:c>
      <x:c r="C285" t="str">
        <x:v>Blocked</x:v>
      </x:c>
      <x:c r="D285" t="str">
        <x:v>2026-03</x:v>
      </x:c>
      <x:c r="E285" s="12" t="n">
        <x:v>96.46</x:v>
      </x:c>
      <x:c r="F285" s="10" t="n">
        <x:v>0.414</x:v>
      </x:c>
      <x:c r="G285" t="str">
        <x:v>Personal Care</x:v>
      </x:c>
      <x:c r="H285" t="str">
        <x:v>Oral Care</x:v>
      </x:c>
      <x:c r="I285" t="str">
        <x:v>MFG004</x:v>
      </x:c>
      <x:c r="J285" t="str">
        <x:v>Manufacturer 004</x:v>
      </x:c>
      <x:c r="K285" t="str">
        <x:v>SUP023</x:v>
      </x:c>
      <x:c r="L285" t="str">
        <x:v>Supplier 023</x:v>
      </x:c>
      <x:c r="M285" t="str">
        <x:v>REG-146730</x:v>
      </x:c>
      <x:c r="N285" t="str">
        <x:v>Generic Ingredient 015</x:v>
      </x:c>
      <x:c r="O285" t="str">
        <x:v>General Sale</x:v>
      </x:c>
      <x:c r="P285" t="n">
        <x:v>10</x:v>
      </x:c>
      <x:c r="Q285" t="n">
        <x:v>0</x:v>
      </x:c>
      <x:c r="R285" t="n">
        <x:v>0</x:v>
      </x:c>
      <x:c r="S285" s="12" t="n">
        <x:f>E285*Q285</x:f>
        <x:v>0</x:v>
      </x:c>
      <x:c r="T285" s="12" t="n">
        <x:f>ROUND(S285*F285+0.000000001,2)</x:f>
        <x:v>0</x:v>
      </x:c>
      <x:c r="U285" s="12" t="n">
        <x:f>E285*R285</x:f>
        <x:v>0</x:v>
      </x:c>
      <x:c r="V285" t="str">
        <x:f>IF(AND(C285="Active",Q285=0),"Active Zero Sales","Not Zero Sales")</x:f>
        <x:v>Not Zero Sales</x:v>
      </x:c>
      <x:c r="W285" s="12" t="n">
        <x:f>IF(V285="Active Zero Sales",U285,0)</x:f>
        <x:v>0</x:v>
      </x:c>
      <x:c r="X285" t="str">
        <x:f>IF(E285&lt;25,"Low &lt; 25",IF(E285&lt;100,"Medium 25-99",IF(E285&lt;300,"High 100-299","Premium 300+")))</x:f>
        <x:v>Medium 25-99</x:v>
      </x:c>
      <x:c r="Y285" t="n">
        <x:f>IF(C285="Active",1,0)</x:f>
        <x:v>0</x:v>
      </x:c>
    </x:row>
    <x:row r="286">
      <x:c r="A286" t="str">
        <x:v>SKU00285</x:v>
      </x:c>
      <x:c r="B286" t="str">
        <x:v>Sample Product 00285</x:v>
      </x:c>
      <x:c r="C286" t="str">
        <x:v>Active</x:v>
      </x:c>
      <x:c r="D286" t="str">
        <x:v>2026-02</x:v>
      </x:c>
      <x:c r="E286" s="12" t="n">
        <x:v>51.56</x:v>
      </x:c>
      <x:c r="F286" s="10" t="n">
        <x:v>0.294</x:v>
      </x:c>
      <x:c r="G286" t="str">
        <x:v>Medical Devices</x:v>
      </x:c>
      <x:c r="H286" t="str">
        <x:v>Home Diagnostics</x:v>
      </x:c>
      <x:c r="I286" t="str">
        <x:v>MFG007</x:v>
      </x:c>
      <x:c r="J286" t="str">
        <x:v>Manufacturer 007</x:v>
      </x:c>
      <x:c r="K286" t="str">
        <x:v>SUP003</x:v>
      </x:c>
      <x:c r="L286" t="str">
        <x:v>Supplier 003</x:v>
      </x:c>
      <x:c r="M286" t="str">
        <x:v>REG-754330</x:v>
      </x:c>
      <x:c r="N286" t="str">
        <x:v>Generic Ingredient 020</x:v>
      </x:c>
      <x:c r="O286" t="str">
        <x:v>General Sale</x:v>
      </x:c>
      <x:c r="P286" t="n">
        <x:v>61</x:v>
      </x:c>
      <x:c r="Q286" t="n">
        <x:v>19</x:v>
      </x:c>
      <x:c r="R286" t="n">
        <x:v>7</x:v>
      </x:c>
      <x:c r="S286" s="12" t="n">
        <x:f>E286*Q286</x:f>
        <x:v>979.6400000000001</x:v>
      </x:c>
      <x:c r="T286" s="12" t="n">
        <x:f>ROUND(S286*F286+0.000000001,2)</x:f>
        <x:v>288.01</x:v>
      </x:c>
      <x:c r="U286" s="12" t="n">
        <x:f>E286*R286</x:f>
        <x:v>360.92</x:v>
      </x:c>
      <x:c r="V286" t="str">
        <x:f>IF(AND(C286="Active",Q286=0),"Active Zero Sales","Not Zero Sales")</x:f>
        <x:v>Not Zero Sales</x:v>
      </x:c>
      <x:c r="W286" s="12" t="n">
        <x:f>IF(V286="Active Zero Sales",U286,0)</x:f>
        <x:v>0</x:v>
      </x:c>
      <x:c r="X286" t="str">
        <x:f>IF(E286&lt;25,"Low &lt; 25",IF(E286&lt;100,"Medium 25-99",IF(E286&lt;300,"High 100-299","Premium 300+")))</x:f>
        <x:v>Medium 25-99</x:v>
      </x:c>
      <x:c r="Y286" t="n">
        <x:f>IF(C286="Active",1,0)</x:f>
        <x:v>1</x:v>
      </x:c>
    </x:row>
    <x:row r="287">
      <x:c r="A287" t="str">
        <x:v>SKU00286</x:v>
      </x:c>
      <x:c r="B287" t="str">
        <x:v>Sample Product 00286</x:v>
      </x:c>
      <x:c r="C287" t="str">
        <x:v>Active</x:v>
      </x:c>
      <x:c r="D287" t="str">
        <x:v>2026-02</x:v>
      </x:c>
      <x:c r="E287" s="12" t="n">
        <x:v>80.96</x:v>
      </x:c>
      <x:c r="F287" s="10" t="n">
        <x:v>0.266</x:v>
      </x:c>
      <x:c r="G287" t="str">
        <x:v>OTC &amp; Wellness</x:v>
      </x:c>
      <x:c r="H287" t="str">
        <x:v>Cold &amp; Allergy</x:v>
      </x:c>
      <x:c r="I287" t="str">
        <x:v>MFG014</x:v>
      </x:c>
      <x:c r="J287" t="str">
        <x:v>Manufacturer 014</x:v>
      </x:c>
      <x:c r="K287" t="str">
        <x:v>SUP010</x:v>
      </x:c>
      <x:c r="L287" t="str">
        <x:v>Supplier 010</x:v>
      </x:c>
      <x:c r="M287" t="str">
        <x:v>REG-375623</x:v>
      </x:c>
      <x:c r="N287" t="str">
        <x:v>Generic Ingredient 131</x:v>
      </x:c>
      <x:c r="O287" t="str">
        <x:v>General Sale</x:v>
      </x:c>
      <x:c r="P287" t="n">
        <x:v>77</x:v>
      </x:c>
      <x:c r="Q287" t="n">
        <x:v>30</x:v>
      </x:c>
      <x:c r="R287" t="n">
        <x:v>0</x:v>
      </x:c>
      <x:c r="S287" s="12" t="n">
        <x:f>E287*Q287</x:f>
        <x:v>2428.7999999999997</x:v>
      </x:c>
      <x:c r="T287" s="12" t="n">
        <x:f>ROUND(S287*F287+0.000000001,2)</x:f>
        <x:v>646.06</x:v>
      </x:c>
      <x:c r="U287" s="12" t="n">
        <x:f>E287*R287</x:f>
        <x:v>0</x:v>
      </x:c>
      <x:c r="V287" t="str">
        <x:f>IF(AND(C287="Active",Q287=0),"Active Zero Sales","Not Zero Sales")</x:f>
        <x:v>Not Zero Sales</x:v>
      </x:c>
      <x:c r="W287" s="12" t="n">
        <x:f>IF(V287="Active Zero Sales",U287,0)</x:f>
        <x:v>0</x:v>
      </x:c>
      <x:c r="X287" t="str">
        <x:f>IF(E287&lt;25,"Low &lt; 25",IF(E287&lt;100,"Medium 25-99",IF(E287&lt;300,"High 100-299","Premium 300+")))</x:f>
        <x:v>Medium 25-99</x:v>
      </x:c>
      <x:c r="Y287" t="n">
        <x:f>IF(C287="Active",1,0)</x:f>
        <x:v>1</x:v>
      </x:c>
    </x:row>
    <x:row r="288">
      <x:c r="A288" t="str">
        <x:v>SKU00287</x:v>
      </x:c>
      <x:c r="B288" t="str">
        <x:v>Sample Product 00287</x:v>
      </x:c>
      <x:c r="C288" t="str">
        <x:v>Active</x:v>
      </x:c>
      <x:c r="D288" t="str">
        <x:v>2026-02</x:v>
      </x:c>
      <x:c r="E288" s="12" t="n">
        <x:v>23.85</x:v>
      </x:c>
      <x:c r="F288" s="10" t="n">
        <x:v>0.323</x:v>
      </x:c>
      <x:c r="G288" t="str">
        <x:v>Medical Devices</x:v>
      </x:c>
      <x:c r="H288" t="str">
        <x:v>First Aid</x:v>
      </x:c>
      <x:c r="I288" t="str">
        <x:v>MFG010</x:v>
      </x:c>
      <x:c r="J288" t="str">
        <x:v>Manufacturer 010</x:v>
      </x:c>
      <x:c r="K288" t="str">
        <x:v>SUP020</x:v>
      </x:c>
      <x:c r="L288" t="str">
        <x:v>Supplier 020</x:v>
      </x:c>
      <x:c r="M288" t="str">
        <x:v>REG-925824</x:v>
      </x:c>
      <x:c r="N288" t="str">
        <x:v>Generic Ingredient 170</x:v>
      </x:c>
      <x:c r="O288" t="str">
        <x:v>Restricted Sale</x:v>
      </x:c>
      <x:c r="P288" t="n">
        <x:v>69</x:v>
      </x:c>
      <x:c r="Q288" t="n">
        <x:v>60</x:v>
      </x:c>
      <x:c r="R288" t="n">
        <x:v>18</x:v>
      </x:c>
      <x:c r="S288" s="12" t="n">
        <x:f>E288*Q288</x:f>
        <x:v>1431</x:v>
      </x:c>
      <x:c r="T288" s="12" t="n">
        <x:f>ROUND(S288*F288+0.000000001,2)</x:f>
        <x:v>462.21</x:v>
      </x:c>
      <x:c r="U288" s="12" t="n">
        <x:f>E288*R288</x:f>
        <x:v>429.3</x:v>
      </x:c>
      <x:c r="V288" t="str">
        <x:f>IF(AND(C288="Active",Q288=0),"Active Zero Sales","Not Zero Sales")</x:f>
        <x:v>Not Zero Sales</x:v>
      </x:c>
      <x:c r="W288" s="12" t="n">
        <x:f>IF(V288="Active Zero Sales",U288,0)</x:f>
        <x:v>0</x:v>
      </x:c>
      <x:c r="X288" t="str">
        <x:f>IF(E288&lt;25,"Low &lt; 25",IF(E288&lt;100,"Medium 25-99",IF(E288&lt;300,"High 100-299","Premium 300+")))</x:f>
        <x:v>Low &lt; 25</x:v>
      </x:c>
      <x:c r="Y288" t="n">
        <x:f>IF(C288="Active",1,0)</x:f>
        <x:v>1</x:v>
      </x:c>
    </x:row>
    <x:row r="289">
      <x:c r="A289" t="str">
        <x:v>SKU00288</x:v>
      </x:c>
      <x:c r="B289" t="str">
        <x:v>Sample Product 00288</x:v>
      </x:c>
      <x:c r="C289" t="str">
        <x:v>Active</x:v>
      </x:c>
      <x:c r="D289" t="str">
        <x:v>2026-02</x:v>
      </x:c>
      <x:c r="E289" s="12" t="n">
        <x:v>90.92</x:v>
      </x:c>
      <x:c r="F289" s="10" t="n">
        <x:v>0.326</x:v>
      </x:c>
      <x:c r="G289" t="str">
        <x:v>Medical Devices</x:v>
      </x:c>
      <x:c r="H289" t="str">
        <x:v>First Aid</x:v>
      </x:c>
      <x:c r="I289" t="str">
        <x:v>MFG015</x:v>
      </x:c>
      <x:c r="J289" t="str">
        <x:v>Manufacturer 015</x:v>
      </x:c>
      <x:c r="K289" t="str">
        <x:v>SUP030</x:v>
      </x:c>
      <x:c r="L289" t="str">
        <x:v>Supplier 030</x:v>
      </x:c>
      <x:c r="M289" t="str">
        <x:v>REG-460003</x:v>
      </x:c>
      <x:c r="N289" t="str">
        <x:v>Generic Ingredient 100</x:v>
      </x:c>
      <x:c r="O289" t="str">
        <x:v>Pharmacy Only</x:v>
      </x:c>
      <x:c r="P289" t="n">
        <x:v>14</x:v>
      </x:c>
      <x:c r="Q289" t="n">
        <x:v>0</x:v>
      </x:c>
      <x:c r="R289" t="n">
        <x:v>2</x:v>
      </x:c>
      <x:c r="S289" s="12" t="n">
        <x:f>E289*Q289</x:f>
        <x:v>0</x:v>
      </x:c>
      <x:c r="T289" s="12" t="n">
        <x:f>ROUND(S289*F289+0.000000001,2)</x:f>
        <x:v>0</x:v>
      </x:c>
      <x:c r="U289" s="12" t="n">
        <x:f>E289*R289</x:f>
        <x:v>181.84</x:v>
      </x:c>
      <x:c r="V289" t="str">
        <x:f>IF(AND(C289="Active",Q289=0),"Active Zero Sales","Not Zero Sales")</x:f>
        <x:v>Active Zero Sales</x:v>
      </x:c>
      <x:c r="W289" s="12" t="n">
        <x:f>IF(V289="Active Zero Sales",U289,0)</x:f>
        <x:v>181.84</x:v>
      </x:c>
      <x:c r="X289" t="str">
        <x:f>IF(E289&lt;25,"Low &lt; 25",IF(E289&lt;100,"Medium 25-99",IF(E289&lt;300,"High 100-299","Premium 300+")))</x:f>
        <x:v>Medium 25-99</x:v>
      </x:c>
      <x:c r="Y289" t="n">
        <x:f>IF(C289="Active",1,0)</x:f>
        <x:v>1</x:v>
      </x:c>
    </x:row>
    <x:row r="290">
      <x:c r="A290" t="str">
        <x:v>SKU00289</x:v>
      </x:c>
      <x:c r="B290" t="str">
        <x:v>Sample Product 00289</x:v>
      </x:c>
      <x:c r="C290" t="str">
        <x:v>Active</x:v>
      </x:c>
      <x:c r="D290" t="str">
        <x:v>2026-02</x:v>
      </x:c>
      <x:c r="E290" s="12" t="n">
        <x:v>19.78</x:v>
      </x:c>
      <x:c r="F290" s="10" t="n">
        <x:v>0.206</x:v>
      </x:c>
      <x:c r="G290" t="str">
        <x:v>Medical Devices</x:v>
      </x:c>
      <x:c r="H290" t="str">
        <x:v>Home Diagnostics</x:v>
      </x:c>
      <x:c r="I290" t="str">
        <x:v>MFG015</x:v>
      </x:c>
      <x:c r="J290" t="str">
        <x:v>Manufacturer 015</x:v>
      </x:c>
      <x:c r="K290" t="str">
        <x:v>SUP003</x:v>
      </x:c>
      <x:c r="L290" t="str">
        <x:v>Supplier 003</x:v>
      </x:c>
      <x:c r="M290" t="str">
        <x:v>REG-573889</x:v>
      </x:c>
      <x:c r="N290" t="str">
        <x:v>Generic Ingredient 131</x:v>
      </x:c>
      <x:c r="O290" t="str">
        <x:v>General Sale</x:v>
      </x:c>
      <x:c r="P290" t="n">
        <x:v>61</x:v>
      </x:c>
      <x:c r="Q290" t="n">
        <x:v>37</x:v>
      </x:c>
      <x:c r="R290" t="n">
        <x:v>0</x:v>
      </x:c>
      <x:c r="S290" s="12" t="n">
        <x:f>E290*Q290</x:f>
        <x:v>731.86</x:v>
      </x:c>
      <x:c r="T290" s="12" t="n">
        <x:f>ROUND(S290*F290+0.000000001,2)</x:f>
        <x:v>150.76</x:v>
      </x:c>
      <x:c r="U290" s="12" t="n">
        <x:f>E290*R290</x:f>
        <x:v>0</x:v>
      </x:c>
      <x:c r="V290" t="str">
        <x:f>IF(AND(C290="Active",Q290=0),"Active Zero Sales","Not Zero Sales")</x:f>
        <x:v>Not Zero Sales</x:v>
      </x:c>
      <x:c r="W290" s="12" t="n">
        <x:f>IF(V290="Active Zero Sales",U290,0)</x:f>
        <x:v>0</x:v>
      </x:c>
      <x:c r="X290" t="str">
        <x:f>IF(E290&lt;25,"Low &lt; 25",IF(E290&lt;100,"Medium 25-99",IF(E290&lt;300,"High 100-299","Premium 300+")))</x:f>
        <x:v>Low &lt; 25</x:v>
      </x:c>
      <x:c r="Y290" t="n">
        <x:f>IF(C290="Active",1,0)</x:f>
        <x:v>1</x:v>
      </x:c>
    </x:row>
    <x:row r="291">
      <x:c r="A291" t="str">
        <x:v>SKU00290</x:v>
      </x:c>
      <x:c r="B291" t="str">
        <x:v>Sample Product 00290</x:v>
      </x:c>
      <x:c r="C291" t="str">
        <x:v>Blocked</x:v>
      </x:c>
      <x:c r="D291" t="str">
        <x:v>2026-04</x:v>
      </x:c>
      <x:c r="E291" s="12" t="n">
        <x:v>66.52</x:v>
      </x:c>
      <x:c r="F291" s="10" t="n">
        <x:v>0.228</x:v>
      </x:c>
      <x:c r="G291" t="str">
        <x:v>Nutrition</x:v>
      </x:c>
      <x:c r="H291" t="str">
        <x:v>Hydration</x:v>
      </x:c>
      <x:c r="I291" t="str">
        <x:v>MFG012</x:v>
      </x:c>
      <x:c r="J291" t="str">
        <x:v>Manufacturer 012</x:v>
      </x:c>
      <x:c r="K291" t="str">
        <x:v>SUP008</x:v>
      </x:c>
      <x:c r="L291" t="str">
        <x:v>Supplier 008</x:v>
      </x:c>
      <x:c r="M291" t="str">
        <x:v>REG-684007</x:v>
      </x:c>
      <x:c r="N291" t="str">
        <x:v>Generic Ingredient 159</x:v>
      </x:c>
      <x:c r="O291" t="str">
        <x:v>General Sale</x:v>
      </x:c>
      <x:c r="P291" t="n">
        <x:v>18</x:v>
      </x:c>
      <x:c r="Q291" t="n">
        <x:v>0</x:v>
      </x:c>
      <x:c r="R291" t="n">
        <x:v>0</x:v>
      </x:c>
      <x:c r="S291" s="12" t="n">
        <x:f>E291*Q291</x:f>
        <x:v>0</x:v>
      </x:c>
      <x:c r="T291" s="12" t="n">
        <x:f>ROUND(S291*F291+0.000000001,2)</x:f>
        <x:v>0</x:v>
      </x:c>
      <x:c r="U291" s="12" t="n">
        <x:f>E291*R291</x:f>
        <x:v>0</x:v>
      </x:c>
      <x:c r="V291" t="str">
        <x:f>IF(AND(C291="Active",Q291=0),"Active Zero Sales","Not Zero Sales")</x:f>
        <x:v>Not Zero Sales</x:v>
      </x:c>
      <x:c r="W291" s="12" t="n">
        <x:f>IF(V291="Active Zero Sales",U291,0)</x:f>
        <x:v>0</x:v>
      </x:c>
      <x:c r="X291" t="str">
        <x:f>IF(E291&lt;25,"Low &lt; 25",IF(E291&lt;100,"Medium 25-99",IF(E291&lt;300,"High 100-299","Premium 300+")))</x:f>
        <x:v>Medium 25-99</x:v>
      </x:c>
      <x:c r="Y291" t="n">
        <x:f>IF(C291="Active",1,0)</x:f>
        <x:v>0</x:v>
      </x:c>
    </x:row>
    <x:row r="292">
      <x:c r="A292" t="str">
        <x:v>SKU00291</x:v>
      </x:c>
      <x:c r="B292" t="str">
        <x:v>Sample Product 00291</x:v>
      </x:c>
      <x:c r="C292" t="str">
        <x:v>Blocked</x:v>
      </x:c>
      <x:c r="D292" t="str">
        <x:v>2026-05</x:v>
      </x:c>
      <x:c r="E292" s="12" t="n">
        <x:v>17.93</x:v>
      </x:c>
      <x:c r="F292" s="10" t="n">
        <x:v>0.236</x:v>
      </x:c>
      <x:c r="G292" t="str">
        <x:v>Medical Devices</x:v>
      </x:c>
      <x:c r="H292" t="str">
        <x:v>First Aid</x:v>
      </x:c>
      <x:c r="I292" t="str">
        <x:v>MFG010</x:v>
      </x:c>
      <x:c r="J292" t="str">
        <x:v>Manufacturer 010</x:v>
      </x:c>
      <x:c r="K292" t="str">
        <x:v>SUP005</x:v>
      </x:c>
      <x:c r="L292" t="str">
        <x:v>Supplier 005</x:v>
      </x:c>
      <x:c r="M292" t="str">
        <x:v>REG-683770</x:v>
      </x:c>
      <x:c r="N292" t="str">
        <x:v>Generic Ingredient 031</x:v>
      </x:c>
      <x:c r="O292" t="str">
        <x:v>General Sale</x:v>
      </x:c>
      <x:c r="P292" t="n">
        <x:v>22</x:v>
      </x:c>
      <x:c r="Q292" t="n">
        <x:v>0</x:v>
      </x:c>
      <x:c r="R292" t="n">
        <x:v>18</x:v>
      </x:c>
      <x:c r="S292" s="12" t="n">
        <x:f>E292*Q292</x:f>
        <x:v>0</x:v>
      </x:c>
      <x:c r="T292" s="12" t="n">
        <x:f>ROUND(S292*F292+0.000000001,2)</x:f>
        <x:v>0</x:v>
      </x:c>
      <x:c r="U292" s="12" t="n">
        <x:f>E292*R292</x:f>
        <x:v>322.74</x:v>
      </x:c>
      <x:c r="V292" t="str">
        <x:f>IF(AND(C292="Active",Q292=0),"Active Zero Sales","Not Zero Sales")</x:f>
        <x:v>Not Zero Sales</x:v>
      </x:c>
      <x:c r="W292" s="12" t="n">
        <x:f>IF(V292="Active Zero Sales",U292,0)</x:f>
        <x:v>0</x:v>
      </x:c>
      <x:c r="X292" t="str">
        <x:f>IF(E292&lt;25,"Low &lt; 25",IF(E292&lt;100,"Medium 25-99",IF(E292&lt;300,"High 100-299","Premium 300+")))</x:f>
        <x:v>Low &lt; 25</x:v>
      </x:c>
      <x:c r="Y292" t="n">
        <x:f>IF(C292="Active",1,0)</x:f>
        <x:v>0</x:v>
      </x:c>
    </x:row>
    <x:row r="293">
      <x:c r="A293" t="str">
        <x:v>SKU00292</x:v>
      </x:c>
      <x:c r="B293" t="str">
        <x:v>Sample Product 00292</x:v>
      </x:c>
      <x:c r="C293" t="str">
        <x:v>Active</x:v>
      </x:c>
      <x:c r="D293" t="str">
        <x:v>2026-03</x:v>
      </x:c>
      <x:c r="E293" s="12" t="n">
        <x:v>73.66</x:v>
      </x:c>
      <x:c r="F293" s="10" t="n">
        <x:v>0.349</x:v>
      </x:c>
      <x:c r="G293" t="str">
        <x:v>General Merchandise</x:v>
      </x:c>
      <x:c r="H293" t="str">
        <x:v>Travel Health</x:v>
      </x:c>
      <x:c r="I293" t="str">
        <x:v>MFG017</x:v>
      </x:c>
      <x:c r="J293" t="str">
        <x:v>Manufacturer 017</x:v>
      </x:c>
      <x:c r="K293" t="str">
        <x:v>SUP019</x:v>
      </x:c>
      <x:c r="L293" t="str">
        <x:v>Supplier 019</x:v>
      </x:c>
      <x:c r="M293" t="str">
        <x:v>REG-127014</x:v>
      </x:c>
      <x:c r="N293" t="str">
        <x:v>Generic Ingredient 091</x:v>
      </x:c>
      <x:c r="O293" t="str">
        <x:v>General Sale</x:v>
      </x:c>
      <x:c r="P293" t="n">
        <x:v>63</x:v>
      </x:c>
      <x:c r="Q293" t="n">
        <x:v>0</x:v>
      </x:c>
      <x:c r="R293" t="n">
        <x:v>33</x:v>
      </x:c>
      <x:c r="S293" s="12" t="n">
        <x:f>E293*Q293</x:f>
        <x:v>0</x:v>
      </x:c>
      <x:c r="T293" s="12" t="n">
        <x:f>ROUND(S293*F293+0.000000001,2)</x:f>
        <x:v>0</x:v>
      </x:c>
      <x:c r="U293" s="12" t="n">
        <x:f>E293*R293</x:f>
        <x:v>2430.7799999999997</x:v>
      </x:c>
      <x:c r="V293" t="str">
        <x:f>IF(AND(C293="Active",Q293=0),"Active Zero Sales","Not Zero Sales")</x:f>
        <x:v>Active Zero Sales</x:v>
      </x:c>
      <x:c r="W293" s="12" t="n">
        <x:f>IF(V293="Active Zero Sales",U293,0)</x:f>
        <x:v>2430.7799999999997</x:v>
      </x:c>
      <x:c r="X293" t="str">
        <x:f>IF(E293&lt;25,"Low &lt; 25",IF(E293&lt;100,"Medium 25-99",IF(E293&lt;300,"High 100-299","Premium 300+")))</x:f>
        <x:v>Medium 25-99</x:v>
      </x:c>
      <x:c r="Y293" t="n">
        <x:f>IF(C293="Active",1,0)</x:f>
        <x:v>1</x:v>
      </x:c>
    </x:row>
    <x:row r="294">
      <x:c r="A294" t="str">
        <x:v>SKU00293</x:v>
      </x:c>
      <x:c r="B294" t="str">
        <x:v>Sample Product 00293</x:v>
      </x:c>
      <x:c r="C294" t="str">
        <x:v>Active</x:v>
      </x:c>
      <x:c r="D294" t="str">
        <x:v>2026-05</x:v>
      </x:c>
      <x:c r="E294" s="12" t="n">
        <x:v>56.34</x:v>
      </x:c>
      <x:c r="F294" s="10" t="n">
        <x:v>0.211</x:v>
      </x:c>
      <x:c r="G294" t="str">
        <x:v>OTC &amp; Wellness</x:v>
      </x:c>
      <x:c r="H294" t="str">
        <x:v>Vitamins</x:v>
      </x:c>
      <x:c r="I294" t="str">
        <x:v>MFG002</x:v>
      </x:c>
      <x:c r="J294" t="str">
        <x:v>Manufacturer 002</x:v>
      </x:c>
      <x:c r="K294" t="str">
        <x:v>SUP004</x:v>
      </x:c>
      <x:c r="L294" t="str">
        <x:v>Supplier 004</x:v>
      </x:c>
      <x:c r="M294" t="str">
        <x:v>REG-389521</x:v>
      </x:c>
      <x:c r="N294" t="str">
        <x:v>Generic Ingredient 018</x:v>
      </x:c>
      <x:c r="O294" t="str">
        <x:v>Restricted Sale</x:v>
      </x:c>
      <x:c r="P294" t="n">
        <x:v>65</x:v>
      </x:c>
      <x:c r="Q294" t="n">
        <x:v>30</x:v>
      </x:c>
      <x:c r="R294" t="n">
        <x:v>0</x:v>
      </x:c>
      <x:c r="S294" s="12" t="n">
        <x:f>E294*Q294</x:f>
        <x:v>1690.2</x:v>
      </x:c>
      <x:c r="T294" s="12" t="n">
        <x:f>ROUND(S294*F294+0.000000001,2)</x:f>
        <x:v>356.63</x:v>
      </x:c>
      <x:c r="U294" s="12" t="n">
        <x:f>E294*R294</x:f>
        <x:v>0</x:v>
      </x:c>
      <x:c r="V294" t="str">
        <x:f>IF(AND(C294="Active",Q294=0),"Active Zero Sales","Not Zero Sales")</x:f>
        <x:v>Not Zero Sales</x:v>
      </x:c>
      <x:c r="W294" s="12" t="n">
        <x:f>IF(V294="Active Zero Sales",U294,0)</x:f>
        <x:v>0</x:v>
      </x:c>
      <x:c r="X294" t="str">
        <x:f>IF(E294&lt;25,"Low &lt; 25",IF(E294&lt;100,"Medium 25-99",IF(E294&lt;300,"High 100-299","Premium 300+")))</x:f>
        <x:v>Medium 25-99</x:v>
      </x:c>
      <x:c r="Y294" t="n">
        <x:f>IF(C294="Active",1,0)</x:f>
        <x:v>1</x:v>
      </x:c>
    </x:row>
    <x:row r="295">
      <x:c r="A295" t="str">
        <x:v>SKU00294</x:v>
      </x:c>
      <x:c r="B295" t="str">
        <x:v>Sample Product 00294</x:v>
      </x:c>
      <x:c r="C295" t="str">
        <x:v>Blocked</x:v>
      </x:c>
      <x:c r="D295" t="str">
        <x:v>2026-05</x:v>
      </x:c>
      <x:c r="E295" s="12" t="n">
        <x:v>98.09</x:v>
      </x:c>
      <x:c r="F295" s="10" t="n">
        <x:v>0.197</x:v>
      </x:c>
      <x:c r="G295" t="str">
        <x:v>Medical Devices</x:v>
      </x:c>
      <x:c r="H295" t="str">
        <x:v>First Aid</x:v>
      </x:c>
      <x:c r="I295" t="str">
        <x:v>MFG007</x:v>
      </x:c>
      <x:c r="J295" t="str">
        <x:v>Manufacturer 007</x:v>
      </x:c>
      <x:c r="K295" t="str">
        <x:v>SUP017</x:v>
      </x:c>
      <x:c r="L295" t="str">
        <x:v>Supplier 017</x:v>
      </x:c>
      <x:c r="M295" t="str">
        <x:v>REG-504338</x:v>
      </x:c>
      <x:c r="N295" t="str">
        <x:v>Generic Ingredient 100</x:v>
      </x:c>
      <x:c r="O295" t="str">
        <x:v>General Sale</x:v>
      </x:c>
      <x:c r="P295" t="n">
        <x:v>22</x:v>
      </x:c>
      <x:c r="Q295" t="n">
        <x:v>0</x:v>
      </x:c>
      <x:c r="R295" t="n">
        <x:v>15</x:v>
      </x:c>
      <x:c r="S295" s="12" t="n">
        <x:f>E295*Q295</x:f>
        <x:v>0</x:v>
      </x:c>
      <x:c r="T295" s="12" t="n">
        <x:f>ROUND(S295*F295+0.000000001,2)</x:f>
        <x:v>0</x:v>
      </x:c>
      <x:c r="U295" s="12" t="n">
        <x:f>E295*R295</x:f>
        <x:v>1471.3500000000001</x:v>
      </x:c>
      <x:c r="V295" t="str">
        <x:f>IF(AND(C295="Active",Q295=0),"Active Zero Sales","Not Zero Sales")</x:f>
        <x:v>Not Zero Sales</x:v>
      </x:c>
      <x:c r="W295" s="12" t="n">
        <x:f>IF(V295="Active Zero Sales",U295,0)</x:f>
        <x:v>0</x:v>
      </x:c>
      <x:c r="X295" t="str">
        <x:f>IF(E295&lt;25,"Low &lt; 25",IF(E295&lt;100,"Medium 25-99",IF(E295&lt;300,"High 100-299","Premium 300+")))</x:f>
        <x:v>Medium 25-99</x:v>
      </x:c>
      <x:c r="Y295" t="n">
        <x:f>IF(C295="Active",1,0)</x:f>
        <x:v>0</x:v>
      </x:c>
    </x:row>
    <x:row r="296">
      <x:c r="A296" t="str">
        <x:v>SKU00295</x:v>
      </x:c>
      <x:c r="B296" t="str">
        <x:v>Sample Product 00295</x:v>
      </x:c>
      <x:c r="C296" t="str">
        <x:v>Active</x:v>
      </x:c>
      <x:c r="D296" t="str">
        <x:v>2026-01</x:v>
      </x:c>
      <x:c r="E296" s="12" t="n">
        <x:v>470.72</x:v>
      </x:c>
      <x:c r="F296" s="10" t="n">
        <x:v>0.312</x:v>
      </x:c>
      <x:c r="G296" t="str">
        <x:v>General Merchandise</x:v>
      </x:c>
      <x:c r="H296" t="str">
        <x:v>Travel Health</x:v>
      </x:c>
      <x:c r="I296" t="str">
        <x:v>MFG015</x:v>
      </x:c>
      <x:c r="J296" t="str">
        <x:v>Manufacturer 015</x:v>
      </x:c>
      <x:c r="K296" t="str">
        <x:v>SUP019</x:v>
      </x:c>
      <x:c r="L296" t="str">
        <x:v>Supplier 019</x:v>
      </x:c>
      <x:c r="M296" t="str">
        <x:v>REG-737211</x:v>
      </x:c>
      <x:c r="N296" t="str">
        <x:v>Generic Ingredient 145</x:v>
      </x:c>
      <x:c r="O296" t="str">
        <x:v>Pharmacy Only</x:v>
      </x:c>
      <x:c r="P296" t="n">
        <x:v>31</x:v>
      </x:c>
      <x:c r="Q296" t="n">
        <x:v>11</x:v>
      </x:c>
      <x:c r="R296" t="n">
        <x:v>8</x:v>
      </x:c>
      <x:c r="S296" s="12" t="n">
        <x:f>E296*Q296</x:f>
        <x:v>5177.92</x:v>
      </x:c>
      <x:c r="T296" s="12" t="n">
        <x:f>ROUND(S296*F296+0.000000001,2)</x:f>
        <x:v>1615.51</x:v>
      </x:c>
      <x:c r="U296" s="12" t="n">
        <x:f>E296*R296</x:f>
        <x:v>3765.76</x:v>
      </x:c>
      <x:c r="V296" t="str">
        <x:f>IF(AND(C296="Active",Q296=0),"Active Zero Sales","Not Zero Sales")</x:f>
        <x:v>Not Zero Sales</x:v>
      </x:c>
      <x:c r="W296" s="12" t="n">
        <x:f>IF(V296="Active Zero Sales",U296,0)</x:f>
        <x:v>0</x:v>
      </x:c>
      <x:c r="X296" t="str">
        <x:f>IF(E296&lt;25,"Low &lt; 25",IF(E296&lt;100,"Medium 25-99",IF(E296&lt;300,"High 100-299","Premium 300+")))</x:f>
        <x:v>Premium 300+</x:v>
      </x:c>
      <x:c r="Y296" t="n">
        <x:f>IF(C296="Active",1,0)</x:f>
        <x:v>1</x:v>
      </x:c>
    </x:row>
    <x:row r="297">
      <x:c r="A297" t="str">
        <x:v>SKU00296</x:v>
      </x:c>
      <x:c r="B297" t="str">
        <x:v>Sample Product 00296</x:v>
      </x:c>
      <x:c r="C297" t="str">
        <x:v>Active</x:v>
      </x:c>
      <x:c r="D297" t="str">
        <x:v>2026-04</x:v>
      </x:c>
      <x:c r="E297" s="12" t="n">
        <x:v>30.25</x:v>
      </x:c>
      <x:c r="F297" s="10" t="n">
        <x:v>0.235</x:v>
      </x:c>
      <x:c r="G297" t="str">
        <x:v>OTC &amp; Wellness</x:v>
      </x:c>
      <x:c r="H297" t="str">
        <x:v>Digestive Care</x:v>
      </x:c>
      <x:c r="I297" t="str">
        <x:v>MFG002</x:v>
      </x:c>
      <x:c r="J297" t="str">
        <x:v>Manufacturer 002</x:v>
      </x:c>
      <x:c r="K297" t="str">
        <x:v>SUP004</x:v>
      </x:c>
      <x:c r="L297" t="str">
        <x:v>Supplier 004</x:v>
      </x:c>
      <x:c r="M297" t="str">
        <x:v>REG-126634</x:v>
      </x:c>
      <x:c r="N297" t="str">
        <x:v>Generic Ingredient 029</x:v>
      </x:c>
      <x:c r="O297" t="str">
        <x:v>Pharmacy Only</x:v>
      </x:c>
      <x:c r="P297" t="n">
        <x:v>21</x:v>
      </x:c>
      <x:c r="Q297" t="n">
        <x:v>11</x:v>
      </x:c>
      <x:c r="R297" t="n">
        <x:v>0</x:v>
      </x:c>
      <x:c r="S297" s="12" t="n">
        <x:f>E297*Q297</x:f>
        <x:v>332.75</x:v>
      </x:c>
      <x:c r="T297" s="12" t="n">
        <x:f>ROUND(S297*F297+0.000000001,2)</x:f>
        <x:v>78.2</x:v>
      </x:c>
      <x:c r="U297" s="12" t="n">
        <x:f>E297*R297</x:f>
        <x:v>0</x:v>
      </x:c>
      <x:c r="V297" t="str">
        <x:f>IF(AND(C297="Active",Q297=0),"Active Zero Sales","Not Zero Sales")</x:f>
        <x:v>Not Zero Sales</x:v>
      </x:c>
      <x:c r="W297" s="12" t="n">
        <x:f>IF(V297="Active Zero Sales",U297,0)</x:f>
        <x:v>0</x:v>
      </x:c>
      <x:c r="X297" t="str">
        <x:f>IF(E297&lt;25,"Low &lt; 25",IF(E297&lt;100,"Medium 25-99",IF(E297&lt;300,"High 100-299","Premium 300+")))</x:f>
        <x:v>Medium 25-99</x:v>
      </x:c>
      <x:c r="Y297" t="n">
        <x:f>IF(C297="Active",1,0)</x:f>
        <x:v>1</x:v>
      </x:c>
    </x:row>
    <x:row r="298">
      <x:c r="A298" t="str">
        <x:v>SKU00297</x:v>
      </x:c>
      <x:c r="B298" t="str">
        <x:v>Sample Product 00297</x:v>
      </x:c>
      <x:c r="C298" t="str">
        <x:v>Active</x:v>
      </x:c>
      <x:c r="D298" t="str">
        <x:v>2026-06</x:v>
      </x:c>
      <x:c r="E298" s="12" t="n">
        <x:v>279.69</x:v>
      </x:c>
      <x:c r="F298" s="10" t="n">
        <x:v>0.174</x:v>
      </x:c>
      <x:c r="G298" t="str">
        <x:v>OTC &amp; Wellness</x:v>
      </x:c>
      <x:c r="H298" t="str">
        <x:v>Pain Relief</x:v>
      </x:c>
      <x:c r="I298" t="str">
        <x:v>MFG003</x:v>
      </x:c>
      <x:c r="J298" t="str">
        <x:v>Manufacturer 003</x:v>
      </x:c>
      <x:c r="K298" t="str">
        <x:v>SUP030</x:v>
      </x:c>
      <x:c r="L298" t="str">
        <x:v>Supplier 030</x:v>
      </x:c>
      <x:c r="M298" t="str">
        <x:v>REG-535436</x:v>
      </x:c>
      <x:c r="N298" t="str">
        <x:v>Generic Ingredient 080</x:v>
      </x:c>
      <x:c r="O298" t="str">
        <x:v>Pharmacy Only</x:v>
      </x:c>
      <x:c r="P298" t="n">
        <x:v>59</x:v>
      </x:c>
      <x:c r="Q298" t="n">
        <x:v>21</x:v>
      </x:c>
      <x:c r="R298" t="n">
        <x:v>0</x:v>
      </x:c>
      <x:c r="S298" s="12" t="n">
        <x:f>E298*Q298</x:f>
        <x:v>5873.49</x:v>
      </x:c>
      <x:c r="T298" s="12" t="n">
        <x:f>ROUND(S298*F298+0.000000001,2)</x:f>
        <x:v>1021.99</x:v>
      </x:c>
      <x:c r="U298" s="12" t="n">
        <x:f>E298*R298</x:f>
        <x:v>0</x:v>
      </x:c>
      <x:c r="V298" t="str">
        <x:f>IF(AND(C298="Active",Q298=0),"Active Zero Sales","Not Zero Sales")</x:f>
        <x:v>Not Zero Sales</x:v>
      </x:c>
      <x:c r="W298" s="12" t="n">
        <x:f>IF(V298="Active Zero Sales",U298,0)</x:f>
        <x:v>0</x:v>
      </x:c>
      <x:c r="X298" t="str">
        <x:f>IF(E298&lt;25,"Low &lt; 25",IF(E298&lt;100,"Medium 25-99",IF(E298&lt;300,"High 100-299","Premium 300+")))</x:f>
        <x:v>High 100-299</x:v>
      </x:c>
      <x:c r="Y298" t="n">
        <x:f>IF(C298="Active",1,0)</x:f>
        <x:v>1</x:v>
      </x:c>
    </x:row>
    <x:row r="299">
      <x:c r="A299" t="str">
        <x:v>SKU00298</x:v>
      </x:c>
      <x:c r="B299" t="str">
        <x:v>Sample Product 00298</x:v>
      </x:c>
      <x:c r="C299" t="str">
        <x:v>Active</x:v>
      </x:c>
      <x:c r="D299" t="str">
        <x:v>2026-05</x:v>
      </x:c>
      <x:c r="E299" s="12" t="n">
        <x:v>77.27</x:v>
      </x:c>
      <x:c r="F299" s="10" t="n">
        <x:v>0.222</x:v>
      </x:c>
      <x:c r="G299" t="str">
        <x:v>OTC &amp; Wellness</x:v>
      </x:c>
      <x:c r="H299" t="str">
        <x:v>Cold &amp; Allergy</x:v>
      </x:c>
      <x:c r="I299" t="str">
        <x:v>MFG015</x:v>
      </x:c>
      <x:c r="J299" t="str">
        <x:v>Manufacturer 015</x:v>
      </x:c>
      <x:c r="K299" t="str">
        <x:v>SUP023</x:v>
      </x:c>
      <x:c r="L299" t="str">
        <x:v>Supplier 023</x:v>
      </x:c>
      <x:c r="M299" t="str">
        <x:v>REG-736053</x:v>
      </x:c>
      <x:c r="N299" t="str">
        <x:v>Generic Ingredient 163</x:v>
      </x:c>
      <x:c r="O299" t="str">
        <x:v>General Sale</x:v>
      </x:c>
      <x:c r="P299" t="n">
        <x:v>89</x:v>
      </x:c>
      <x:c r="Q299" t="n">
        <x:v>34</x:v>
      </x:c>
      <x:c r="R299" t="n">
        <x:v>30</x:v>
      </x:c>
      <x:c r="S299" s="12" t="n">
        <x:f>E299*Q299</x:f>
        <x:v>2627.18</x:v>
      </x:c>
      <x:c r="T299" s="12" t="n">
        <x:f>ROUND(S299*F299+0.000000001,2)</x:f>
        <x:v>583.23</x:v>
      </x:c>
      <x:c r="U299" s="12" t="n">
        <x:f>E299*R299</x:f>
        <x:v>2318.1</x:v>
      </x:c>
      <x:c r="V299" t="str">
        <x:f>IF(AND(C299="Active",Q299=0),"Active Zero Sales","Not Zero Sales")</x:f>
        <x:v>Not Zero Sales</x:v>
      </x:c>
      <x:c r="W299" s="12" t="n">
        <x:f>IF(V299="Active Zero Sales",U299,0)</x:f>
        <x:v>0</x:v>
      </x:c>
      <x:c r="X299" t="str">
        <x:f>IF(E299&lt;25,"Low &lt; 25",IF(E299&lt;100,"Medium 25-99",IF(E299&lt;300,"High 100-299","Premium 300+")))</x:f>
        <x:v>Medium 25-99</x:v>
      </x:c>
      <x:c r="Y299" t="n">
        <x:f>IF(C299="Active",1,0)</x:f>
        <x:v>1</x:v>
      </x:c>
    </x:row>
    <x:row r="300">
      <x:c r="A300" t="str">
        <x:v>SKU00299</x:v>
      </x:c>
      <x:c r="B300" t="str">
        <x:v>Sample Product 00299</x:v>
      </x:c>
      <x:c r="C300" t="str">
        <x:v>Active</x:v>
      </x:c>
      <x:c r="D300" t="str">
        <x:v>2026-06</x:v>
      </x:c>
      <x:c r="E300" s="12" t="n">
        <x:v>6.81</x:v>
      </x:c>
      <x:c r="F300" s="10" t="n">
        <x:v>0.48</x:v>
      </x:c>
      <x:c r="G300" t="str">
        <x:v>Personal Care</x:v>
      </x:c>
      <x:c r="H300" t="str">
        <x:v>Hair Care</x:v>
      </x:c>
      <x:c r="I300" t="str">
        <x:v>MFG009</x:v>
      </x:c>
      <x:c r="J300" t="str">
        <x:v>Manufacturer 009</x:v>
      </x:c>
      <x:c r="K300" t="str">
        <x:v>SUP013</x:v>
      </x:c>
      <x:c r="L300" t="str">
        <x:v>Supplier 013</x:v>
      </x:c>
      <x:c r="M300" t="str">
        <x:v>REG-668904</x:v>
      </x:c>
      <x:c r="N300" t="str">
        <x:v>Generic Ingredient 115</x:v>
      </x:c>
      <x:c r="O300" t="str">
        <x:v>General Sale</x:v>
      </x:c>
      <x:c r="P300" t="n">
        <x:v>28</x:v>
      </x:c>
      <x:c r="Q300" t="n">
        <x:v>19</x:v>
      </x:c>
      <x:c r="R300" t="n">
        <x:v>0</x:v>
      </x:c>
      <x:c r="S300" s="12" t="n">
        <x:f>E300*Q300</x:f>
        <x:v>129.39</x:v>
      </x:c>
      <x:c r="T300" s="12" t="n">
        <x:f>ROUND(S300*F300+0.000000001,2)</x:f>
        <x:v>62.11</x:v>
      </x:c>
      <x:c r="U300" s="12" t="n">
        <x:f>E300*R300</x:f>
        <x:v>0</x:v>
      </x:c>
      <x:c r="V300" t="str">
        <x:f>IF(AND(C300="Active",Q300=0),"Active Zero Sales","Not Zero Sales")</x:f>
        <x:v>Not Zero Sales</x:v>
      </x:c>
      <x:c r="W300" s="12" t="n">
        <x:f>IF(V300="Active Zero Sales",U300,0)</x:f>
        <x:v>0</x:v>
      </x:c>
      <x:c r="X300" t="str">
        <x:f>IF(E300&lt;25,"Low &lt; 25",IF(E300&lt;100,"Medium 25-99",IF(E300&lt;300,"High 100-299","Premium 300+")))</x:f>
        <x:v>Low &lt; 25</x:v>
      </x:c>
      <x:c r="Y300" t="n">
        <x:f>IF(C300="Active",1,0)</x:f>
        <x:v>1</x:v>
      </x:c>
    </x:row>
    <x:row r="301">
      <x:c r="A301" t="str">
        <x:v>SKU00300</x:v>
      </x:c>
      <x:c r="B301" t="str">
        <x:v>Sample Product 00300</x:v>
      </x:c>
      <x:c r="C301" t="str">
        <x:v>Active</x:v>
      </x:c>
      <x:c r="D301" t="str">
        <x:v>2026-04</x:v>
      </x:c>
      <x:c r="E301" s="12" t="n">
        <x:v>17.91</x:v>
      </x:c>
      <x:c r="F301" s="10" t="n">
        <x:v>0.231</x:v>
      </x:c>
      <x:c r="G301" t="str">
        <x:v>Nutrition</x:v>
      </x:c>
      <x:c r="H301" t="str">
        <x:v>Adult Nutrition</x:v>
      </x:c>
      <x:c r="I301" t="str">
        <x:v>MFG004</x:v>
      </x:c>
      <x:c r="J301" t="str">
        <x:v>Manufacturer 004</x:v>
      </x:c>
      <x:c r="K301" t="str">
        <x:v>SUP015</x:v>
      </x:c>
      <x:c r="L301" t="str">
        <x:v>Supplier 015</x:v>
      </x:c>
      <x:c r="M301" t="str">
        <x:v>REG-324306</x:v>
      </x:c>
      <x:c r="N301" t="str">
        <x:v>Generic Ingredient 056</x:v>
      </x:c>
      <x:c r="O301" t="str">
        <x:v>Pharmacy Only</x:v>
      </x:c>
      <x:c r="P301" t="n">
        <x:v>25</x:v>
      </x:c>
      <x:c r="Q301" t="n">
        <x:v>4</x:v>
      </x:c>
      <x:c r="R301" t="n">
        <x:v>29</x:v>
      </x:c>
      <x:c r="S301" s="12" t="n">
        <x:f>E301*Q301</x:f>
        <x:v>71.64</x:v>
      </x:c>
      <x:c r="T301" s="12" t="n">
        <x:f>ROUND(S301*F301+0.000000001,2)</x:f>
        <x:v>16.55</x:v>
      </x:c>
      <x:c r="U301" s="12" t="n">
        <x:f>E301*R301</x:f>
        <x:v>519.39</x:v>
      </x:c>
      <x:c r="V301" t="str">
        <x:f>IF(AND(C301="Active",Q301=0),"Active Zero Sales","Not Zero Sales")</x:f>
        <x:v>Not Zero Sales</x:v>
      </x:c>
      <x:c r="W301" s="12" t="n">
        <x:f>IF(V301="Active Zero Sales",U301,0)</x:f>
        <x:v>0</x:v>
      </x:c>
      <x:c r="X301" t="str">
        <x:f>IF(E301&lt;25,"Low &lt; 25",IF(E301&lt;100,"Medium 25-99",IF(E301&lt;300,"High 100-299","Premium 300+")))</x:f>
        <x:v>Low &lt; 25</x:v>
      </x:c>
      <x:c r="Y301" t="n">
        <x:f>IF(C301="Active",1,0)</x:f>
        <x:v>1</x:v>
      </x:c>
    </x:row>
    <x:row r="302">
      <x:c r="A302" t="str">
        <x:v>SKU00301</x:v>
      </x:c>
      <x:c r="B302" t="str">
        <x:v>Sample Product 00301</x:v>
      </x:c>
      <x:c r="C302" t="str">
        <x:v>Active</x:v>
      </x:c>
      <x:c r="D302" t="str">
        <x:v>2026-04</x:v>
      </x:c>
      <x:c r="E302" s="12" t="n">
        <x:v>54.12</x:v>
      </x:c>
      <x:c r="F302" s="10" t="n">
        <x:v>0.499</x:v>
      </x:c>
      <x:c r="G302" t="str">
        <x:v>Nutrition</x:v>
      </x:c>
      <x:c r="H302" t="str">
        <x:v>Sports Nutrition</x:v>
      </x:c>
      <x:c r="I302" t="str">
        <x:v>MFG005</x:v>
      </x:c>
      <x:c r="J302" t="str">
        <x:v>Manufacturer 005</x:v>
      </x:c>
      <x:c r="K302" t="str">
        <x:v>SUP024</x:v>
      </x:c>
      <x:c r="L302" t="str">
        <x:v>Supplier 024</x:v>
      </x:c>
      <x:c r="M302" t="str">
        <x:v>REG-595807</x:v>
      </x:c>
      <x:c r="N302" t="str">
        <x:v>Generic Ingredient 169</x:v>
      </x:c>
      <x:c r="O302" t="str">
        <x:v>General Sale</x:v>
      </x:c>
      <x:c r="P302" t="n">
        <x:v>65</x:v>
      </x:c>
      <x:c r="Q302" t="n">
        <x:v>30</x:v>
      </x:c>
      <x:c r="R302" t="n">
        <x:v>4</x:v>
      </x:c>
      <x:c r="S302" s="12" t="n">
        <x:f>E302*Q302</x:f>
        <x:v>1623.6</x:v>
      </x:c>
      <x:c r="T302" s="12" t="n">
        <x:f>ROUND(S302*F302+0.000000001,2)</x:f>
        <x:v>810.18</x:v>
      </x:c>
      <x:c r="U302" s="12" t="n">
        <x:f>E302*R302</x:f>
        <x:v>216.48</x:v>
      </x:c>
      <x:c r="V302" t="str">
        <x:f>IF(AND(C302="Active",Q302=0),"Active Zero Sales","Not Zero Sales")</x:f>
        <x:v>Not Zero Sales</x:v>
      </x:c>
      <x:c r="W302" s="12" t="n">
        <x:f>IF(V302="Active Zero Sales",U302,0)</x:f>
        <x:v>0</x:v>
      </x:c>
      <x:c r="X302" t="str">
        <x:f>IF(E302&lt;25,"Low &lt; 25",IF(E302&lt;100,"Medium 25-99",IF(E302&lt;300,"High 100-299","Premium 300+")))</x:f>
        <x:v>Medium 25-99</x:v>
      </x:c>
      <x:c r="Y302" t="n">
        <x:f>IF(C302="Active",1,0)</x:f>
        <x:v>1</x:v>
      </x:c>
    </x:row>
    <x:row r="303">
      <x:c r="A303" t="str">
        <x:v>SKU00302</x:v>
      </x:c>
      <x:c r="B303" t="str">
        <x:v>Sample Product 00302</x:v>
      </x:c>
      <x:c r="C303" t="str">
        <x:v>Active</x:v>
      </x:c>
      <x:c r="D303" t="str">
        <x:v>2026-06</x:v>
      </x:c>
      <x:c r="E303" s="12" t="n">
        <x:v>68.63</x:v>
      </x:c>
      <x:c r="F303" s="10" t="n">
        <x:v>0.411</x:v>
      </x:c>
      <x:c r="G303" t="str">
        <x:v>Personal Care</x:v>
      </x:c>
      <x:c r="H303" t="str">
        <x:v>Oral Care</x:v>
      </x:c>
      <x:c r="I303" t="str">
        <x:v>MFG003</x:v>
      </x:c>
      <x:c r="J303" t="str">
        <x:v>Manufacturer 003</x:v>
      </x:c>
      <x:c r="K303" t="str">
        <x:v>SUP027</x:v>
      </x:c>
      <x:c r="L303" t="str">
        <x:v>Supplier 027</x:v>
      </x:c>
      <x:c r="M303" t="str">
        <x:v>REG-376505</x:v>
      </x:c>
      <x:c r="N303" t="str">
        <x:v>Generic Ingredient 057</x:v>
      </x:c>
      <x:c r="O303" t="str">
        <x:v>General Sale</x:v>
      </x:c>
      <x:c r="P303" t="n">
        <x:v>111</x:v>
      </x:c>
      <x:c r="Q303" t="n">
        <x:v>85</x:v>
      </x:c>
      <x:c r="R303" t="n">
        <x:v>25</x:v>
      </x:c>
      <x:c r="S303" s="12" t="n">
        <x:f>E303*Q303</x:f>
        <x:v>5833.549999999999</x:v>
      </x:c>
      <x:c r="T303" s="12" t="n">
        <x:f>ROUND(S303*F303+0.000000001,2)</x:f>
        <x:v>2397.59</x:v>
      </x:c>
      <x:c r="U303" s="12" t="n">
        <x:f>E303*R303</x:f>
        <x:v>1715.75</x:v>
      </x:c>
      <x:c r="V303" t="str">
        <x:f>IF(AND(C303="Active",Q303=0),"Active Zero Sales","Not Zero Sales")</x:f>
        <x:v>Not Zero Sales</x:v>
      </x:c>
      <x:c r="W303" s="12" t="n">
        <x:f>IF(V303="Active Zero Sales",U303,0)</x:f>
        <x:v>0</x:v>
      </x:c>
      <x:c r="X303" t="str">
        <x:f>IF(E303&lt;25,"Low &lt; 25",IF(E303&lt;100,"Medium 25-99",IF(E303&lt;300,"High 100-299","Premium 300+")))</x:f>
        <x:v>Medium 25-99</x:v>
      </x:c>
      <x:c r="Y303" t="n">
        <x:f>IF(C303="Active",1,0)</x:f>
        <x:v>1</x:v>
      </x:c>
    </x:row>
    <x:row r="304">
      <x:c r="A304" t="str">
        <x:v>SKU00303</x:v>
      </x:c>
      <x:c r="B304" t="str">
        <x:v>Sample Product 00303</x:v>
      </x:c>
      <x:c r="C304" t="str">
        <x:v>Active</x:v>
      </x:c>
      <x:c r="D304" t="str">
        <x:v>2026-06</x:v>
      </x:c>
      <x:c r="E304" s="12" t="n">
        <x:v>69.41</x:v>
      </x:c>
      <x:c r="F304" s="10" t="n">
        <x:v>0.407</x:v>
      </x:c>
      <x:c r="G304" t="str">
        <x:v>Nutrition</x:v>
      </x:c>
      <x:c r="H304" t="str">
        <x:v>Hydration</x:v>
      </x:c>
      <x:c r="I304" t="str">
        <x:v>MFG016</x:v>
      </x:c>
      <x:c r="J304" t="str">
        <x:v>Manufacturer 016</x:v>
      </x:c>
      <x:c r="K304" t="str">
        <x:v>SUP005</x:v>
      </x:c>
      <x:c r="L304" t="str">
        <x:v>Supplier 005</x:v>
      </x:c>
      <x:c r="M304" t="str">
        <x:v>REG-999199</x:v>
      </x:c>
      <x:c r="N304" t="str">
        <x:v>Generic Ingredient 124</x:v>
      </x:c>
      <x:c r="O304" t="str">
        <x:v>Pharmacy Only</x:v>
      </x:c>
      <x:c r="P304" t="n">
        <x:v>71</x:v>
      </x:c>
      <x:c r="Q304" t="n">
        <x:v>59</x:v>
      </x:c>
      <x:c r="R304" t="n">
        <x:v>20</x:v>
      </x:c>
      <x:c r="S304" s="12" t="n">
        <x:f>E304*Q304</x:f>
        <x:v>4095.1899999999996</x:v>
      </x:c>
      <x:c r="T304" s="12" t="n">
        <x:f>ROUND(S304*F304+0.000000001,2)</x:f>
        <x:v>1666.74</x:v>
      </x:c>
      <x:c r="U304" s="12" t="n">
        <x:f>E304*R304</x:f>
        <x:v>1388.1999999999998</x:v>
      </x:c>
      <x:c r="V304" t="str">
        <x:f>IF(AND(C304="Active",Q304=0),"Active Zero Sales","Not Zero Sales")</x:f>
        <x:v>Not Zero Sales</x:v>
      </x:c>
      <x:c r="W304" s="12" t="n">
        <x:f>IF(V304="Active Zero Sales",U304,0)</x:f>
        <x:v>0</x:v>
      </x:c>
      <x:c r="X304" t="str">
        <x:f>IF(E304&lt;25,"Low &lt; 25",IF(E304&lt;100,"Medium 25-99",IF(E304&lt;300,"High 100-299","Premium 300+")))</x:f>
        <x:v>Medium 25-99</x:v>
      </x:c>
      <x:c r="Y304" t="n">
        <x:f>IF(C304="Active",1,0)</x:f>
        <x:v>1</x:v>
      </x:c>
    </x:row>
    <x:row r="305">
      <x:c r="A305" t="str">
        <x:v>SKU00304</x:v>
      </x:c>
      <x:c r="B305" t="str">
        <x:v>Sample Product 00304</x:v>
      </x:c>
      <x:c r="C305" t="str">
        <x:v>Blocked</x:v>
      </x:c>
      <x:c r="D305" t="str">
        <x:v>2026-01</x:v>
      </x:c>
      <x:c r="E305" s="12" t="n">
        <x:v>30.33</x:v>
      </x:c>
      <x:c r="F305" s="10" t="n">
        <x:v>0.233</x:v>
      </x:c>
      <x:c r="G305" t="str">
        <x:v>Nutrition</x:v>
      </x:c>
      <x:c r="H305" t="str">
        <x:v>Hydration</x:v>
      </x:c>
      <x:c r="I305" t="str">
        <x:v>MFG012</x:v>
      </x:c>
      <x:c r="J305" t="str">
        <x:v>Manufacturer 012</x:v>
      </x:c>
      <x:c r="K305" t="str">
        <x:v>SUP008</x:v>
      </x:c>
      <x:c r="L305" t="str">
        <x:v>Supplier 008</x:v>
      </x:c>
      <x:c r="M305" t="str">
        <x:v>REG-253761</x:v>
      </x:c>
      <x:c r="N305" t="str">
        <x:v>Generic Ingredient 101</x:v>
      </x:c>
      <x:c r="O305" t="str">
        <x:v>Pharmacy Only</x:v>
      </x:c>
      <x:c r="P305" t="n">
        <x:v>15</x:v>
      </x:c>
      <x:c r="Q305" t="n">
        <x:v>0</x:v>
      </x:c>
      <x:c r="R305" t="n">
        <x:v>4</x:v>
      </x:c>
      <x:c r="S305" s="12" t="n">
        <x:f>E305*Q305</x:f>
        <x:v>0</x:v>
      </x:c>
      <x:c r="T305" s="12" t="n">
        <x:f>ROUND(S305*F305+0.000000001,2)</x:f>
        <x:v>0</x:v>
      </x:c>
      <x:c r="U305" s="12" t="n">
        <x:f>E305*R305</x:f>
        <x:v>121.32</x:v>
      </x:c>
      <x:c r="V305" t="str">
        <x:f>IF(AND(C305="Active",Q305=0),"Active Zero Sales","Not Zero Sales")</x:f>
        <x:v>Not Zero Sales</x:v>
      </x:c>
      <x:c r="W305" s="12" t="n">
        <x:f>IF(V305="Active Zero Sales",U305,0)</x:f>
        <x:v>0</x:v>
      </x:c>
      <x:c r="X305" t="str">
        <x:f>IF(E305&lt;25,"Low &lt; 25",IF(E305&lt;100,"Medium 25-99",IF(E305&lt;300,"High 100-299","Premium 300+")))</x:f>
        <x:v>Medium 25-99</x:v>
      </x:c>
      <x:c r="Y305" t="n">
        <x:f>IF(C305="Active",1,0)</x:f>
        <x:v>0</x:v>
      </x:c>
    </x:row>
    <x:row r="306">
      <x:c r="A306" t="str">
        <x:v>SKU00305</x:v>
      </x:c>
      <x:c r="B306" t="str">
        <x:v>Sample Product 00305</x:v>
      </x:c>
      <x:c r="C306" t="str">
        <x:v>Active</x:v>
      </x:c>
      <x:c r="D306" t="str">
        <x:v>2026-02</x:v>
      </x:c>
      <x:c r="E306" s="12" t="n">
        <x:v>57.14</x:v>
      </x:c>
      <x:c r="F306" s="10" t="n">
        <x:v>0.516</x:v>
      </x:c>
      <x:c r="G306" t="str">
        <x:v>General Merchandise</x:v>
      </x:c>
      <x:c r="H306" t="str">
        <x:v>Seasonal Care</x:v>
      </x:c>
      <x:c r="I306" t="str">
        <x:v>MFG013</x:v>
      </x:c>
      <x:c r="J306" t="str">
        <x:v>Manufacturer 013</x:v>
      </x:c>
      <x:c r="K306" t="str">
        <x:v>SUP011</x:v>
      </x:c>
      <x:c r="L306" t="str">
        <x:v>Supplier 011</x:v>
      </x:c>
      <x:c r="M306" t="str">
        <x:v>REG-406910</x:v>
      </x:c>
      <x:c r="N306" t="str">
        <x:v>Generic Ingredient 104</x:v>
      </x:c>
      <x:c r="O306" t="str">
        <x:v>General Sale</x:v>
      </x:c>
      <x:c r="P306" t="n">
        <x:v>37</x:v>
      </x:c>
      <x:c r="Q306" t="n">
        <x:v>0</x:v>
      </x:c>
      <x:c r="R306" t="n">
        <x:v>1</x:v>
      </x:c>
      <x:c r="S306" s="12" t="n">
        <x:f>E306*Q306</x:f>
        <x:v>0</x:v>
      </x:c>
      <x:c r="T306" s="12" t="n">
        <x:f>ROUND(S306*F306+0.000000001,2)</x:f>
        <x:v>0</x:v>
      </x:c>
      <x:c r="U306" s="12" t="n">
        <x:f>E306*R306</x:f>
        <x:v>57.14</x:v>
      </x:c>
      <x:c r="V306" t="str">
        <x:f>IF(AND(C306="Active",Q306=0),"Active Zero Sales","Not Zero Sales")</x:f>
        <x:v>Active Zero Sales</x:v>
      </x:c>
      <x:c r="W306" s="12" t="n">
        <x:f>IF(V306="Active Zero Sales",U306,0)</x:f>
        <x:v>57.14</x:v>
      </x:c>
      <x:c r="X306" t="str">
        <x:f>IF(E306&lt;25,"Low &lt; 25",IF(E306&lt;100,"Medium 25-99",IF(E306&lt;300,"High 100-299","Premium 300+")))</x:f>
        <x:v>Medium 25-99</x:v>
      </x:c>
      <x:c r="Y306" t="n">
        <x:f>IF(C306="Active",1,0)</x:f>
        <x:v>1</x:v>
      </x:c>
    </x:row>
    <x:row r="307">
      <x:c r="A307" t="str">
        <x:v>SKU00306</x:v>
      </x:c>
      <x:c r="B307" t="str">
        <x:v>Sample Product 00306</x:v>
      </x:c>
      <x:c r="C307" t="str">
        <x:v>Active</x:v>
      </x:c>
      <x:c r="D307" t="str">
        <x:v>2026-03</x:v>
      </x:c>
      <x:c r="E307" s="12" t="n">
        <x:v>235.64</x:v>
      </x:c>
      <x:c r="F307" s="10" t="n">
        <x:v>0.309</x:v>
      </x:c>
      <x:c r="G307" t="str">
        <x:v>Medical Devices</x:v>
      </x:c>
      <x:c r="H307" t="str">
        <x:v>Home Diagnostics</x:v>
      </x:c>
      <x:c r="I307" t="str">
        <x:v>MFG005</x:v>
      </x:c>
      <x:c r="J307" t="str">
        <x:v>Manufacturer 005</x:v>
      </x:c>
      <x:c r="K307" t="str">
        <x:v>SUP003</x:v>
      </x:c>
      <x:c r="L307" t="str">
        <x:v>Supplier 003</x:v>
      </x:c>
      <x:c r="M307" t="str">
        <x:v>REG-868884</x:v>
      </x:c>
      <x:c r="N307" t="str">
        <x:v>Generic Ingredient 042</x:v>
      </x:c>
      <x:c r="O307" t="str">
        <x:v>General Sale</x:v>
      </x:c>
      <x:c r="P307" t="n">
        <x:v>57</x:v>
      </x:c>
      <x:c r="Q307" t="n">
        <x:v>7</x:v>
      </x:c>
      <x:c r="R307" t="n">
        <x:v>0</x:v>
      </x:c>
      <x:c r="S307" s="12" t="n">
        <x:f>E307*Q307</x:f>
        <x:v>1649.48</x:v>
      </x:c>
      <x:c r="T307" s="12" t="n">
        <x:f>ROUND(S307*F307+0.000000001,2)</x:f>
        <x:v>509.69</x:v>
      </x:c>
      <x:c r="U307" s="12" t="n">
        <x:f>E307*R307</x:f>
        <x:v>0</x:v>
      </x:c>
      <x:c r="V307" t="str">
        <x:f>IF(AND(C307="Active",Q307=0),"Active Zero Sales","Not Zero Sales")</x:f>
        <x:v>Not Zero Sales</x:v>
      </x:c>
      <x:c r="W307" s="12" t="n">
        <x:f>IF(V307="Active Zero Sales",U307,0)</x:f>
        <x:v>0</x:v>
      </x:c>
      <x:c r="X307" t="str">
        <x:f>IF(E307&lt;25,"Low &lt; 25",IF(E307&lt;100,"Medium 25-99",IF(E307&lt;300,"High 100-299","Premium 300+")))</x:f>
        <x:v>High 100-299</x:v>
      </x:c>
      <x:c r="Y307" t="n">
        <x:f>IF(C307="Active",1,0)</x:f>
        <x:v>1</x:v>
      </x:c>
    </x:row>
    <x:row r="308">
      <x:c r="A308" t="str">
        <x:v>SKU00307</x:v>
      </x:c>
      <x:c r="B308" t="str">
        <x:v>Sample Product 00307</x:v>
      </x:c>
      <x:c r="C308" t="str">
        <x:v>Blocked</x:v>
      </x:c>
      <x:c r="D308" t="str">
        <x:v>2026-03</x:v>
      </x:c>
      <x:c r="E308" s="12" t="n">
        <x:v>54.08</x:v>
      </x:c>
      <x:c r="F308" s="10" t="n">
        <x:v>0.43</x:v>
      </x:c>
      <x:c r="G308" t="str">
        <x:v>General Merchandise</x:v>
      </x:c>
      <x:c r="H308" t="str">
        <x:v>Travel Health</x:v>
      </x:c>
      <x:c r="I308" t="str">
        <x:v>MFG013</x:v>
      </x:c>
      <x:c r="J308" t="str">
        <x:v>Manufacturer 013</x:v>
      </x:c>
      <x:c r="K308" t="str">
        <x:v>SUP019</x:v>
      </x:c>
      <x:c r="L308" t="str">
        <x:v>Supplier 019</x:v>
      </x:c>
      <x:c r="M308" t="str">
        <x:v>REG-967940</x:v>
      </x:c>
      <x:c r="N308" t="str">
        <x:v>Generic Ingredient 075</x:v>
      </x:c>
      <x:c r="O308" t="str">
        <x:v>General Sale</x:v>
      </x:c>
      <x:c r="P308" t="n">
        <x:v>58</x:v>
      </x:c>
      <x:c r="Q308" t="n">
        <x:v>27</x:v>
      </x:c>
      <x:c r="R308" t="n">
        <x:v>0</x:v>
      </x:c>
      <x:c r="S308" s="12" t="n">
        <x:f>E308*Q308</x:f>
        <x:v>1460.1599999999999</x:v>
      </x:c>
      <x:c r="T308" s="12" t="n">
        <x:f>ROUND(S308*F308+0.000000001,2)</x:f>
        <x:v>627.87</x:v>
      </x:c>
      <x:c r="U308" s="12" t="n">
        <x:f>E308*R308</x:f>
        <x:v>0</x:v>
      </x:c>
      <x:c r="V308" t="str">
        <x:f>IF(AND(C308="Active",Q308=0),"Active Zero Sales","Not Zero Sales")</x:f>
        <x:v>Not Zero Sales</x:v>
      </x:c>
      <x:c r="W308" s="12" t="n">
        <x:f>IF(V308="Active Zero Sales",U308,0)</x:f>
        <x:v>0</x:v>
      </x:c>
      <x:c r="X308" t="str">
        <x:f>IF(E308&lt;25,"Low &lt; 25",IF(E308&lt;100,"Medium 25-99",IF(E308&lt;300,"High 100-299","Premium 300+")))</x:f>
        <x:v>Medium 25-99</x:v>
      </x:c>
      <x:c r="Y308" t="n">
        <x:f>IF(C308="Active",1,0)</x:f>
        <x:v>0</x:v>
      </x:c>
    </x:row>
    <x:row r="309">
      <x:c r="A309" t="str">
        <x:v>SKU00308</x:v>
      </x:c>
      <x:c r="B309" t="str">
        <x:v>Sample Product 00308</x:v>
      </x:c>
      <x:c r="C309" t="str">
        <x:v>Blocked</x:v>
      </x:c>
      <x:c r="D309" t="str">
        <x:v>2026-04</x:v>
      </x:c>
      <x:c r="E309" s="12" t="n">
        <x:v>58.6</x:v>
      </x:c>
      <x:c r="F309" s="10" t="n">
        <x:v>0.249</x:v>
      </x:c>
      <x:c r="G309" t="str">
        <x:v>General Merchandise</x:v>
      </x:c>
      <x:c r="H309" t="str">
        <x:v>Accessories</x:v>
      </x:c>
      <x:c r="I309" t="str">
        <x:v>MFG016</x:v>
      </x:c>
      <x:c r="J309" t="str">
        <x:v>Manufacturer 016</x:v>
      </x:c>
      <x:c r="K309" t="str">
        <x:v>SUP022</x:v>
      </x:c>
      <x:c r="L309" t="str">
        <x:v>Supplier 022</x:v>
      </x:c>
      <x:c r="M309" t="str">
        <x:v>REG-573682</x:v>
      </x:c>
      <x:c r="N309" t="str">
        <x:v>Generic Ingredient 058</x:v>
      </x:c>
      <x:c r="O309" t="str">
        <x:v>General Sale</x:v>
      </x:c>
      <x:c r="P309" t="n">
        <x:v>0</x:v>
      </x:c>
      <x:c r="Q309" t="n">
        <x:v>0</x:v>
      </x:c>
      <x:c r="R309" t="n">
        <x:v>0</x:v>
      </x:c>
      <x:c r="S309" s="12" t="n">
        <x:f>E309*Q309</x:f>
        <x:v>0</x:v>
      </x:c>
      <x:c r="T309" s="12" t="n">
        <x:f>ROUND(S309*F309+0.000000001,2)</x:f>
        <x:v>0</x:v>
      </x:c>
      <x:c r="U309" s="12" t="n">
        <x:f>E309*R309</x:f>
        <x:v>0</x:v>
      </x:c>
      <x:c r="V309" t="str">
        <x:f>IF(AND(C309="Active",Q309=0),"Active Zero Sales","Not Zero Sales")</x:f>
        <x:v>Not Zero Sales</x:v>
      </x:c>
      <x:c r="W309" s="12" t="n">
        <x:f>IF(V309="Active Zero Sales",U309,0)</x:f>
        <x:v>0</x:v>
      </x:c>
      <x:c r="X309" t="str">
        <x:f>IF(E309&lt;25,"Low &lt; 25",IF(E309&lt;100,"Medium 25-99",IF(E309&lt;300,"High 100-299","Premium 300+")))</x:f>
        <x:v>Medium 25-99</x:v>
      </x:c>
      <x:c r="Y309" t="n">
        <x:f>IF(C309="Active",1,0)</x:f>
        <x:v>0</x:v>
      </x:c>
    </x:row>
    <x:row r="310">
      <x:c r="A310" t="str">
        <x:v>SKU00309</x:v>
      </x:c>
      <x:c r="B310" t="str">
        <x:v>Sample Product 00309</x:v>
      </x:c>
      <x:c r="C310" t="str">
        <x:v>Active</x:v>
      </x:c>
      <x:c r="D310" t="str">
        <x:v>2026-03</x:v>
      </x:c>
      <x:c r="E310" s="12" t="n">
        <x:v>218.14</x:v>
      </x:c>
      <x:c r="F310" s="10" t="n">
        <x:v>0.348</x:v>
      </x:c>
      <x:c r="G310" t="str">
        <x:v>General Merchandise</x:v>
      </x:c>
      <x:c r="H310" t="str">
        <x:v>Travel Health</x:v>
      </x:c>
      <x:c r="I310" t="str">
        <x:v>MFG019</x:v>
      </x:c>
      <x:c r="J310" t="str">
        <x:v>Manufacturer 019</x:v>
      </x:c>
      <x:c r="K310" t="str">
        <x:v>SUP019</x:v>
      </x:c>
      <x:c r="L310" t="str">
        <x:v>Supplier 019</x:v>
      </x:c>
      <x:c r="M310" t="str">
        <x:v>REG-189456</x:v>
      </x:c>
      <x:c r="N310" t="str">
        <x:v>Generic Ingredient 101</x:v>
      </x:c>
      <x:c r="O310" t="str">
        <x:v>General Sale</x:v>
      </x:c>
      <x:c r="P310" t="n">
        <x:v>73</x:v>
      </x:c>
      <x:c r="Q310" t="n">
        <x:v>11</x:v>
      </x:c>
      <x:c r="R310" t="n">
        <x:v>25</x:v>
      </x:c>
      <x:c r="S310" s="12" t="n">
        <x:f>E310*Q310</x:f>
        <x:v>2399.54</x:v>
      </x:c>
      <x:c r="T310" s="12" t="n">
        <x:f>ROUND(S310*F310+0.000000001,2)</x:f>
        <x:v>835.04</x:v>
      </x:c>
      <x:c r="U310" s="12" t="n">
        <x:f>E310*R310</x:f>
        <x:v>5453.5</x:v>
      </x:c>
      <x:c r="V310" t="str">
        <x:f>IF(AND(C310="Active",Q310=0),"Active Zero Sales","Not Zero Sales")</x:f>
        <x:v>Not Zero Sales</x:v>
      </x:c>
      <x:c r="W310" s="12" t="n">
        <x:f>IF(V310="Active Zero Sales",U310,0)</x:f>
        <x:v>0</x:v>
      </x:c>
      <x:c r="X310" t="str">
        <x:f>IF(E310&lt;25,"Low &lt; 25",IF(E310&lt;100,"Medium 25-99",IF(E310&lt;300,"High 100-299","Premium 300+")))</x:f>
        <x:v>High 100-299</x:v>
      </x:c>
      <x:c r="Y310" t="n">
        <x:f>IF(C310="Active",1,0)</x:f>
        <x:v>1</x:v>
      </x:c>
    </x:row>
    <x:row r="311">
      <x:c r="A311" t="str">
        <x:v>SKU00310</x:v>
      </x:c>
      <x:c r="B311" t="str">
        <x:v>Sample Product 00310</x:v>
      </x:c>
      <x:c r="C311" t="str">
        <x:v>Blocked</x:v>
      </x:c>
      <x:c r="D311" t="str">
        <x:v>2026-06</x:v>
      </x:c>
      <x:c r="E311" s="12" t="n">
        <x:v>74.48</x:v>
      </x:c>
      <x:c r="F311" s="10" t="n">
        <x:v>0.322</x:v>
      </x:c>
      <x:c r="G311" t="str">
        <x:v>Nutrition</x:v>
      </x:c>
      <x:c r="H311" t="str">
        <x:v>Adult Nutrition</x:v>
      </x:c>
      <x:c r="I311" t="str">
        <x:v>MFG020</x:v>
      </x:c>
      <x:c r="J311" t="str">
        <x:v>Manufacturer 020</x:v>
      </x:c>
      <x:c r="K311" t="str">
        <x:v>SUP024</x:v>
      </x:c>
      <x:c r="L311" t="str">
        <x:v>Supplier 024</x:v>
      </x:c>
      <x:c r="M311" t="str">
        <x:v>REG-812644</x:v>
      </x:c>
      <x:c r="N311" t="str">
        <x:v>Generic Ingredient 066</x:v>
      </x:c>
      <x:c r="O311" t="str">
        <x:v>General Sale</x:v>
      </x:c>
      <x:c r="P311" t="n">
        <x:v>0</x:v>
      </x:c>
      <x:c r="Q311" t="n">
        <x:v>0</x:v>
      </x:c>
      <x:c r="R311" t="n">
        <x:v>0</x:v>
      </x:c>
      <x:c r="S311" s="12" t="n">
        <x:f>E311*Q311</x:f>
        <x:v>0</x:v>
      </x:c>
      <x:c r="T311" s="12" t="n">
        <x:f>ROUND(S311*F311+0.000000001,2)</x:f>
        <x:v>0</x:v>
      </x:c>
      <x:c r="U311" s="12" t="n">
        <x:f>E311*R311</x:f>
        <x:v>0</x:v>
      </x:c>
      <x:c r="V311" t="str">
        <x:f>IF(AND(C311="Active",Q311=0),"Active Zero Sales","Not Zero Sales")</x:f>
        <x:v>Not Zero Sales</x:v>
      </x:c>
      <x:c r="W311" s="12" t="n">
        <x:f>IF(V311="Active Zero Sales",U311,0)</x:f>
        <x:v>0</x:v>
      </x:c>
      <x:c r="X311" t="str">
        <x:f>IF(E311&lt;25,"Low &lt; 25",IF(E311&lt;100,"Medium 25-99",IF(E311&lt;300,"High 100-299","Premium 300+")))</x:f>
        <x:v>Medium 25-99</x:v>
      </x:c>
      <x:c r="Y311" t="n">
        <x:f>IF(C311="Active",1,0)</x:f>
        <x:v>0</x:v>
      </x:c>
    </x:row>
    <x:row r="312">
      <x:c r="A312" t="str">
        <x:v>SKU00311</x:v>
      </x:c>
      <x:c r="B312" t="str">
        <x:v>Sample Product 00311</x:v>
      </x:c>
      <x:c r="C312" t="str">
        <x:v>Active</x:v>
      </x:c>
      <x:c r="D312" t="str">
        <x:v>2026-04</x:v>
      </x:c>
      <x:c r="E312" s="12" t="n">
        <x:v>8.15</x:v>
      </x:c>
      <x:c r="F312" s="10" t="n">
        <x:v>0.371</x:v>
      </x:c>
      <x:c r="G312" t="str">
        <x:v>Personal Care</x:v>
      </x:c>
      <x:c r="H312" t="str">
        <x:v>Hygiene</x:v>
      </x:c>
      <x:c r="I312" t="str">
        <x:v>MFG008</x:v>
      </x:c>
      <x:c r="J312" t="str">
        <x:v>Manufacturer 008</x:v>
      </x:c>
      <x:c r="K312" t="str">
        <x:v>SUP008</x:v>
      </x:c>
      <x:c r="L312" t="str">
        <x:v>Supplier 008</x:v>
      </x:c>
      <x:c r="M312" t="str">
        <x:v>REG-892562</x:v>
      </x:c>
      <x:c r="N312" t="str">
        <x:v>Generic Ingredient 040</x:v>
      </x:c>
      <x:c r="O312" t="str">
        <x:v>General Sale</x:v>
      </x:c>
      <x:c r="P312" t="n">
        <x:v>78</x:v>
      </x:c>
      <x:c r="Q312" t="n">
        <x:v>43</x:v>
      </x:c>
      <x:c r="R312" t="n">
        <x:v>24</x:v>
      </x:c>
      <x:c r="S312" s="12" t="n">
        <x:f>E312*Q312</x:f>
        <x:v>350.45</x:v>
      </x:c>
      <x:c r="T312" s="12" t="n">
        <x:f>ROUND(S312*F312+0.000000001,2)</x:f>
        <x:v>130.02</x:v>
      </x:c>
      <x:c r="U312" s="12" t="n">
        <x:f>E312*R312</x:f>
        <x:v>195.60000000000002</x:v>
      </x:c>
      <x:c r="V312" t="str">
        <x:f>IF(AND(C312="Active",Q312=0),"Active Zero Sales","Not Zero Sales")</x:f>
        <x:v>Not Zero Sales</x:v>
      </x:c>
      <x:c r="W312" s="12" t="n">
        <x:f>IF(V312="Active Zero Sales",U312,0)</x:f>
        <x:v>0</x:v>
      </x:c>
      <x:c r="X312" t="str">
        <x:f>IF(E312&lt;25,"Low &lt; 25",IF(E312&lt;100,"Medium 25-99",IF(E312&lt;300,"High 100-299","Premium 300+")))</x:f>
        <x:v>Low &lt; 25</x:v>
      </x:c>
      <x:c r="Y312" t="n">
        <x:f>IF(C312="Active",1,0)</x:f>
        <x:v>1</x:v>
      </x:c>
    </x:row>
    <x:row r="313">
      <x:c r="A313" t="str">
        <x:v>SKU00312</x:v>
      </x:c>
      <x:c r="B313" t="str">
        <x:v>Sample Product 00312</x:v>
      </x:c>
      <x:c r="C313" t="str">
        <x:v>Active</x:v>
      </x:c>
      <x:c r="D313" t="str">
        <x:v>2026-04</x:v>
      </x:c>
      <x:c r="E313" s="12" t="n">
        <x:v>37.63</x:v>
      </x:c>
      <x:c r="F313" s="10" t="n">
        <x:v>0.484</x:v>
      </x:c>
      <x:c r="G313" t="str">
        <x:v>OTC &amp; Wellness</x:v>
      </x:c>
      <x:c r="H313" t="str">
        <x:v>Pain Relief</x:v>
      </x:c>
      <x:c r="I313" t="str">
        <x:v>MFG016</x:v>
      </x:c>
      <x:c r="J313" t="str">
        <x:v>Manufacturer 016</x:v>
      </x:c>
      <x:c r="K313" t="str">
        <x:v>SUP006</x:v>
      </x:c>
      <x:c r="L313" t="str">
        <x:v>Supplier 006</x:v>
      </x:c>
      <x:c r="M313" t="str">
        <x:v>REG-500932</x:v>
      </x:c>
      <x:c r="N313" t="str">
        <x:v>Generic Ingredient 069</x:v>
      </x:c>
      <x:c r="O313" t="str">
        <x:v>General Sale</x:v>
      </x:c>
      <x:c r="P313" t="n">
        <x:v>144</x:v>
      </x:c>
      <x:c r="Q313" t="n">
        <x:v>88</x:v>
      </x:c>
      <x:c r="R313" t="n">
        <x:v>28</x:v>
      </x:c>
      <x:c r="S313" s="12" t="n">
        <x:f>E313*Q313</x:f>
        <x:v>3311.44</x:v>
      </x:c>
      <x:c r="T313" s="12" t="n">
        <x:f>ROUND(S313*F313+0.000000001,2)</x:f>
        <x:v>1602.74</x:v>
      </x:c>
      <x:c r="U313" s="12" t="n">
        <x:f>E313*R313</x:f>
        <x:v>1053.64</x:v>
      </x:c>
      <x:c r="V313" t="str">
        <x:f>IF(AND(C313="Active",Q313=0),"Active Zero Sales","Not Zero Sales")</x:f>
        <x:v>Not Zero Sales</x:v>
      </x:c>
      <x:c r="W313" s="12" t="n">
        <x:f>IF(V313="Active Zero Sales",U313,0)</x:f>
        <x:v>0</x:v>
      </x:c>
      <x:c r="X313" t="str">
        <x:f>IF(E313&lt;25,"Low &lt; 25",IF(E313&lt;100,"Medium 25-99",IF(E313&lt;300,"High 100-299","Premium 300+")))</x:f>
        <x:v>Medium 25-99</x:v>
      </x:c>
      <x:c r="Y313" t="n">
        <x:f>IF(C313="Active",1,0)</x:f>
        <x:v>1</x:v>
      </x:c>
    </x:row>
    <x:row r="314">
      <x:c r="A314" t="str">
        <x:v>SKU00313</x:v>
      </x:c>
      <x:c r="B314" t="str">
        <x:v>Sample Product 00313</x:v>
      </x:c>
      <x:c r="C314" t="str">
        <x:v>Active</x:v>
      </x:c>
      <x:c r="D314" t="str">
        <x:v>2026-06</x:v>
      </x:c>
      <x:c r="E314" s="12" t="n">
        <x:v>23.68</x:v>
      </x:c>
      <x:c r="F314" s="10" t="n">
        <x:v>0.444</x:v>
      </x:c>
      <x:c r="G314" t="str">
        <x:v>Personal Care</x:v>
      </x:c>
      <x:c r="H314" t="str">
        <x:v>Hygiene</x:v>
      </x:c>
      <x:c r="I314" t="str">
        <x:v>MFG018</x:v>
      </x:c>
      <x:c r="J314" t="str">
        <x:v>Manufacturer 018</x:v>
      </x:c>
      <x:c r="K314" t="str">
        <x:v>SUP004</x:v>
      </x:c>
      <x:c r="L314" t="str">
        <x:v>Supplier 004</x:v>
      </x:c>
      <x:c r="M314" t="str">
        <x:v>REG-157869</x:v>
      </x:c>
      <x:c r="N314" t="str">
        <x:v>Generic Ingredient 074</x:v>
      </x:c>
      <x:c r="O314" t="str">
        <x:v>General Sale</x:v>
      </x:c>
      <x:c r="P314" t="n">
        <x:v>64</x:v>
      </x:c>
      <x:c r="Q314" t="n">
        <x:v>2</x:v>
      </x:c>
      <x:c r="R314" t="n">
        <x:v>12</x:v>
      </x:c>
      <x:c r="S314" s="12" t="n">
        <x:f>E314*Q314</x:f>
        <x:v>47.36</x:v>
      </x:c>
      <x:c r="T314" s="12" t="n">
        <x:f>ROUND(S314*F314+0.000000001,2)</x:f>
        <x:v>21.03</x:v>
      </x:c>
      <x:c r="U314" s="12" t="n">
        <x:f>E314*R314</x:f>
        <x:v>284.15999999999997</x:v>
      </x:c>
      <x:c r="V314" t="str">
        <x:f>IF(AND(C314="Active",Q314=0),"Active Zero Sales","Not Zero Sales")</x:f>
        <x:v>Not Zero Sales</x:v>
      </x:c>
      <x:c r="W314" s="12" t="n">
        <x:f>IF(V314="Active Zero Sales",U314,0)</x:f>
        <x:v>0</x:v>
      </x:c>
      <x:c r="X314" t="str">
        <x:f>IF(E314&lt;25,"Low &lt; 25",IF(E314&lt;100,"Medium 25-99",IF(E314&lt;300,"High 100-299","Premium 300+")))</x:f>
        <x:v>Low &lt; 25</x:v>
      </x:c>
      <x:c r="Y314" t="n">
        <x:f>IF(C314="Active",1,0)</x:f>
        <x:v>1</x:v>
      </x:c>
    </x:row>
    <x:row r="315">
      <x:c r="A315" t="str">
        <x:v>SKU00314</x:v>
      </x:c>
      <x:c r="B315" t="str">
        <x:v>Sample Product 00314</x:v>
      </x:c>
      <x:c r="C315" t="str">
        <x:v>Active</x:v>
      </x:c>
      <x:c r="D315" t="str">
        <x:v>2026-04</x:v>
      </x:c>
      <x:c r="E315" s="12" t="n">
        <x:v>53.2</x:v>
      </x:c>
      <x:c r="F315" s="10" t="n">
        <x:v>0.34</x:v>
      </x:c>
      <x:c r="G315" t="str">
        <x:v>Personal Care</x:v>
      </x:c>
      <x:c r="H315" t="str">
        <x:v>Hygiene</x:v>
      </x:c>
      <x:c r="I315" t="str">
        <x:v>MFG014</x:v>
      </x:c>
      <x:c r="J315" t="str">
        <x:v>Manufacturer 014</x:v>
      </x:c>
      <x:c r="K315" t="str">
        <x:v>SUP015</x:v>
      </x:c>
      <x:c r="L315" t="str">
        <x:v>Supplier 015</x:v>
      </x:c>
      <x:c r="M315" t="str">
        <x:v>REG-497051</x:v>
      </x:c>
      <x:c r="N315" t="str">
        <x:v>Generic Ingredient 159</x:v>
      </x:c>
      <x:c r="O315" t="str">
        <x:v>General Sale</x:v>
      </x:c>
      <x:c r="P315" t="n">
        <x:v>29</x:v>
      </x:c>
      <x:c r="Q315" t="n">
        <x:v>19</x:v>
      </x:c>
      <x:c r="R315" t="n">
        <x:v>14</x:v>
      </x:c>
      <x:c r="S315" s="12" t="n">
        <x:f>E315*Q315</x:f>
        <x:v>1010.8000000000001</x:v>
      </x:c>
      <x:c r="T315" s="12" t="n">
        <x:f>ROUND(S315*F315+0.000000001,2)</x:f>
        <x:v>343.67</x:v>
      </x:c>
      <x:c r="U315" s="12" t="n">
        <x:f>E315*R315</x:f>
        <x:v>744.8000000000001</x:v>
      </x:c>
      <x:c r="V315" t="str">
        <x:f>IF(AND(C315="Active",Q315=0),"Active Zero Sales","Not Zero Sales")</x:f>
        <x:v>Not Zero Sales</x:v>
      </x:c>
      <x:c r="W315" s="12" t="n">
        <x:f>IF(V315="Active Zero Sales",U315,0)</x:f>
        <x:v>0</x:v>
      </x:c>
      <x:c r="X315" t="str">
        <x:f>IF(E315&lt;25,"Low &lt; 25",IF(E315&lt;100,"Medium 25-99",IF(E315&lt;300,"High 100-299","Premium 300+")))</x:f>
        <x:v>Medium 25-99</x:v>
      </x:c>
      <x:c r="Y315" t="n">
        <x:f>IF(C315="Active",1,0)</x:f>
        <x:v>1</x:v>
      </x:c>
    </x:row>
    <x:row r="316">
      <x:c r="A316" t="str">
        <x:v>SKU00315</x:v>
      </x:c>
      <x:c r="B316" t="str">
        <x:v>Sample Product 00315</x:v>
      </x:c>
      <x:c r="C316" t="str">
        <x:v>Active</x:v>
      </x:c>
      <x:c r="D316" t="str">
        <x:v>2026-04</x:v>
      </x:c>
      <x:c r="E316" s="12" t="n">
        <x:v>20.11</x:v>
      </x:c>
      <x:c r="F316" s="10" t="n">
        <x:v>0.293</x:v>
      </x:c>
      <x:c r="G316" t="str">
        <x:v>General Merchandise</x:v>
      </x:c>
      <x:c r="H316" t="str">
        <x:v>Baby Essentials</x:v>
      </x:c>
      <x:c r="I316" t="str">
        <x:v>MFG009</x:v>
      </x:c>
      <x:c r="J316" t="str">
        <x:v>Manufacturer 009</x:v>
      </x:c>
      <x:c r="K316" t="str">
        <x:v>SUP001</x:v>
      </x:c>
      <x:c r="L316" t="str">
        <x:v>Supplier 001</x:v>
      </x:c>
      <x:c r="M316" t="str">
        <x:v>REG-998470</x:v>
      </x:c>
      <x:c r="N316" t="str">
        <x:v>Generic Ingredient 095</x:v>
      </x:c>
      <x:c r="O316" t="str">
        <x:v>General Sale</x:v>
      </x:c>
      <x:c r="P316" t="n">
        <x:v>50</x:v>
      </x:c>
      <x:c r="Q316" t="n">
        <x:v>7</x:v>
      </x:c>
      <x:c r="R316" t="n">
        <x:v>0</x:v>
      </x:c>
      <x:c r="S316" s="12" t="n">
        <x:f>E316*Q316</x:f>
        <x:v>140.76999999999998</x:v>
      </x:c>
      <x:c r="T316" s="12" t="n">
        <x:f>ROUND(S316*F316+0.000000001,2)</x:f>
        <x:v>41.25</x:v>
      </x:c>
      <x:c r="U316" s="12" t="n">
        <x:f>E316*R316</x:f>
        <x:v>0</x:v>
      </x:c>
      <x:c r="V316" t="str">
        <x:f>IF(AND(C316="Active",Q316=0),"Active Zero Sales","Not Zero Sales")</x:f>
        <x:v>Not Zero Sales</x:v>
      </x:c>
      <x:c r="W316" s="12" t="n">
        <x:f>IF(V316="Active Zero Sales",U316,0)</x:f>
        <x:v>0</x:v>
      </x:c>
      <x:c r="X316" t="str">
        <x:f>IF(E316&lt;25,"Low &lt; 25",IF(E316&lt;100,"Medium 25-99",IF(E316&lt;300,"High 100-299","Premium 300+")))</x:f>
        <x:v>Low &lt; 25</x:v>
      </x:c>
      <x:c r="Y316" t="n">
        <x:f>IF(C316="Active",1,0)</x:f>
        <x:v>1</x:v>
      </x:c>
    </x:row>
    <x:row r="317">
      <x:c r="A317" t="str">
        <x:v>SKU00316</x:v>
      </x:c>
      <x:c r="B317" t="str">
        <x:v>Sample Product 00316</x:v>
      </x:c>
      <x:c r="C317" t="str">
        <x:v>Blocked</x:v>
      </x:c>
      <x:c r="D317" t="str">
        <x:v>2026-06</x:v>
      </x:c>
      <x:c r="E317" s="12" t="n">
        <x:v>28.16</x:v>
      </x:c>
      <x:c r="F317" s="10" t="n">
        <x:v>0.528</x:v>
      </x:c>
      <x:c r="G317" t="str">
        <x:v>Personal Care</x:v>
      </x:c>
      <x:c r="H317" t="str">
        <x:v>Hygiene</x:v>
      </x:c>
      <x:c r="I317" t="str">
        <x:v>MFG014</x:v>
      </x:c>
      <x:c r="J317" t="str">
        <x:v>Manufacturer 014</x:v>
      </x:c>
      <x:c r="K317" t="str">
        <x:v>SUP029</x:v>
      </x:c>
      <x:c r="L317" t="str">
        <x:v>Supplier 029</x:v>
      </x:c>
      <x:c r="M317" t="str">
        <x:v>REG-866444</x:v>
      </x:c>
      <x:c r="N317" t="str">
        <x:v>Generic Ingredient 013</x:v>
      </x:c>
      <x:c r="O317" t="str">
        <x:v>Pharmacy Only</x:v>
      </x:c>
      <x:c r="P317" t="n">
        <x:v>34</x:v>
      </x:c>
      <x:c r="Q317" t="n">
        <x:v>20</x:v>
      </x:c>
      <x:c r="R317" t="n">
        <x:v>0</x:v>
      </x:c>
      <x:c r="S317" s="12" t="n">
        <x:f>E317*Q317</x:f>
        <x:v>563.2</x:v>
      </x:c>
      <x:c r="T317" s="12" t="n">
        <x:f>ROUND(S317*F317+0.000000001,2)</x:f>
        <x:v>297.37</x:v>
      </x:c>
      <x:c r="U317" s="12" t="n">
        <x:f>E317*R317</x:f>
        <x:v>0</x:v>
      </x:c>
      <x:c r="V317" t="str">
        <x:f>IF(AND(C317="Active",Q317=0),"Active Zero Sales","Not Zero Sales")</x:f>
        <x:v>Not Zero Sales</x:v>
      </x:c>
      <x:c r="W317" s="12" t="n">
        <x:f>IF(V317="Active Zero Sales",U317,0)</x:f>
        <x:v>0</x:v>
      </x:c>
      <x:c r="X317" t="str">
        <x:f>IF(E317&lt;25,"Low &lt; 25",IF(E317&lt;100,"Medium 25-99",IF(E317&lt;300,"High 100-299","Premium 300+")))</x:f>
        <x:v>Medium 25-99</x:v>
      </x:c>
      <x:c r="Y317" t="n">
        <x:f>IF(C317="Active",1,0)</x:f>
        <x:v>0</x:v>
      </x:c>
    </x:row>
    <x:row r="318">
      <x:c r="A318" t="str">
        <x:v>SKU00317</x:v>
      </x:c>
      <x:c r="B318" t="str">
        <x:v>Sample Product 00317</x:v>
      </x:c>
      <x:c r="C318" t="str">
        <x:v>Active</x:v>
      </x:c>
      <x:c r="D318" t="str">
        <x:v>2026-01</x:v>
      </x:c>
      <x:c r="E318" s="12" t="n">
        <x:v>177.68</x:v>
      </x:c>
      <x:c r="F318" s="10" t="n">
        <x:v>0.317</x:v>
      </x:c>
      <x:c r="G318" t="str">
        <x:v>OTC &amp; Wellness</x:v>
      </x:c>
      <x:c r="H318" t="str">
        <x:v>Vitamins</x:v>
      </x:c>
      <x:c r="I318" t="str">
        <x:v>MFG013</x:v>
      </x:c>
      <x:c r="J318" t="str">
        <x:v>Manufacturer 013</x:v>
      </x:c>
      <x:c r="K318" t="str">
        <x:v>SUP007</x:v>
      </x:c>
      <x:c r="L318" t="str">
        <x:v>Supplier 007</x:v>
      </x:c>
      <x:c r="M318" t="str">
        <x:v>REG-816496</x:v>
      </x:c>
      <x:c r="N318" t="str">
        <x:v>Generic Ingredient 133</x:v>
      </x:c>
      <x:c r="O318" t="str">
        <x:v>General Sale</x:v>
      </x:c>
      <x:c r="P318" t="n">
        <x:v>114</x:v>
      </x:c>
      <x:c r="Q318" t="n">
        <x:v>70</x:v>
      </x:c>
      <x:c r="R318" t="n">
        <x:v>20</x:v>
      </x:c>
      <x:c r="S318" s="12" t="n">
        <x:f>E318*Q318</x:f>
        <x:v>12437.6</x:v>
      </x:c>
      <x:c r="T318" s="12" t="n">
        <x:f>ROUND(S318*F318+0.000000001,2)</x:f>
        <x:v>3942.72</x:v>
      </x:c>
      <x:c r="U318" s="12" t="n">
        <x:f>E318*R318</x:f>
        <x:v>3553.6000000000004</x:v>
      </x:c>
      <x:c r="V318" t="str">
        <x:f>IF(AND(C318="Active",Q318=0),"Active Zero Sales","Not Zero Sales")</x:f>
        <x:v>Not Zero Sales</x:v>
      </x:c>
      <x:c r="W318" s="12" t="n">
        <x:f>IF(V318="Active Zero Sales",U318,0)</x:f>
        <x:v>0</x:v>
      </x:c>
      <x:c r="X318" t="str">
        <x:f>IF(E318&lt;25,"Low &lt; 25",IF(E318&lt;100,"Medium 25-99",IF(E318&lt;300,"High 100-299","Premium 300+")))</x:f>
        <x:v>High 100-299</x:v>
      </x:c>
      <x:c r="Y318" t="n">
        <x:f>IF(C318="Active",1,0)</x:f>
        <x:v>1</x:v>
      </x:c>
    </x:row>
    <x:row r="319">
      <x:c r="A319" t="str">
        <x:v>SKU00318</x:v>
      </x:c>
      <x:c r="B319" t="str">
        <x:v>Sample Product 00318</x:v>
      </x:c>
      <x:c r="C319" t="str">
        <x:v>Blocked</x:v>
      </x:c>
      <x:c r="D319" t="str">
        <x:v>2026-03</x:v>
      </x:c>
      <x:c r="E319" s="12" t="n">
        <x:v>39.24</x:v>
      </x:c>
      <x:c r="F319" s="10" t="n">
        <x:v>0.17</x:v>
      </x:c>
      <x:c r="G319" t="str">
        <x:v>General Merchandise</x:v>
      </x:c>
      <x:c r="H319" t="str">
        <x:v>Travel Health</x:v>
      </x:c>
      <x:c r="I319" t="str">
        <x:v>MFG001</x:v>
      </x:c>
      <x:c r="J319" t="str">
        <x:v>Manufacturer 001</x:v>
      </x:c>
      <x:c r="K319" t="str">
        <x:v>SUP019</x:v>
      </x:c>
      <x:c r="L319" t="str">
        <x:v>Supplier 019</x:v>
      </x:c>
      <x:c r="M319" t="str">
        <x:v>REG-372927</x:v>
      </x:c>
      <x:c r="N319" t="str">
        <x:v>Generic Ingredient 178</x:v>
      </x:c>
      <x:c r="O319" t="str">
        <x:v>General Sale</x:v>
      </x:c>
      <x:c r="P319" t="n">
        <x:v>49</x:v>
      </x:c>
      <x:c r="Q319" t="n">
        <x:v>0</x:v>
      </x:c>
      <x:c r="R319" t="n">
        <x:v>0</x:v>
      </x:c>
      <x:c r="S319" s="12" t="n">
        <x:f>E319*Q319</x:f>
        <x:v>0</x:v>
      </x:c>
      <x:c r="T319" s="12" t="n">
        <x:f>ROUND(S319*F319+0.000000001,2)</x:f>
        <x:v>0</x:v>
      </x:c>
      <x:c r="U319" s="12" t="n">
        <x:f>E319*R319</x:f>
        <x:v>0</x:v>
      </x:c>
      <x:c r="V319" t="str">
        <x:f>IF(AND(C319="Active",Q319=0),"Active Zero Sales","Not Zero Sales")</x:f>
        <x:v>Not Zero Sales</x:v>
      </x:c>
      <x:c r="W319" s="12" t="n">
        <x:f>IF(V319="Active Zero Sales",U319,0)</x:f>
        <x:v>0</x:v>
      </x:c>
      <x:c r="X319" t="str">
        <x:f>IF(E319&lt;25,"Low &lt; 25",IF(E319&lt;100,"Medium 25-99",IF(E319&lt;300,"High 100-299","Premium 300+")))</x:f>
        <x:v>Medium 25-99</x:v>
      </x:c>
      <x:c r="Y319" t="n">
        <x:f>IF(C319="Active",1,0)</x:f>
        <x:v>0</x:v>
      </x:c>
    </x:row>
    <x:row r="320">
      <x:c r="A320" t="str">
        <x:v>SKU00319</x:v>
      </x:c>
      <x:c r="B320" t="str">
        <x:v>Sample Product 00319</x:v>
      </x:c>
      <x:c r="C320" t="str">
        <x:v>Active</x:v>
      </x:c>
      <x:c r="D320" t="str">
        <x:v>2026-03</x:v>
      </x:c>
      <x:c r="E320" s="12" t="n">
        <x:v>279.61</x:v>
      </x:c>
      <x:c r="F320" s="10" t="n">
        <x:v>0.29</x:v>
      </x:c>
      <x:c r="G320" t="str">
        <x:v>OTC &amp; Wellness</x:v>
      </x:c>
      <x:c r="H320" t="str">
        <x:v>Cold &amp; Allergy</x:v>
      </x:c>
      <x:c r="I320" t="str">
        <x:v>MFG019</x:v>
      </x:c>
      <x:c r="J320" t="str">
        <x:v>Manufacturer 019</x:v>
      </x:c>
      <x:c r="K320" t="str">
        <x:v>SUP020</x:v>
      </x:c>
      <x:c r="L320" t="str">
        <x:v>Supplier 020</x:v>
      </x:c>
      <x:c r="M320" t="str">
        <x:v>REG-646099</x:v>
      </x:c>
      <x:c r="N320" t="str">
        <x:v>Generic Ingredient 064</x:v>
      </x:c>
      <x:c r="O320" t="str">
        <x:v>General Sale</x:v>
      </x:c>
      <x:c r="P320" t="n">
        <x:v>27</x:v>
      </x:c>
      <x:c r="Q320" t="n">
        <x:v>27</x:v>
      </x:c>
      <x:c r="R320" t="n">
        <x:v>8</x:v>
      </x:c>
      <x:c r="S320" s="12" t="n">
        <x:f>E320*Q320</x:f>
        <x:v>7549.47</x:v>
      </x:c>
      <x:c r="T320" s="12" t="n">
        <x:f>ROUND(S320*F320+0.000000001,2)</x:f>
        <x:v>2189.35</x:v>
      </x:c>
      <x:c r="U320" s="12" t="n">
        <x:f>E320*R320</x:f>
        <x:v>2236.88</x:v>
      </x:c>
      <x:c r="V320" t="str">
        <x:f>IF(AND(C320="Active",Q320=0),"Active Zero Sales","Not Zero Sales")</x:f>
        <x:v>Not Zero Sales</x:v>
      </x:c>
      <x:c r="W320" s="12" t="n">
        <x:f>IF(V320="Active Zero Sales",U320,0)</x:f>
        <x:v>0</x:v>
      </x:c>
      <x:c r="X320" t="str">
        <x:f>IF(E320&lt;25,"Low &lt; 25",IF(E320&lt;100,"Medium 25-99",IF(E320&lt;300,"High 100-299","Premium 300+")))</x:f>
        <x:v>High 100-299</x:v>
      </x:c>
      <x:c r="Y320" t="n">
        <x:f>IF(C320="Active",1,0)</x:f>
        <x:v>1</x:v>
      </x:c>
    </x:row>
    <x:row r="321">
      <x:c r="A321" t="str">
        <x:v>SKU00320</x:v>
      </x:c>
      <x:c r="B321" t="str">
        <x:v>Sample Product 00320</x:v>
      </x:c>
      <x:c r="C321" t="str">
        <x:v>Active</x:v>
      </x:c>
      <x:c r="D321" t="str">
        <x:v>2026-05</x:v>
      </x:c>
      <x:c r="E321" s="12" t="n">
        <x:v>4.96</x:v>
      </x:c>
      <x:c r="F321" s="10" t="n">
        <x:v>0.254</x:v>
      </x:c>
      <x:c r="G321" t="str">
        <x:v>OTC &amp; Wellness</x:v>
      </x:c>
      <x:c r="H321" t="str">
        <x:v>Cold &amp; Allergy</x:v>
      </x:c>
      <x:c r="I321" t="str">
        <x:v>MFG020</x:v>
      </x:c>
      <x:c r="J321" t="str">
        <x:v>Manufacturer 020</x:v>
      </x:c>
      <x:c r="K321" t="str">
        <x:v>SUP010</x:v>
      </x:c>
      <x:c r="L321" t="str">
        <x:v>Supplier 010</x:v>
      </x:c>
      <x:c r="M321" t="str">
        <x:v>REG-713065</x:v>
      </x:c>
      <x:c r="N321" t="str">
        <x:v>Generic Ingredient 155</x:v>
      </x:c>
      <x:c r="O321" t="str">
        <x:v>General Sale</x:v>
      </x:c>
      <x:c r="P321" t="n">
        <x:v>4</x:v>
      </x:c>
      <x:c r="Q321" t="n">
        <x:v>6</x:v>
      </x:c>
      <x:c r="R321" t="n">
        <x:v>0</x:v>
      </x:c>
      <x:c r="S321" s="12" t="n">
        <x:f>E321*Q321</x:f>
        <x:v>29.759999999999998</x:v>
      </x:c>
      <x:c r="T321" s="12" t="n">
        <x:f>ROUND(S321*F321+0.000000001,2)</x:f>
        <x:v>7.56</x:v>
      </x:c>
      <x:c r="U321" s="12" t="n">
        <x:f>E321*R321</x:f>
        <x:v>0</x:v>
      </x:c>
      <x:c r="V321" t="str">
        <x:f>IF(AND(C321="Active",Q321=0),"Active Zero Sales","Not Zero Sales")</x:f>
        <x:v>Not Zero Sales</x:v>
      </x:c>
      <x:c r="W321" s="12" t="n">
        <x:f>IF(V321="Active Zero Sales",U321,0)</x:f>
        <x:v>0</x:v>
      </x:c>
      <x:c r="X321" t="str">
        <x:f>IF(E321&lt;25,"Low &lt; 25",IF(E321&lt;100,"Medium 25-99",IF(E321&lt;300,"High 100-299","Premium 300+")))</x:f>
        <x:v>Low &lt; 25</x:v>
      </x:c>
      <x:c r="Y321" t="n">
        <x:f>IF(C321="Active",1,0)</x:f>
        <x:v>1</x:v>
      </x:c>
    </x:row>
    <x:row r="322">
      <x:c r="A322" t="str">
        <x:v>SKU00321</x:v>
      </x:c>
      <x:c r="B322" t="str">
        <x:v>Sample Product 00321</x:v>
      </x:c>
      <x:c r="C322" t="str">
        <x:v>Active</x:v>
      </x:c>
      <x:c r="D322" t="str">
        <x:v>2026-01</x:v>
      </x:c>
      <x:c r="E322" s="12" t="n">
        <x:v>191.1</x:v>
      </x:c>
      <x:c r="F322" s="10" t="n">
        <x:v>0.326</x:v>
      </x:c>
      <x:c r="G322" t="str">
        <x:v>Personal Care</x:v>
      </x:c>
      <x:c r="H322" t="str">
        <x:v>Skin Care</x:v>
      </x:c>
      <x:c r="I322" t="str">
        <x:v>MFG009</x:v>
      </x:c>
      <x:c r="J322" t="str">
        <x:v>Manufacturer 009</x:v>
      </x:c>
      <x:c r="K322" t="str">
        <x:v>SUP003</x:v>
      </x:c>
      <x:c r="L322" t="str">
        <x:v>Supplier 003</x:v>
      </x:c>
      <x:c r="M322" t="str">
        <x:v>REG-618043</x:v>
      </x:c>
      <x:c r="N322" t="str">
        <x:v>Generic Ingredient 056</x:v>
      </x:c>
      <x:c r="O322" t="str">
        <x:v>General Sale</x:v>
      </x:c>
      <x:c r="P322" t="n">
        <x:v>31</x:v>
      </x:c>
      <x:c r="Q322" t="n">
        <x:v>41</x:v>
      </x:c>
      <x:c r="R322" t="n">
        <x:v>0</x:v>
      </x:c>
      <x:c r="S322" s="12" t="n">
        <x:f>E322*Q322</x:f>
        <x:v>7835.099999999999</x:v>
      </x:c>
      <x:c r="T322" s="12" t="n">
        <x:f>ROUND(S322*F322+0.000000001,2)</x:f>
        <x:v>2554.24</x:v>
      </x:c>
      <x:c r="U322" s="12" t="n">
        <x:f>E322*R322</x:f>
        <x:v>0</x:v>
      </x:c>
      <x:c r="V322" t="str">
        <x:f>IF(AND(C322="Active",Q322=0),"Active Zero Sales","Not Zero Sales")</x:f>
        <x:v>Not Zero Sales</x:v>
      </x:c>
      <x:c r="W322" s="12" t="n">
        <x:f>IF(V322="Active Zero Sales",U322,0)</x:f>
        <x:v>0</x:v>
      </x:c>
      <x:c r="X322" t="str">
        <x:f>IF(E322&lt;25,"Low &lt; 25",IF(E322&lt;100,"Medium 25-99",IF(E322&lt;300,"High 100-299","Premium 300+")))</x:f>
        <x:v>High 100-299</x:v>
      </x:c>
      <x:c r="Y322" t="n">
        <x:f>IF(C322="Active",1,0)</x:f>
        <x:v>1</x:v>
      </x:c>
    </x:row>
    <x:row r="323">
      <x:c r="A323" t="str">
        <x:v>SKU00322</x:v>
      </x:c>
      <x:c r="B323" t="str">
        <x:v>Sample Product 00322</x:v>
      </x:c>
      <x:c r="C323" t="str">
        <x:v>Active</x:v>
      </x:c>
      <x:c r="D323" t="str">
        <x:v>2026-03</x:v>
      </x:c>
      <x:c r="E323" s="12" t="n">
        <x:v>5.25</x:v>
      </x:c>
      <x:c r="F323" s="10" t="n">
        <x:v>0.41</x:v>
      </x:c>
      <x:c r="G323" t="str">
        <x:v>General Merchandise</x:v>
      </x:c>
      <x:c r="H323" t="str">
        <x:v>Travel Health</x:v>
      </x:c>
      <x:c r="I323" t="str">
        <x:v>MFG005</x:v>
      </x:c>
      <x:c r="J323" t="str">
        <x:v>Manufacturer 005</x:v>
      </x:c>
      <x:c r="K323" t="str">
        <x:v>SUP019</x:v>
      </x:c>
      <x:c r="L323" t="str">
        <x:v>Supplier 019</x:v>
      </x:c>
      <x:c r="M323" t="str">
        <x:v>REG-875381</x:v>
      </x:c>
      <x:c r="N323" t="str">
        <x:v>Generic Ingredient 092</x:v>
      </x:c>
      <x:c r="O323" t="str">
        <x:v>Pharmacy Only</x:v>
      </x:c>
      <x:c r="P323" t="n">
        <x:v>129</x:v>
      </x:c>
      <x:c r="Q323" t="n">
        <x:v>56</x:v>
      </x:c>
      <x:c r="R323" t="n">
        <x:v>30</x:v>
      </x:c>
      <x:c r="S323" s="12" t="n">
        <x:f>E323*Q323</x:f>
        <x:v>294</x:v>
      </x:c>
      <x:c r="T323" s="12" t="n">
        <x:f>ROUND(S323*F323+0.000000001,2)</x:f>
        <x:v>120.54</x:v>
      </x:c>
      <x:c r="U323" s="12" t="n">
        <x:f>E323*R323</x:f>
        <x:v>157.5</x:v>
      </x:c>
      <x:c r="V323" t="str">
        <x:f>IF(AND(C323="Active",Q323=0),"Active Zero Sales","Not Zero Sales")</x:f>
        <x:v>Not Zero Sales</x:v>
      </x:c>
      <x:c r="W323" s="12" t="n">
        <x:f>IF(V323="Active Zero Sales",U323,0)</x:f>
        <x:v>0</x:v>
      </x:c>
      <x:c r="X323" t="str">
        <x:f>IF(E323&lt;25,"Low &lt; 25",IF(E323&lt;100,"Medium 25-99",IF(E323&lt;300,"High 100-299","Premium 300+")))</x:f>
        <x:v>Low &lt; 25</x:v>
      </x:c>
      <x:c r="Y323" t="n">
        <x:f>IF(C323="Active",1,0)</x:f>
        <x:v>1</x:v>
      </x:c>
    </x:row>
    <x:row r="324">
      <x:c r="A324" t="str">
        <x:v>SKU00323</x:v>
      </x:c>
      <x:c r="B324" t="str">
        <x:v>Sample Product 00323</x:v>
      </x:c>
      <x:c r="C324" t="str">
        <x:v>Blocked</x:v>
      </x:c>
      <x:c r="D324" t="str">
        <x:v>2026-02</x:v>
      </x:c>
      <x:c r="E324" s="12" t="n">
        <x:v>142.4</x:v>
      </x:c>
      <x:c r="F324" s="10" t="n">
        <x:v>0.368</x:v>
      </x:c>
      <x:c r="G324" t="str">
        <x:v>General Merchandise</x:v>
      </x:c>
      <x:c r="H324" t="str">
        <x:v>Travel Health</x:v>
      </x:c>
      <x:c r="I324" t="str">
        <x:v>MFG014</x:v>
      </x:c>
      <x:c r="J324" t="str">
        <x:v>Manufacturer 014</x:v>
      </x:c>
      <x:c r="K324" t="str">
        <x:v>SUP019</x:v>
      </x:c>
      <x:c r="L324" t="str">
        <x:v>Supplier 019</x:v>
      </x:c>
      <x:c r="M324" t="str">
        <x:v>REG-922823</x:v>
      </x:c>
      <x:c r="N324" t="str">
        <x:v>Generic Ingredient 118</x:v>
      </x:c>
      <x:c r="O324" t="str">
        <x:v>Pharmacy Only</x:v>
      </x:c>
      <x:c r="P324" t="n">
        <x:v>43</x:v>
      </x:c>
      <x:c r="Q324" t="n">
        <x:v>0</x:v>
      </x:c>
      <x:c r="R324" t="n">
        <x:v>0</x:v>
      </x:c>
      <x:c r="S324" s="12" t="n">
        <x:f>E324*Q324</x:f>
        <x:v>0</x:v>
      </x:c>
      <x:c r="T324" s="12" t="n">
        <x:f>ROUND(S324*F324+0.000000001,2)</x:f>
        <x:v>0</x:v>
      </x:c>
      <x:c r="U324" s="12" t="n">
        <x:f>E324*R324</x:f>
        <x:v>0</x:v>
      </x:c>
      <x:c r="V324" t="str">
        <x:f>IF(AND(C324="Active",Q324=0),"Active Zero Sales","Not Zero Sales")</x:f>
        <x:v>Not Zero Sales</x:v>
      </x:c>
      <x:c r="W324" s="12" t="n">
        <x:f>IF(V324="Active Zero Sales",U324,0)</x:f>
        <x:v>0</x:v>
      </x:c>
      <x:c r="X324" t="str">
        <x:f>IF(E324&lt;25,"Low &lt; 25",IF(E324&lt;100,"Medium 25-99",IF(E324&lt;300,"High 100-299","Premium 300+")))</x:f>
        <x:v>High 100-299</x:v>
      </x:c>
      <x:c r="Y324" t="n">
        <x:f>IF(C324="Active",1,0)</x:f>
        <x:v>0</x:v>
      </x:c>
    </x:row>
    <x:row r="325">
      <x:c r="A325" t="str">
        <x:v>SKU00324</x:v>
      </x:c>
      <x:c r="B325" t="str">
        <x:v>Sample Product 00324</x:v>
      </x:c>
      <x:c r="C325" t="str">
        <x:v>Active</x:v>
      </x:c>
      <x:c r="D325" t="str">
        <x:v>2026-05</x:v>
      </x:c>
      <x:c r="E325" s="12" t="n">
        <x:v>292.57</x:v>
      </x:c>
      <x:c r="F325" s="10" t="n">
        <x:v>0.276</x:v>
      </x:c>
      <x:c r="G325" t="str">
        <x:v>Personal Care</x:v>
      </x:c>
      <x:c r="H325" t="str">
        <x:v>Oral Care</x:v>
      </x:c>
      <x:c r="I325" t="str">
        <x:v>MFG017</x:v>
      </x:c>
      <x:c r="J325" t="str">
        <x:v>Manufacturer 017</x:v>
      </x:c>
      <x:c r="K325" t="str">
        <x:v>SUP014</x:v>
      </x:c>
      <x:c r="L325" t="str">
        <x:v>Supplier 014</x:v>
      </x:c>
      <x:c r="M325" t="str">
        <x:v>REG-688610</x:v>
      </x:c>
      <x:c r="N325" t="str">
        <x:v>Generic Ingredient 027</x:v>
      </x:c>
      <x:c r="O325" t="str">
        <x:v>General Sale</x:v>
      </x:c>
      <x:c r="P325" t="n">
        <x:v>29</x:v>
      </x:c>
      <x:c r="Q325" t="n">
        <x:v>5</x:v>
      </x:c>
      <x:c r="R325" t="n">
        <x:v>0</x:v>
      </x:c>
      <x:c r="S325" s="12" t="n">
        <x:f>E325*Q325</x:f>
        <x:v>1462.85</x:v>
      </x:c>
      <x:c r="T325" s="12" t="n">
        <x:f>ROUND(S325*F325+0.000000001,2)</x:f>
        <x:v>403.75</x:v>
      </x:c>
      <x:c r="U325" s="12" t="n">
        <x:f>E325*R325</x:f>
        <x:v>0</x:v>
      </x:c>
      <x:c r="V325" t="str">
        <x:f>IF(AND(C325="Active",Q325=0),"Active Zero Sales","Not Zero Sales")</x:f>
        <x:v>Not Zero Sales</x:v>
      </x:c>
      <x:c r="W325" s="12" t="n">
        <x:f>IF(V325="Active Zero Sales",U325,0)</x:f>
        <x:v>0</x:v>
      </x:c>
      <x:c r="X325" t="str">
        <x:f>IF(E325&lt;25,"Low &lt; 25",IF(E325&lt;100,"Medium 25-99",IF(E325&lt;300,"High 100-299","Premium 300+")))</x:f>
        <x:v>High 100-299</x:v>
      </x:c>
      <x:c r="Y325" t="n">
        <x:f>IF(C325="Active",1,0)</x:f>
        <x:v>1</x:v>
      </x:c>
    </x:row>
    <x:row r="326">
      <x:c r="A326" t="str">
        <x:v>SKU00325</x:v>
      </x:c>
      <x:c r="B326" t="str">
        <x:v>Sample Product 00325</x:v>
      </x:c>
      <x:c r="C326" t="str">
        <x:v>Active</x:v>
      </x:c>
      <x:c r="D326" t="str">
        <x:v>2026-02</x:v>
      </x:c>
      <x:c r="E326" s="12" t="n">
        <x:v>54.49</x:v>
      </x:c>
      <x:c r="F326" s="10" t="n">
        <x:v>0.309</x:v>
      </x:c>
      <x:c r="G326" t="str">
        <x:v>Personal Care</x:v>
      </x:c>
      <x:c r="H326" t="str">
        <x:v>Hair Care</x:v>
      </x:c>
      <x:c r="I326" t="str">
        <x:v>MFG001</x:v>
      </x:c>
      <x:c r="J326" t="str">
        <x:v>Manufacturer 001</x:v>
      </x:c>
      <x:c r="K326" t="str">
        <x:v>SUP002</x:v>
      </x:c>
      <x:c r="L326" t="str">
        <x:v>Supplier 002</x:v>
      </x:c>
      <x:c r="M326" t="str">
        <x:v>REG-929557</x:v>
      </x:c>
      <x:c r="N326" t="str">
        <x:v>Generic Ingredient 144</x:v>
      </x:c>
      <x:c r="O326" t="str">
        <x:v>General Sale</x:v>
      </x:c>
      <x:c r="P326" t="n">
        <x:v>75</x:v>
      </x:c>
      <x:c r="Q326" t="n">
        <x:v>17</x:v>
      </x:c>
      <x:c r="R326" t="n">
        <x:v>14</x:v>
      </x:c>
      <x:c r="S326" s="12" t="n">
        <x:f>E326*Q326</x:f>
        <x:v>926.33</x:v>
      </x:c>
      <x:c r="T326" s="12" t="n">
        <x:f>ROUND(S326*F326+0.000000001,2)</x:f>
        <x:v>286.24</x:v>
      </x:c>
      <x:c r="U326" s="12" t="n">
        <x:f>E326*R326</x:f>
        <x:v>762.86</x:v>
      </x:c>
      <x:c r="V326" t="str">
        <x:f>IF(AND(C326="Active",Q326=0),"Active Zero Sales","Not Zero Sales")</x:f>
        <x:v>Not Zero Sales</x:v>
      </x:c>
      <x:c r="W326" s="12" t="n">
        <x:f>IF(V326="Active Zero Sales",U326,0)</x:f>
        <x:v>0</x:v>
      </x:c>
      <x:c r="X326" t="str">
        <x:f>IF(E326&lt;25,"Low &lt; 25",IF(E326&lt;100,"Medium 25-99",IF(E326&lt;300,"High 100-299","Premium 300+")))</x:f>
        <x:v>Medium 25-99</x:v>
      </x:c>
      <x:c r="Y326" t="n">
        <x:f>IF(C326="Active",1,0)</x:f>
        <x:v>1</x:v>
      </x:c>
    </x:row>
    <x:row r="327">
      <x:c r="A327" t="str">
        <x:v>SKU00326</x:v>
      </x:c>
      <x:c r="B327" t="str">
        <x:v>Sample Product 00326</x:v>
      </x:c>
      <x:c r="C327" t="str">
        <x:v>Active</x:v>
      </x:c>
      <x:c r="D327" t="str">
        <x:v>2026-05</x:v>
      </x:c>
      <x:c r="E327" s="12" t="n">
        <x:v>199.91</x:v>
      </x:c>
      <x:c r="F327" s="10" t="n">
        <x:v>0.324</x:v>
      </x:c>
      <x:c r="G327" t="str">
        <x:v>Personal Care</x:v>
      </x:c>
      <x:c r="H327" t="str">
        <x:v>Hygiene</x:v>
      </x:c>
      <x:c r="I327" t="str">
        <x:v>MFG004</x:v>
      </x:c>
      <x:c r="J327" t="str">
        <x:v>Manufacturer 004</x:v>
      </x:c>
      <x:c r="K327" t="str">
        <x:v>SUP005</x:v>
      </x:c>
      <x:c r="L327" t="str">
        <x:v>Supplier 005</x:v>
      </x:c>
      <x:c r="M327" t="str">
        <x:v>REG-883941</x:v>
      </x:c>
      <x:c r="N327" t="str">
        <x:v>Generic Ingredient 080</x:v>
      </x:c>
      <x:c r="O327" t="str">
        <x:v>Pharmacy Only</x:v>
      </x:c>
      <x:c r="P327" t="n">
        <x:v>35</x:v>
      </x:c>
      <x:c r="Q327" t="n">
        <x:v>9</x:v>
      </x:c>
      <x:c r="R327" t="n">
        <x:v>5</x:v>
      </x:c>
      <x:c r="S327" s="12" t="n">
        <x:f>E327*Q327</x:f>
        <x:v>1799.19</x:v>
      </x:c>
      <x:c r="T327" s="12" t="n">
        <x:f>ROUND(S327*F327+0.000000001,2)</x:f>
        <x:v>582.94</x:v>
      </x:c>
      <x:c r="U327" s="12" t="n">
        <x:f>E327*R327</x:f>
        <x:v>999.55</x:v>
      </x:c>
      <x:c r="V327" t="str">
        <x:f>IF(AND(C327="Active",Q327=0),"Active Zero Sales","Not Zero Sales")</x:f>
        <x:v>Not Zero Sales</x:v>
      </x:c>
      <x:c r="W327" s="12" t="n">
        <x:f>IF(V327="Active Zero Sales",U327,0)</x:f>
        <x:v>0</x:v>
      </x:c>
      <x:c r="X327" t="str">
        <x:f>IF(E327&lt;25,"Low &lt; 25",IF(E327&lt;100,"Medium 25-99",IF(E327&lt;300,"High 100-299","Premium 300+")))</x:f>
        <x:v>High 100-299</x:v>
      </x:c>
      <x:c r="Y327" t="n">
        <x:f>IF(C327="Active",1,0)</x:f>
        <x:v>1</x:v>
      </x:c>
    </x:row>
    <x:row r="328">
      <x:c r="A328" t="str">
        <x:v>SKU00327</x:v>
      </x:c>
      <x:c r="B328" t="str">
        <x:v>Sample Product 00327</x:v>
      </x:c>
      <x:c r="C328" t="str">
        <x:v>Active</x:v>
      </x:c>
      <x:c r="D328" t="str">
        <x:v>2026-05</x:v>
      </x:c>
      <x:c r="E328" s="12" t="n">
        <x:v>229.26</x:v>
      </x:c>
      <x:c r="F328" s="10" t="n">
        <x:v>0.423</x:v>
      </x:c>
      <x:c r="G328" t="str">
        <x:v>OTC &amp; Wellness</x:v>
      </x:c>
      <x:c r="H328" t="str">
        <x:v>Cold &amp; Allergy</x:v>
      </x:c>
      <x:c r="I328" t="str">
        <x:v>MFG015</x:v>
      </x:c>
      <x:c r="J328" t="str">
        <x:v>Manufacturer 015</x:v>
      </x:c>
      <x:c r="K328" t="str">
        <x:v>SUP013</x:v>
      </x:c>
      <x:c r="L328" t="str">
        <x:v>Supplier 013</x:v>
      </x:c>
      <x:c r="M328" t="str">
        <x:v>REG-202495</x:v>
      </x:c>
      <x:c r="N328" t="str">
        <x:v>Generic Ingredient 074</x:v>
      </x:c>
      <x:c r="O328" t="str">
        <x:v>General Sale</x:v>
      </x:c>
      <x:c r="P328" t="n">
        <x:v>56</x:v>
      </x:c>
      <x:c r="Q328" t="n">
        <x:v>0</x:v>
      </x:c>
      <x:c r="R328" t="n">
        <x:v>46</x:v>
      </x:c>
      <x:c r="S328" s="12" t="n">
        <x:f>E328*Q328</x:f>
        <x:v>0</x:v>
      </x:c>
      <x:c r="T328" s="12" t="n">
        <x:f>ROUND(S328*F328+0.000000001,2)</x:f>
        <x:v>0</x:v>
      </x:c>
      <x:c r="U328" s="12" t="n">
        <x:f>E328*R328</x:f>
        <x:v>10545.96</x:v>
      </x:c>
      <x:c r="V328" t="str">
        <x:f>IF(AND(C328="Active",Q328=0),"Active Zero Sales","Not Zero Sales")</x:f>
        <x:v>Active Zero Sales</x:v>
      </x:c>
      <x:c r="W328" s="12" t="n">
        <x:f>IF(V328="Active Zero Sales",U328,0)</x:f>
        <x:v>10545.96</x:v>
      </x:c>
      <x:c r="X328" t="str">
        <x:f>IF(E328&lt;25,"Low &lt; 25",IF(E328&lt;100,"Medium 25-99",IF(E328&lt;300,"High 100-299","Premium 300+")))</x:f>
        <x:v>High 100-299</x:v>
      </x:c>
      <x:c r="Y328" t="n">
        <x:f>IF(C328="Active",1,0)</x:f>
        <x:v>1</x:v>
      </x:c>
    </x:row>
    <x:row r="329">
      <x:c r="A329" t="str">
        <x:v>SKU00328</x:v>
      </x:c>
      <x:c r="B329" t="str">
        <x:v>Sample Product 00328</x:v>
      </x:c>
      <x:c r="C329" t="str">
        <x:v>Active</x:v>
      </x:c>
      <x:c r="D329" t="str">
        <x:v>2026-04</x:v>
      </x:c>
      <x:c r="E329" s="12" t="n">
        <x:v>85.73</x:v>
      </x:c>
      <x:c r="F329" s="10" t="n">
        <x:v>0.221</x:v>
      </x:c>
      <x:c r="G329" t="str">
        <x:v>Medical Devices</x:v>
      </x:c>
      <x:c r="H329" t="str">
        <x:v>First Aid</x:v>
      </x:c>
      <x:c r="I329" t="str">
        <x:v>MFG014</x:v>
      </x:c>
      <x:c r="J329" t="str">
        <x:v>Manufacturer 014</x:v>
      </x:c>
      <x:c r="K329" t="str">
        <x:v>SUP001</x:v>
      </x:c>
      <x:c r="L329" t="str">
        <x:v>Supplier 001</x:v>
      </x:c>
      <x:c r="M329" t="str">
        <x:v>REG-716711</x:v>
      </x:c>
      <x:c r="N329" t="str">
        <x:v>Generic Ingredient 018</x:v>
      </x:c>
      <x:c r="O329" t="str">
        <x:v>General Sale</x:v>
      </x:c>
      <x:c r="P329" t="n">
        <x:v>103</x:v>
      </x:c>
      <x:c r="Q329" t="n">
        <x:v>73</x:v>
      </x:c>
      <x:c r="R329" t="n">
        <x:v>12</x:v>
      </x:c>
      <x:c r="S329" s="12" t="n">
        <x:f>E329*Q329</x:f>
        <x:v>6258.29</x:v>
      </x:c>
      <x:c r="T329" s="12" t="n">
        <x:f>ROUND(S329*F329+0.000000001,2)</x:f>
        <x:v>1383.08</x:v>
      </x:c>
      <x:c r="U329" s="12" t="n">
        <x:f>E329*R329</x:f>
        <x:v>1028.76</x:v>
      </x:c>
      <x:c r="V329" t="str">
        <x:f>IF(AND(C329="Active",Q329=0),"Active Zero Sales","Not Zero Sales")</x:f>
        <x:v>Not Zero Sales</x:v>
      </x:c>
      <x:c r="W329" s="12" t="n">
        <x:f>IF(V329="Active Zero Sales",U329,0)</x:f>
        <x:v>0</x:v>
      </x:c>
      <x:c r="X329" t="str">
        <x:f>IF(E329&lt;25,"Low &lt; 25",IF(E329&lt;100,"Medium 25-99",IF(E329&lt;300,"High 100-299","Premium 300+")))</x:f>
        <x:v>Medium 25-99</x:v>
      </x:c>
      <x:c r="Y329" t="n">
        <x:f>IF(C329="Active",1,0)</x:f>
        <x:v>1</x:v>
      </x:c>
    </x:row>
    <x:row r="330">
      <x:c r="A330" t="str">
        <x:v>SKU00329</x:v>
      </x:c>
      <x:c r="B330" t="str">
        <x:v>Sample Product 00329</x:v>
      </x:c>
      <x:c r="C330" t="str">
        <x:v>Active</x:v>
      </x:c>
      <x:c r="D330" t="str">
        <x:v>2026-01</x:v>
      </x:c>
      <x:c r="E330" s="12" t="n">
        <x:v>224.34</x:v>
      </x:c>
      <x:c r="F330" s="10" t="n">
        <x:v>0.275</x:v>
      </x:c>
      <x:c r="G330" t="str">
        <x:v>Personal Care</x:v>
      </x:c>
      <x:c r="H330" t="str">
        <x:v>Hair Care</x:v>
      </x:c>
      <x:c r="I330" t="str">
        <x:v>MFG004</x:v>
      </x:c>
      <x:c r="J330" t="str">
        <x:v>Manufacturer 004</x:v>
      </x:c>
      <x:c r="K330" t="str">
        <x:v>SUP009</x:v>
      </x:c>
      <x:c r="L330" t="str">
        <x:v>Supplier 009</x:v>
      </x:c>
      <x:c r="M330" t="str">
        <x:v>REG-399877</x:v>
      </x:c>
      <x:c r="N330" t="str">
        <x:v>Generic Ingredient 030</x:v>
      </x:c>
      <x:c r="O330" t="str">
        <x:v>General Sale</x:v>
      </x:c>
      <x:c r="P330" t="n">
        <x:v>63</x:v>
      </x:c>
      <x:c r="Q330" t="n">
        <x:v>36</x:v>
      </x:c>
      <x:c r="R330" t="n">
        <x:v>0</x:v>
      </x:c>
      <x:c r="S330" s="12" t="n">
        <x:f>E330*Q330</x:f>
        <x:v>8076.24</x:v>
      </x:c>
      <x:c r="T330" s="12" t="n">
        <x:f>ROUND(S330*F330+0.000000001,2)</x:f>
        <x:v>2220.97</x:v>
      </x:c>
      <x:c r="U330" s="12" t="n">
        <x:f>E330*R330</x:f>
        <x:v>0</x:v>
      </x:c>
      <x:c r="V330" t="str">
        <x:f>IF(AND(C330="Active",Q330=0),"Active Zero Sales","Not Zero Sales")</x:f>
        <x:v>Not Zero Sales</x:v>
      </x:c>
      <x:c r="W330" s="12" t="n">
        <x:f>IF(V330="Active Zero Sales",U330,0)</x:f>
        <x:v>0</x:v>
      </x:c>
      <x:c r="X330" t="str">
        <x:f>IF(E330&lt;25,"Low &lt; 25",IF(E330&lt;100,"Medium 25-99",IF(E330&lt;300,"High 100-299","Premium 300+")))</x:f>
        <x:v>High 100-299</x:v>
      </x:c>
      <x:c r="Y330" t="n">
        <x:f>IF(C330="Active",1,0)</x:f>
        <x:v>1</x:v>
      </x:c>
    </x:row>
    <x:row r="331">
      <x:c r="A331" t="str">
        <x:v>SKU00330</x:v>
      </x:c>
      <x:c r="B331" t="str">
        <x:v>Sample Product 00330</x:v>
      </x:c>
      <x:c r="C331" t="str">
        <x:v>Active</x:v>
      </x:c>
      <x:c r="D331" t="str">
        <x:v>2026-01</x:v>
      </x:c>
      <x:c r="E331" s="12" t="n">
        <x:v>31.42</x:v>
      </x:c>
      <x:c r="F331" s="10" t="n">
        <x:v>0.34</x:v>
      </x:c>
      <x:c r="G331" t="str">
        <x:v>Nutrition</x:v>
      </x:c>
      <x:c r="H331" t="str">
        <x:v>Adult Nutrition</x:v>
      </x:c>
      <x:c r="I331" t="str">
        <x:v>MFG003</x:v>
      </x:c>
      <x:c r="J331" t="str">
        <x:v>Manufacturer 003</x:v>
      </x:c>
      <x:c r="K331" t="str">
        <x:v>SUP010</x:v>
      </x:c>
      <x:c r="L331" t="str">
        <x:v>Supplier 010</x:v>
      </x:c>
      <x:c r="M331" t="str">
        <x:v>REG-764664</x:v>
      </x:c>
      <x:c r="N331" t="str">
        <x:v>Generic Ingredient 105</x:v>
      </x:c>
      <x:c r="O331" t="str">
        <x:v>General Sale</x:v>
      </x:c>
      <x:c r="P331" t="n">
        <x:v>63</x:v>
      </x:c>
      <x:c r="Q331" t="n">
        <x:v>0</x:v>
      </x:c>
      <x:c r="R331" t="n">
        <x:v>48</x:v>
      </x:c>
      <x:c r="S331" s="12" t="n">
        <x:f>E331*Q331</x:f>
        <x:v>0</x:v>
      </x:c>
      <x:c r="T331" s="12" t="n">
        <x:f>ROUND(S331*F331+0.000000001,2)</x:f>
        <x:v>0</x:v>
      </x:c>
      <x:c r="U331" s="12" t="n">
        <x:f>E331*R331</x:f>
        <x:v>1508.16</x:v>
      </x:c>
      <x:c r="V331" t="str">
        <x:f>IF(AND(C331="Active",Q331=0),"Active Zero Sales","Not Zero Sales")</x:f>
        <x:v>Active Zero Sales</x:v>
      </x:c>
      <x:c r="W331" s="12" t="n">
        <x:f>IF(V331="Active Zero Sales",U331,0)</x:f>
        <x:v>1508.16</x:v>
      </x:c>
      <x:c r="X331" t="str">
        <x:f>IF(E331&lt;25,"Low &lt; 25",IF(E331&lt;100,"Medium 25-99",IF(E331&lt;300,"High 100-299","Premium 300+")))</x:f>
        <x:v>Medium 25-99</x:v>
      </x:c>
      <x:c r="Y331" t="n">
        <x:f>IF(C331="Active",1,0)</x:f>
        <x:v>1</x:v>
      </x:c>
    </x:row>
    <x:row r="332">
      <x:c r="A332" t="str">
        <x:v>SKU00331</x:v>
      </x:c>
      <x:c r="B332" t="str">
        <x:v>Sample Product 00331</x:v>
      </x:c>
      <x:c r="C332" t="str">
        <x:v>Active</x:v>
      </x:c>
      <x:c r="D332" t="str">
        <x:v>2026-04</x:v>
      </x:c>
      <x:c r="E332" s="12" t="n">
        <x:v>212.68</x:v>
      </x:c>
      <x:c r="F332" s="10" t="n">
        <x:v>0.317</x:v>
      </x:c>
      <x:c r="G332" t="str">
        <x:v>Nutrition</x:v>
      </x:c>
      <x:c r="H332" t="str">
        <x:v>Hydration</x:v>
      </x:c>
      <x:c r="I332" t="str">
        <x:v>MFG017</x:v>
      </x:c>
      <x:c r="J332" t="str">
        <x:v>Manufacturer 017</x:v>
      </x:c>
      <x:c r="K332" t="str">
        <x:v>SUP026</x:v>
      </x:c>
      <x:c r="L332" t="str">
        <x:v>Supplier 026</x:v>
      </x:c>
      <x:c r="M332" t="str">
        <x:v>REG-250096</x:v>
      </x:c>
      <x:c r="N332" t="str">
        <x:v>Generic Ingredient 040</x:v>
      </x:c>
      <x:c r="O332" t="str">
        <x:v>Pharmacy Only</x:v>
      </x:c>
      <x:c r="P332" t="n">
        <x:v>16</x:v>
      </x:c>
      <x:c r="Q332" t="n">
        <x:v>0</x:v>
      </x:c>
      <x:c r="R332" t="n">
        <x:v>20</x:v>
      </x:c>
      <x:c r="S332" s="12" t="n">
        <x:f>E332*Q332</x:f>
        <x:v>0</x:v>
      </x:c>
      <x:c r="T332" s="12" t="n">
        <x:f>ROUND(S332*F332+0.000000001,2)</x:f>
        <x:v>0</x:v>
      </x:c>
      <x:c r="U332" s="12" t="n">
        <x:f>E332*R332</x:f>
        <x:v>4253.6</x:v>
      </x:c>
      <x:c r="V332" t="str">
        <x:f>IF(AND(C332="Active",Q332=0),"Active Zero Sales","Not Zero Sales")</x:f>
        <x:v>Active Zero Sales</x:v>
      </x:c>
      <x:c r="W332" s="12" t="n">
        <x:f>IF(V332="Active Zero Sales",U332,0)</x:f>
        <x:v>4253.6</x:v>
      </x:c>
      <x:c r="X332" t="str">
        <x:f>IF(E332&lt;25,"Low &lt; 25",IF(E332&lt;100,"Medium 25-99",IF(E332&lt;300,"High 100-299","Premium 300+")))</x:f>
        <x:v>High 100-299</x:v>
      </x:c>
      <x:c r="Y332" t="n">
        <x:f>IF(C332="Active",1,0)</x:f>
        <x:v>1</x:v>
      </x:c>
    </x:row>
    <x:row r="333">
      <x:c r="A333" t="str">
        <x:v>SKU00332</x:v>
      </x:c>
      <x:c r="B333" t="str">
        <x:v>Sample Product 00332</x:v>
      </x:c>
      <x:c r="C333" t="str">
        <x:v>Blocked</x:v>
      </x:c>
      <x:c r="D333" t="str">
        <x:v>2026-01</x:v>
      </x:c>
      <x:c r="E333" s="12" t="n">
        <x:v>18.73</x:v>
      </x:c>
      <x:c r="F333" s="10" t="n">
        <x:v>0.354</x:v>
      </x:c>
      <x:c r="G333" t="str">
        <x:v>General Merchandise</x:v>
      </x:c>
      <x:c r="H333" t="str">
        <x:v>Accessories</x:v>
      </x:c>
      <x:c r="I333" t="str">
        <x:v>MFG005</x:v>
      </x:c>
      <x:c r="J333" t="str">
        <x:v>Manufacturer 005</x:v>
      </x:c>
      <x:c r="K333" t="str">
        <x:v>SUP002</x:v>
      </x:c>
      <x:c r="L333" t="str">
        <x:v>Supplier 002</x:v>
      </x:c>
      <x:c r="M333" t="str">
        <x:v>REG-470729</x:v>
      </x:c>
      <x:c r="N333" t="str">
        <x:v>Generic Ingredient 037</x:v>
      </x:c>
      <x:c r="O333" t="str">
        <x:v>Pharmacy Only</x:v>
      </x:c>
      <x:c r="P333" t="n">
        <x:v>56</x:v>
      </x:c>
      <x:c r="Q333" t="n">
        <x:v>0</x:v>
      </x:c>
      <x:c r="R333" t="n">
        <x:v>6</x:v>
      </x:c>
      <x:c r="S333" s="12" t="n">
        <x:f>E333*Q333</x:f>
        <x:v>0</x:v>
      </x:c>
      <x:c r="T333" s="12" t="n">
        <x:f>ROUND(S333*F333+0.000000001,2)</x:f>
        <x:v>0</x:v>
      </x:c>
      <x:c r="U333" s="12" t="n">
        <x:f>E333*R333</x:f>
        <x:v>112.38</x:v>
      </x:c>
      <x:c r="V333" t="str">
        <x:f>IF(AND(C333="Active",Q333=0),"Active Zero Sales","Not Zero Sales")</x:f>
        <x:v>Not Zero Sales</x:v>
      </x:c>
      <x:c r="W333" s="12" t="n">
        <x:f>IF(V333="Active Zero Sales",U333,0)</x:f>
        <x:v>0</x:v>
      </x:c>
      <x:c r="X333" t="str">
        <x:f>IF(E333&lt;25,"Low &lt; 25",IF(E333&lt;100,"Medium 25-99",IF(E333&lt;300,"High 100-299","Premium 300+")))</x:f>
        <x:v>Low &lt; 25</x:v>
      </x:c>
      <x:c r="Y333" t="n">
        <x:f>IF(C333="Active",1,0)</x:f>
        <x:v>0</x:v>
      </x:c>
    </x:row>
    <x:row r="334">
      <x:c r="A334" t="str">
        <x:v>SKU00333</x:v>
      </x:c>
      <x:c r="B334" t="str">
        <x:v>Sample Product 00333</x:v>
      </x:c>
      <x:c r="C334" t="str">
        <x:v>Blocked</x:v>
      </x:c>
      <x:c r="D334" t="str">
        <x:v>2026-06</x:v>
      </x:c>
      <x:c r="E334" s="12" t="n">
        <x:v>90.53</x:v>
      </x:c>
      <x:c r="F334" s="10" t="n">
        <x:v>0.499</x:v>
      </x:c>
      <x:c r="G334" t="str">
        <x:v>Personal Care</x:v>
      </x:c>
      <x:c r="H334" t="str">
        <x:v>Oral Care</x:v>
      </x:c>
      <x:c r="I334" t="str">
        <x:v>MFG004</x:v>
      </x:c>
      <x:c r="J334" t="str">
        <x:v>Manufacturer 004</x:v>
      </x:c>
      <x:c r="K334" t="str">
        <x:v>SUP011</x:v>
      </x:c>
      <x:c r="L334" t="str">
        <x:v>Supplier 011</x:v>
      </x:c>
      <x:c r="M334" t="str">
        <x:v>REG-980947</x:v>
      </x:c>
      <x:c r="N334" t="str">
        <x:v>Generic Ingredient 005</x:v>
      </x:c>
      <x:c r="O334" t="str">
        <x:v>General Sale</x:v>
      </x:c>
      <x:c r="P334" t="n">
        <x:v>36</x:v>
      </x:c>
      <x:c r="Q334" t="n">
        <x:v>0</x:v>
      </x:c>
      <x:c r="R334" t="n">
        <x:v>0</x:v>
      </x:c>
      <x:c r="S334" s="12" t="n">
        <x:f>E334*Q334</x:f>
        <x:v>0</x:v>
      </x:c>
      <x:c r="T334" s="12" t="n">
        <x:f>ROUND(S334*F334+0.000000001,2)</x:f>
        <x:v>0</x:v>
      </x:c>
      <x:c r="U334" s="12" t="n">
        <x:f>E334*R334</x:f>
        <x:v>0</x:v>
      </x:c>
      <x:c r="V334" t="str">
        <x:f>IF(AND(C334="Active",Q334=0),"Active Zero Sales","Not Zero Sales")</x:f>
        <x:v>Not Zero Sales</x:v>
      </x:c>
      <x:c r="W334" s="12" t="n">
        <x:f>IF(V334="Active Zero Sales",U334,0)</x:f>
        <x:v>0</x:v>
      </x:c>
      <x:c r="X334" t="str">
        <x:f>IF(E334&lt;25,"Low &lt; 25",IF(E334&lt;100,"Medium 25-99",IF(E334&lt;300,"High 100-299","Premium 300+")))</x:f>
        <x:v>Medium 25-99</x:v>
      </x:c>
      <x:c r="Y334" t="n">
        <x:f>IF(C334="Active",1,0)</x:f>
        <x:v>0</x:v>
      </x:c>
    </x:row>
    <x:row r="335">
      <x:c r="A335" t="str">
        <x:v>SKU00334</x:v>
      </x:c>
      <x:c r="B335" t="str">
        <x:v>Sample Product 00334</x:v>
      </x:c>
      <x:c r="C335" t="str">
        <x:v>Active</x:v>
      </x:c>
      <x:c r="D335" t="str">
        <x:v>2026-05</x:v>
      </x:c>
      <x:c r="E335" s="12" t="n">
        <x:v>527.54</x:v>
      </x:c>
      <x:c r="F335" s="10" t="n">
        <x:v>0.313</x:v>
      </x:c>
      <x:c r="G335" t="str">
        <x:v>OTC &amp; Wellness</x:v>
      </x:c>
      <x:c r="H335" t="str">
        <x:v>Digestive Care</x:v>
      </x:c>
      <x:c r="I335" t="str">
        <x:v>MFG004</x:v>
      </x:c>
      <x:c r="J335" t="str">
        <x:v>Manufacturer 004</x:v>
      </x:c>
      <x:c r="K335" t="str">
        <x:v>SUP016</x:v>
      </x:c>
      <x:c r="L335" t="str">
        <x:v>Supplier 016</x:v>
      </x:c>
      <x:c r="M335" t="str">
        <x:v>REG-465571</x:v>
      </x:c>
      <x:c r="N335" t="str">
        <x:v>Generic Ingredient 063</x:v>
      </x:c>
      <x:c r="O335" t="str">
        <x:v>General Sale</x:v>
      </x:c>
      <x:c r="P335" t="n">
        <x:v>15</x:v>
      </x:c>
      <x:c r="Q335" t="n">
        <x:v>17</x:v>
      </x:c>
      <x:c r="R335" t="n">
        <x:v>0</x:v>
      </x:c>
      <x:c r="S335" s="12" t="n">
        <x:f>E335*Q335</x:f>
        <x:v>8968.18</x:v>
      </x:c>
      <x:c r="T335" s="12" t="n">
        <x:f>ROUND(S335*F335+0.000000001,2)</x:f>
        <x:v>2807.04</x:v>
      </x:c>
      <x:c r="U335" s="12" t="n">
        <x:f>E335*R335</x:f>
        <x:v>0</x:v>
      </x:c>
      <x:c r="V335" t="str">
        <x:f>IF(AND(C335="Active",Q335=0),"Active Zero Sales","Not Zero Sales")</x:f>
        <x:v>Not Zero Sales</x:v>
      </x:c>
      <x:c r="W335" s="12" t="n">
        <x:f>IF(V335="Active Zero Sales",U335,0)</x:f>
        <x:v>0</x:v>
      </x:c>
      <x:c r="X335" t="str">
        <x:f>IF(E335&lt;25,"Low &lt; 25",IF(E335&lt;100,"Medium 25-99",IF(E335&lt;300,"High 100-299","Premium 300+")))</x:f>
        <x:v>Premium 300+</x:v>
      </x:c>
      <x:c r="Y335" t="n">
        <x:f>IF(C335="Active",1,0)</x:f>
        <x:v>1</x:v>
      </x:c>
    </x:row>
    <x:row r="336">
      <x:c r="A336" t="str">
        <x:v>SKU00335</x:v>
      </x:c>
      <x:c r="B336" t="str">
        <x:v>Sample Product 00335</x:v>
      </x:c>
      <x:c r="C336" t="str">
        <x:v>Active</x:v>
      </x:c>
      <x:c r="D336" t="str">
        <x:v>2026-03</x:v>
      </x:c>
      <x:c r="E336" s="12" t="n">
        <x:v>366.62</x:v>
      </x:c>
      <x:c r="F336" s="10" t="n">
        <x:v>0.227</x:v>
      </x:c>
      <x:c r="G336" t="str">
        <x:v>Medical Devices</x:v>
      </x:c>
      <x:c r="H336" t="str">
        <x:v>Mobility Aids</x:v>
      </x:c>
      <x:c r="I336" t="str">
        <x:v>MFG010</x:v>
      </x:c>
      <x:c r="J336" t="str">
        <x:v>Manufacturer 010</x:v>
      </x:c>
      <x:c r="K336" t="str">
        <x:v>SUP011</x:v>
      </x:c>
      <x:c r="L336" t="str">
        <x:v>Supplier 011</x:v>
      </x:c>
      <x:c r="M336" t="str">
        <x:v>REG-702360</x:v>
      </x:c>
      <x:c r="N336" t="str">
        <x:v>Generic Ingredient 048</x:v>
      </x:c>
      <x:c r="O336" t="str">
        <x:v>General Sale</x:v>
      </x:c>
      <x:c r="P336" t="n">
        <x:v>32</x:v>
      </x:c>
      <x:c r="Q336" t="n">
        <x:v>26</x:v>
      </x:c>
      <x:c r="R336" t="n">
        <x:v>9</x:v>
      </x:c>
      <x:c r="S336" s="12" t="n">
        <x:f>E336*Q336</x:f>
        <x:v>9532.12</x:v>
      </x:c>
      <x:c r="T336" s="12" t="n">
        <x:f>ROUND(S336*F336+0.000000001,2)</x:f>
        <x:v>2163.79</x:v>
      </x:c>
      <x:c r="U336" s="12" t="n">
        <x:f>E336*R336</x:f>
        <x:v>3299.58</x:v>
      </x:c>
      <x:c r="V336" t="str">
        <x:f>IF(AND(C336="Active",Q336=0),"Active Zero Sales","Not Zero Sales")</x:f>
        <x:v>Not Zero Sales</x:v>
      </x:c>
      <x:c r="W336" s="12" t="n">
        <x:f>IF(V336="Active Zero Sales",U336,0)</x:f>
        <x:v>0</x:v>
      </x:c>
      <x:c r="X336" t="str">
        <x:f>IF(E336&lt;25,"Low &lt; 25",IF(E336&lt;100,"Medium 25-99",IF(E336&lt;300,"High 100-299","Premium 300+")))</x:f>
        <x:v>Premium 300+</x:v>
      </x:c>
      <x:c r="Y336" t="n">
        <x:f>IF(C336="Active",1,0)</x:f>
        <x:v>1</x:v>
      </x:c>
    </x:row>
    <x:row r="337">
      <x:c r="A337" t="str">
        <x:v>SKU00336</x:v>
      </x:c>
      <x:c r="B337" t="str">
        <x:v>Sample Product 00336</x:v>
      </x:c>
      <x:c r="C337" t="str">
        <x:v>Active</x:v>
      </x:c>
      <x:c r="D337" t="str">
        <x:v>2026-02</x:v>
      </x:c>
      <x:c r="E337" s="12" t="n">
        <x:v>120.49</x:v>
      </x:c>
      <x:c r="F337" s="10" t="n">
        <x:v>0.281</x:v>
      </x:c>
      <x:c r="G337" t="str">
        <x:v>OTC &amp; Wellness</x:v>
      </x:c>
      <x:c r="H337" t="str">
        <x:v>Digestive Care</x:v>
      </x:c>
      <x:c r="I337" t="str">
        <x:v>MFG016</x:v>
      </x:c>
      <x:c r="J337" t="str">
        <x:v>Manufacturer 016</x:v>
      </x:c>
      <x:c r="K337" t="str">
        <x:v>SUP016</x:v>
      </x:c>
      <x:c r="L337" t="str">
        <x:v>Supplier 016</x:v>
      </x:c>
      <x:c r="M337" t="str">
        <x:v>REG-125040</x:v>
      </x:c>
      <x:c r="N337" t="str">
        <x:v>Generic Ingredient 027</x:v>
      </x:c>
      <x:c r="O337" t="str">
        <x:v>General Sale</x:v>
      </x:c>
      <x:c r="P337" t="n">
        <x:v>107</x:v>
      </x:c>
      <x:c r="Q337" t="n">
        <x:v>66</x:v>
      </x:c>
      <x:c r="R337" t="n">
        <x:v>18</x:v>
      </x:c>
      <x:c r="S337" s="12" t="n">
        <x:f>E337*Q337</x:f>
        <x:v>7952.339999999999</x:v>
      </x:c>
      <x:c r="T337" s="12" t="n">
        <x:f>ROUND(S337*F337+0.000000001,2)</x:f>
        <x:v>2234.61</x:v>
      </x:c>
      <x:c r="U337" s="12" t="n">
        <x:f>E337*R337</x:f>
        <x:v>2168.8199999999997</x:v>
      </x:c>
      <x:c r="V337" t="str">
        <x:f>IF(AND(C337="Active",Q337=0),"Active Zero Sales","Not Zero Sales")</x:f>
        <x:v>Not Zero Sales</x:v>
      </x:c>
      <x:c r="W337" s="12" t="n">
        <x:f>IF(V337="Active Zero Sales",U337,0)</x:f>
        <x:v>0</x:v>
      </x:c>
      <x:c r="X337" t="str">
        <x:f>IF(E337&lt;25,"Low &lt; 25",IF(E337&lt;100,"Medium 25-99",IF(E337&lt;300,"High 100-299","Premium 300+")))</x:f>
        <x:v>High 100-299</x:v>
      </x:c>
      <x:c r="Y337" t="n">
        <x:f>IF(C337="Active",1,0)</x:f>
        <x:v>1</x:v>
      </x:c>
    </x:row>
    <x:row r="338">
      <x:c r="A338" t="str">
        <x:v>SKU00337</x:v>
      </x:c>
      <x:c r="B338" t="str">
        <x:v>Sample Product 00337</x:v>
      </x:c>
      <x:c r="C338" t="str">
        <x:v>Active</x:v>
      </x:c>
      <x:c r="D338" t="str">
        <x:v>2026-06</x:v>
      </x:c>
      <x:c r="E338" s="12" t="n">
        <x:v>88.19</x:v>
      </x:c>
      <x:c r="F338" s="10" t="n">
        <x:v>0.338</x:v>
      </x:c>
      <x:c r="G338" t="str">
        <x:v>OTC &amp; Wellness</x:v>
      </x:c>
      <x:c r="H338" t="str">
        <x:v>Pain Relief</x:v>
      </x:c>
      <x:c r="I338" t="str">
        <x:v>MFG016</x:v>
      </x:c>
      <x:c r="J338" t="str">
        <x:v>Manufacturer 016</x:v>
      </x:c>
      <x:c r="K338" t="str">
        <x:v>SUP013</x:v>
      </x:c>
      <x:c r="L338" t="str">
        <x:v>Supplier 013</x:v>
      </x:c>
      <x:c r="M338" t="str">
        <x:v>REG-448304</x:v>
      </x:c>
      <x:c r="N338" t="str">
        <x:v>Generic Ingredient 161</x:v>
      </x:c>
      <x:c r="O338" t="str">
        <x:v>General Sale</x:v>
      </x:c>
      <x:c r="P338" t="n">
        <x:v>52</x:v>
      </x:c>
      <x:c r="Q338" t="n">
        <x:v>35</x:v>
      </x:c>
      <x:c r="R338" t="n">
        <x:v>22</x:v>
      </x:c>
      <x:c r="S338" s="12" t="n">
        <x:f>E338*Q338</x:f>
        <x:v>3086.65</x:v>
      </x:c>
      <x:c r="T338" s="12" t="n">
        <x:f>ROUND(S338*F338+0.000000001,2)</x:f>
        <x:v>1043.29</x:v>
      </x:c>
      <x:c r="U338" s="12" t="n">
        <x:f>E338*R338</x:f>
        <x:v>1940.1799999999998</x:v>
      </x:c>
      <x:c r="V338" t="str">
        <x:f>IF(AND(C338="Active",Q338=0),"Active Zero Sales","Not Zero Sales")</x:f>
        <x:v>Not Zero Sales</x:v>
      </x:c>
      <x:c r="W338" s="12" t="n">
        <x:f>IF(V338="Active Zero Sales",U338,0)</x:f>
        <x:v>0</x:v>
      </x:c>
      <x:c r="X338" t="str">
        <x:f>IF(E338&lt;25,"Low &lt; 25",IF(E338&lt;100,"Medium 25-99",IF(E338&lt;300,"High 100-299","Premium 300+")))</x:f>
        <x:v>Medium 25-99</x:v>
      </x:c>
      <x:c r="Y338" t="n">
        <x:f>IF(C338="Active",1,0)</x:f>
        <x:v>1</x:v>
      </x:c>
    </x:row>
    <x:row r="339">
      <x:c r="A339" t="str">
        <x:v>SKU00338</x:v>
      </x:c>
      <x:c r="B339" t="str">
        <x:v>Sample Product 00338</x:v>
      </x:c>
      <x:c r="C339" t="str">
        <x:v>Active</x:v>
      </x:c>
      <x:c r="D339" t="str">
        <x:v>2026-06</x:v>
      </x:c>
      <x:c r="E339" s="12" t="n">
        <x:v>5.03</x:v>
      </x:c>
      <x:c r="F339" s="10" t="n">
        <x:v>0.472</x:v>
      </x:c>
      <x:c r="G339" t="str">
        <x:v>Personal Care</x:v>
      </x:c>
      <x:c r="H339" t="str">
        <x:v>Hygiene</x:v>
      </x:c>
      <x:c r="I339" t="str">
        <x:v>MFG020</x:v>
      </x:c>
      <x:c r="J339" t="str">
        <x:v>Manufacturer 020</x:v>
      </x:c>
      <x:c r="K339" t="str">
        <x:v>SUP027</x:v>
      </x:c>
      <x:c r="L339" t="str">
        <x:v>Supplier 027</x:v>
      </x:c>
      <x:c r="M339" t="str">
        <x:v>REG-668195</x:v>
      </x:c>
      <x:c r="N339" t="str">
        <x:v>Generic Ingredient 149</x:v>
      </x:c>
      <x:c r="O339" t="str">
        <x:v>General Sale</x:v>
      </x:c>
      <x:c r="P339" t="n">
        <x:v>47</x:v>
      </x:c>
      <x:c r="Q339" t="n">
        <x:v>17</x:v>
      </x:c>
      <x:c r="R339" t="n">
        <x:v>1</x:v>
      </x:c>
      <x:c r="S339" s="12" t="n">
        <x:f>E339*Q339</x:f>
        <x:v>85.51</x:v>
      </x:c>
      <x:c r="T339" s="12" t="n">
        <x:f>ROUND(S339*F339+0.000000001,2)</x:f>
        <x:v>40.36</x:v>
      </x:c>
      <x:c r="U339" s="12" t="n">
        <x:f>E339*R339</x:f>
        <x:v>5.03</x:v>
      </x:c>
      <x:c r="V339" t="str">
        <x:f>IF(AND(C339="Active",Q339=0),"Active Zero Sales","Not Zero Sales")</x:f>
        <x:v>Not Zero Sales</x:v>
      </x:c>
      <x:c r="W339" s="12" t="n">
        <x:f>IF(V339="Active Zero Sales",U339,0)</x:f>
        <x:v>0</x:v>
      </x:c>
      <x:c r="X339" t="str">
        <x:f>IF(E339&lt;25,"Low &lt; 25",IF(E339&lt;100,"Medium 25-99",IF(E339&lt;300,"High 100-299","Premium 300+")))</x:f>
        <x:v>Low &lt; 25</x:v>
      </x:c>
      <x:c r="Y339" t="n">
        <x:f>IF(C339="Active",1,0)</x:f>
        <x:v>1</x:v>
      </x:c>
    </x:row>
    <x:row r="340">
      <x:c r="A340" t="str">
        <x:v>SKU00339</x:v>
      </x:c>
      <x:c r="B340" t="str">
        <x:v>Sample Product 00339</x:v>
      </x:c>
      <x:c r="C340" t="str">
        <x:v>Active</x:v>
      </x:c>
      <x:c r="D340" t="str">
        <x:v>2026-03</x:v>
      </x:c>
      <x:c r="E340" s="12" t="n">
        <x:v>168.6</x:v>
      </x:c>
      <x:c r="F340" s="10" t="n">
        <x:v>0.336</x:v>
      </x:c>
      <x:c r="G340" t="str">
        <x:v>Personal Care</x:v>
      </x:c>
      <x:c r="H340" t="str">
        <x:v>Oral Care</x:v>
      </x:c>
      <x:c r="I340" t="str">
        <x:v>MFG020</x:v>
      </x:c>
      <x:c r="J340" t="str">
        <x:v>Manufacturer 020</x:v>
      </x:c>
      <x:c r="K340" t="str">
        <x:v>SUP019</x:v>
      </x:c>
      <x:c r="L340" t="str">
        <x:v>Supplier 019</x:v>
      </x:c>
      <x:c r="M340" t="str">
        <x:v>REG-920833</x:v>
      </x:c>
      <x:c r="N340" t="str">
        <x:v>Generic Ingredient 052</x:v>
      </x:c>
      <x:c r="O340" t="str">
        <x:v>General Sale</x:v>
      </x:c>
      <x:c r="P340" t="n">
        <x:v>131</x:v>
      </x:c>
      <x:c r="Q340" t="n">
        <x:v>69</x:v>
      </x:c>
      <x:c r="R340" t="n">
        <x:v>47</x:v>
      </x:c>
      <x:c r="S340" s="12" t="n">
        <x:f>E340*Q340</x:f>
        <x:v>11633.4</x:v>
      </x:c>
      <x:c r="T340" s="12" t="n">
        <x:f>ROUND(S340*F340+0.000000001,2)</x:f>
        <x:v>3908.82</x:v>
      </x:c>
      <x:c r="U340" s="12" t="n">
        <x:f>E340*R340</x:f>
        <x:v>7924.2</x:v>
      </x:c>
      <x:c r="V340" t="str">
        <x:f>IF(AND(C340="Active",Q340=0),"Active Zero Sales","Not Zero Sales")</x:f>
        <x:v>Not Zero Sales</x:v>
      </x:c>
      <x:c r="W340" s="12" t="n">
        <x:f>IF(V340="Active Zero Sales",U340,0)</x:f>
        <x:v>0</x:v>
      </x:c>
      <x:c r="X340" t="str">
        <x:f>IF(E340&lt;25,"Low &lt; 25",IF(E340&lt;100,"Medium 25-99",IF(E340&lt;300,"High 100-299","Premium 300+")))</x:f>
        <x:v>High 100-299</x:v>
      </x:c>
      <x:c r="Y340" t="n">
        <x:f>IF(C340="Active",1,0)</x:f>
        <x:v>1</x:v>
      </x:c>
    </x:row>
    <x:row r="341">
      <x:c r="A341" t="str">
        <x:v>SKU00340</x:v>
      </x:c>
      <x:c r="B341" t="str">
        <x:v>Sample Product 00340</x:v>
      </x:c>
      <x:c r="C341" t="str">
        <x:v>Active</x:v>
      </x:c>
      <x:c r="D341" t="str">
        <x:v>2026-02</x:v>
      </x:c>
      <x:c r="E341" s="12" t="n">
        <x:v>76.01</x:v>
      </x:c>
      <x:c r="F341" s="10" t="n">
        <x:v>0.232</x:v>
      </x:c>
      <x:c r="G341" t="str">
        <x:v>Nutrition</x:v>
      </x:c>
      <x:c r="H341" t="str">
        <x:v>Healthy Snacks</x:v>
      </x:c>
      <x:c r="I341" t="str">
        <x:v>MFG012</x:v>
      </x:c>
      <x:c r="J341" t="str">
        <x:v>Manufacturer 012</x:v>
      </x:c>
      <x:c r="K341" t="str">
        <x:v>SUP011</x:v>
      </x:c>
      <x:c r="L341" t="str">
        <x:v>Supplier 011</x:v>
      </x:c>
      <x:c r="M341" t="str">
        <x:v>REG-243906</x:v>
      </x:c>
      <x:c r="N341" t="str">
        <x:v>Generic Ingredient 119</x:v>
      </x:c>
      <x:c r="O341" t="str">
        <x:v>General Sale</x:v>
      </x:c>
      <x:c r="P341" t="n">
        <x:v>34</x:v>
      </x:c>
      <x:c r="Q341" t="n">
        <x:v>15</x:v>
      </x:c>
      <x:c r="R341" t="n">
        <x:v>13</x:v>
      </x:c>
      <x:c r="S341" s="12" t="n">
        <x:f>E341*Q341</x:f>
        <x:v>1140.15</x:v>
      </x:c>
      <x:c r="T341" s="12" t="n">
        <x:f>ROUND(S341*F341+0.000000001,2)</x:f>
        <x:v>264.51</x:v>
      </x:c>
      <x:c r="U341" s="12" t="n">
        <x:f>E341*R341</x:f>
        <x:v>988.1300000000001</x:v>
      </x:c>
      <x:c r="V341" t="str">
        <x:f>IF(AND(C341="Active",Q341=0),"Active Zero Sales","Not Zero Sales")</x:f>
        <x:v>Not Zero Sales</x:v>
      </x:c>
      <x:c r="W341" s="12" t="n">
        <x:f>IF(V341="Active Zero Sales",U341,0)</x:f>
        <x:v>0</x:v>
      </x:c>
      <x:c r="X341" t="str">
        <x:f>IF(E341&lt;25,"Low &lt; 25",IF(E341&lt;100,"Medium 25-99",IF(E341&lt;300,"High 100-299","Premium 300+")))</x:f>
        <x:v>Medium 25-99</x:v>
      </x:c>
      <x:c r="Y341" t="n">
        <x:f>IF(C341="Active",1,0)</x:f>
        <x:v>1</x:v>
      </x:c>
    </x:row>
    <x:row r="342">
      <x:c r="A342" t="str">
        <x:v>SKU00341</x:v>
      </x:c>
      <x:c r="B342" t="str">
        <x:v>Sample Product 00341</x:v>
      </x:c>
      <x:c r="C342" t="str">
        <x:v>Blocked</x:v>
      </x:c>
      <x:c r="D342" t="str">
        <x:v>2026-03</x:v>
      </x:c>
      <x:c r="E342" s="12" t="n">
        <x:v>9.07</x:v>
      </x:c>
      <x:c r="F342" s="10" t="n">
        <x:v>0.437</x:v>
      </x:c>
      <x:c r="G342" t="str">
        <x:v>OTC &amp; Wellness</x:v>
      </x:c>
      <x:c r="H342" t="str">
        <x:v>Vitamins</x:v>
      </x:c>
      <x:c r="I342" t="str">
        <x:v>MFG012</x:v>
      </x:c>
      <x:c r="J342" t="str">
        <x:v>Manufacturer 012</x:v>
      </x:c>
      <x:c r="K342" t="str">
        <x:v>SUP003</x:v>
      </x:c>
      <x:c r="L342" t="str">
        <x:v>Supplier 003</x:v>
      </x:c>
      <x:c r="M342" t="str">
        <x:v>REG-539277</x:v>
      </x:c>
      <x:c r="N342" t="str">
        <x:v>Generic Ingredient 010</x:v>
      </x:c>
      <x:c r="O342" t="str">
        <x:v>General Sale</x:v>
      </x:c>
      <x:c r="P342" t="n">
        <x:v>49</x:v>
      </x:c>
      <x:c r="Q342" t="n">
        <x:v>0</x:v>
      </x:c>
      <x:c r="R342" t="n">
        <x:v>0</x:v>
      </x:c>
      <x:c r="S342" s="12" t="n">
        <x:f>E342*Q342</x:f>
        <x:v>0</x:v>
      </x:c>
      <x:c r="T342" s="12" t="n">
        <x:f>ROUND(S342*F342+0.000000001,2)</x:f>
        <x:v>0</x:v>
      </x:c>
      <x:c r="U342" s="12" t="n">
        <x:f>E342*R342</x:f>
        <x:v>0</x:v>
      </x:c>
      <x:c r="V342" t="str">
        <x:f>IF(AND(C342="Active",Q342=0),"Active Zero Sales","Not Zero Sales")</x:f>
        <x:v>Not Zero Sales</x:v>
      </x:c>
      <x:c r="W342" s="12" t="n">
        <x:f>IF(V342="Active Zero Sales",U342,0)</x:f>
        <x:v>0</x:v>
      </x:c>
      <x:c r="X342" t="str">
        <x:f>IF(E342&lt;25,"Low &lt; 25",IF(E342&lt;100,"Medium 25-99",IF(E342&lt;300,"High 100-299","Premium 300+")))</x:f>
        <x:v>Low &lt; 25</x:v>
      </x:c>
      <x:c r="Y342" t="n">
        <x:f>IF(C342="Active",1,0)</x:f>
        <x:v>0</x:v>
      </x:c>
    </x:row>
    <x:row r="343">
      <x:c r="A343" t="str">
        <x:v>SKU00342</x:v>
      </x:c>
      <x:c r="B343" t="str">
        <x:v>Sample Product 00342</x:v>
      </x:c>
      <x:c r="C343" t="str">
        <x:v>Active</x:v>
      </x:c>
      <x:c r="D343" t="str">
        <x:v>2026-02</x:v>
      </x:c>
      <x:c r="E343" s="12" t="n">
        <x:v>327.08</x:v>
      </x:c>
      <x:c r="F343" s="10" t="n">
        <x:v>0.316</x:v>
      </x:c>
      <x:c r="G343" t="str">
        <x:v>Personal Care</x:v>
      </x:c>
      <x:c r="H343" t="str">
        <x:v>Hygiene</x:v>
      </x:c>
      <x:c r="I343" t="str">
        <x:v>MFG019</x:v>
      </x:c>
      <x:c r="J343" t="str">
        <x:v>Manufacturer 019</x:v>
      </x:c>
      <x:c r="K343" t="str">
        <x:v>SUP009</x:v>
      </x:c>
      <x:c r="L343" t="str">
        <x:v>Supplier 009</x:v>
      </x:c>
      <x:c r="M343" t="str">
        <x:v>REG-791141</x:v>
      </x:c>
      <x:c r="N343" t="str">
        <x:v>Generic Ingredient 098</x:v>
      </x:c>
      <x:c r="O343" t="str">
        <x:v>General Sale</x:v>
      </x:c>
      <x:c r="P343" t="n">
        <x:v>77</x:v>
      </x:c>
      <x:c r="Q343" t="n">
        <x:v>45</x:v>
      </x:c>
      <x:c r="R343" t="n">
        <x:v>30</x:v>
      </x:c>
      <x:c r="S343" s="12" t="n">
        <x:f>E343*Q343</x:f>
        <x:v>14718.599999999999</x:v>
      </x:c>
      <x:c r="T343" s="12" t="n">
        <x:f>ROUND(S343*F343+0.000000001,2)</x:f>
        <x:v>4651.08</x:v>
      </x:c>
      <x:c r="U343" s="12" t="n">
        <x:f>E343*R343</x:f>
        <x:v>9812.4</x:v>
      </x:c>
      <x:c r="V343" t="str">
        <x:f>IF(AND(C343="Active",Q343=0),"Active Zero Sales","Not Zero Sales")</x:f>
        <x:v>Not Zero Sales</x:v>
      </x:c>
      <x:c r="W343" s="12" t="n">
        <x:f>IF(V343="Active Zero Sales",U343,0)</x:f>
        <x:v>0</x:v>
      </x:c>
      <x:c r="X343" t="str">
        <x:f>IF(E343&lt;25,"Low &lt; 25",IF(E343&lt;100,"Medium 25-99",IF(E343&lt;300,"High 100-299","Premium 300+")))</x:f>
        <x:v>Premium 300+</x:v>
      </x:c>
      <x:c r="Y343" t="n">
        <x:f>IF(C343="Active",1,0)</x:f>
        <x:v>1</x:v>
      </x:c>
    </x:row>
    <x:row r="344">
      <x:c r="A344" t="str">
        <x:v>SKU00343</x:v>
      </x:c>
      <x:c r="B344" t="str">
        <x:v>Sample Product 00343</x:v>
      </x:c>
      <x:c r="C344" t="str">
        <x:v>Active</x:v>
      </x:c>
      <x:c r="D344" t="str">
        <x:v>2026-06</x:v>
      </x:c>
      <x:c r="E344" s="12" t="n">
        <x:v>54.8</x:v>
      </x:c>
      <x:c r="F344" s="10" t="n">
        <x:v>0.304</x:v>
      </x:c>
      <x:c r="G344" t="str">
        <x:v>OTC &amp; Wellness</x:v>
      </x:c>
      <x:c r="H344" t="str">
        <x:v>Digestive Care</x:v>
      </x:c>
      <x:c r="I344" t="str">
        <x:v>MFG015</x:v>
      </x:c>
      <x:c r="J344" t="str">
        <x:v>Manufacturer 015</x:v>
      </x:c>
      <x:c r="K344" t="str">
        <x:v>SUP011</x:v>
      </x:c>
      <x:c r="L344" t="str">
        <x:v>Supplier 011</x:v>
      </x:c>
      <x:c r="M344" t="str">
        <x:v>REG-922794</x:v>
      </x:c>
      <x:c r="N344" t="str">
        <x:v>Generic Ingredient 114</x:v>
      </x:c>
      <x:c r="O344" t="str">
        <x:v>General Sale</x:v>
      </x:c>
      <x:c r="P344" t="n">
        <x:v>52</x:v>
      </x:c>
      <x:c r="Q344" t="n">
        <x:v>8</x:v>
      </x:c>
      <x:c r="R344" t="n">
        <x:v>26</x:v>
      </x:c>
      <x:c r="S344" s="12" t="n">
        <x:f>E344*Q344</x:f>
        <x:v>438.4</x:v>
      </x:c>
      <x:c r="T344" s="12" t="n">
        <x:f>ROUND(S344*F344+0.000000001,2)</x:f>
        <x:v>133.27</x:v>
      </x:c>
      <x:c r="U344" s="12" t="n">
        <x:f>E344*R344</x:f>
        <x:v>1424.8</x:v>
      </x:c>
      <x:c r="V344" t="str">
        <x:f>IF(AND(C344="Active",Q344=0),"Active Zero Sales","Not Zero Sales")</x:f>
        <x:v>Not Zero Sales</x:v>
      </x:c>
      <x:c r="W344" s="12" t="n">
        <x:f>IF(V344="Active Zero Sales",U344,0)</x:f>
        <x:v>0</x:v>
      </x:c>
      <x:c r="X344" t="str">
        <x:f>IF(E344&lt;25,"Low &lt; 25",IF(E344&lt;100,"Medium 25-99",IF(E344&lt;300,"High 100-299","Premium 300+")))</x:f>
        <x:v>Medium 25-99</x:v>
      </x:c>
      <x:c r="Y344" t="n">
        <x:f>IF(C344="Active",1,0)</x:f>
        <x:v>1</x:v>
      </x:c>
    </x:row>
    <x:row r="345">
      <x:c r="A345" t="str">
        <x:v>SKU00344</x:v>
      </x:c>
      <x:c r="B345" t="str">
        <x:v>Sample Product 00344</x:v>
      </x:c>
      <x:c r="C345" t="str">
        <x:v>Active</x:v>
      </x:c>
      <x:c r="D345" t="str">
        <x:v>2026-03</x:v>
      </x:c>
      <x:c r="E345" s="12" t="n">
        <x:v>49.91</x:v>
      </x:c>
      <x:c r="F345" s="10" t="n">
        <x:v>0.277</x:v>
      </x:c>
      <x:c r="G345" t="str">
        <x:v>OTC &amp; Wellness</x:v>
      </x:c>
      <x:c r="H345" t="str">
        <x:v>Digestive Care</x:v>
      </x:c>
      <x:c r="I345" t="str">
        <x:v>MFG007</x:v>
      </x:c>
      <x:c r="J345" t="str">
        <x:v>Manufacturer 007</x:v>
      </x:c>
      <x:c r="K345" t="str">
        <x:v>SUP019</x:v>
      </x:c>
      <x:c r="L345" t="str">
        <x:v>Supplier 019</x:v>
      </x:c>
      <x:c r="M345" t="str">
        <x:v>REG-897206</x:v>
      </x:c>
      <x:c r="N345" t="str">
        <x:v>Generic Ingredient 007</x:v>
      </x:c>
      <x:c r="O345" t="str">
        <x:v>General Sale</x:v>
      </x:c>
      <x:c r="P345" t="n">
        <x:v>98</x:v>
      </x:c>
      <x:c r="Q345" t="n">
        <x:v>0</x:v>
      </x:c>
      <x:c r="R345" t="n">
        <x:v>51</x:v>
      </x:c>
      <x:c r="S345" s="12" t="n">
        <x:f>E345*Q345</x:f>
        <x:v>0</x:v>
      </x:c>
      <x:c r="T345" s="12" t="n">
        <x:f>ROUND(S345*F345+0.000000001,2)</x:f>
        <x:v>0</x:v>
      </x:c>
      <x:c r="U345" s="12" t="n">
        <x:f>E345*R345</x:f>
        <x:v>2545.41</x:v>
      </x:c>
      <x:c r="V345" t="str">
        <x:f>IF(AND(C345="Active",Q345=0),"Active Zero Sales","Not Zero Sales")</x:f>
        <x:v>Active Zero Sales</x:v>
      </x:c>
      <x:c r="W345" s="12" t="n">
        <x:f>IF(V345="Active Zero Sales",U345,0)</x:f>
        <x:v>2545.41</x:v>
      </x:c>
      <x:c r="X345" t="str">
        <x:f>IF(E345&lt;25,"Low &lt; 25",IF(E345&lt;100,"Medium 25-99",IF(E345&lt;300,"High 100-299","Premium 300+")))</x:f>
        <x:v>Medium 25-99</x:v>
      </x:c>
      <x:c r="Y345" t="n">
        <x:f>IF(C345="Active",1,0)</x:f>
        <x:v>1</x:v>
      </x:c>
    </x:row>
    <x:row r="346">
      <x:c r="A346" t="str">
        <x:v>SKU00345</x:v>
      </x:c>
      <x:c r="B346" t="str">
        <x:v>Sample Product 00345</x:v>
      </x:c>
      <x:c r="C346" t="str">
        <x:v>Active</x:v>
      </x:c>
      <x:c r="D346" t="str">
        <x:v>2026-05</x:v>
      </x:c>
      <x:c r="E346" s="12" t="n">
        <x:v>20.57</x:v>
      </x:c>
      <x:c r="F346" s="10" t="n">
        <x:v>0.372</x:v>
      </x:c>
      <x:c r="G346" t="str">
        <x:v>General Merchandise</x:v>
      </x:c>
      <x:c r="H346" t="str">
        <x:v>Seasonal Care</x:v>
      </x:c>
      <x:c r="I346" t="str">
        <x:v>MFG016</x:v>
      </x:c>
      <x:c r="J346" t="str">
        <x:v>Manufacturer 016</x:v>
      </x:c>
      <x:c r="K346" t="str">
        <x:v>SUP017</x:v>
      </x:c>
      <x:c r="L346" t="str">
        <x:v>Supplier 017</x:v>
      </x:c>
      <x:c r="M346" t="str">
        <x:v>REG-563480</x:v>
      </x:c>
      <x:c r="N346" t="str">
        <x:v>Generic Ingredient 109</x:v>
      </x:c>
      <x:c r="O346" t="str">
        <x:v>Restricted Sale</x:v>
      </x:c>
      <x:c r="P346" t="n">
        <x:v>110</x:v>
      </x:c>
      <x:c r="Q346" t="n">
        <x:v>40</x:v>
      </x:c>
      <x:c r="R346" t="n">
        <x:v>31</x:v>
      </x:c>
      <x:c r="S346" s="12" t="n">
        <x:f>E346*Q346</x:f>
        <x:v>822.8</x:v>
      </x:c>
      <x:c r="T346" s="12" t="n">
        <x:f>ROUND(S346*F346+0.000000001,2)</x:f>
        <x:v>306.08</x:v>
      </x:c>
      <x:c r="U346" s="12" t="n">
        <x:f>E346*R346</x:f>
        <x:v>637.67</x:v>
      </x:c>
      <x:c r="V346" t="str">
        <x:f>IF(AND(C346="Active",Q346=0),"Active Zero Sales","Not Zero Sales")</x:f>
        <x:v>Not Zero Sales</x:v>
      </x:c>
      <x:c r="W346" s="12" t="n">
        <x:f>IF(V346="Active Zero Sales",U346,0)</x:f>
        <x:v>0</x:v>
      </x:c>
      <x:c r="X346" t="str">
        <x:f>IF(E346&lt;25,"Low &lt; 25",IF(E346&lt;100,"Medium 25-99",IF(E346&lt;300,"High 100-299","Premium 300+")))</x:f>
        <x:v>Low &lt; 25</x:v>
      </x:c>
      <x:c r="Y346" t="n">
        <x:f>IF(C346="Active",1,0)</x:f>
        <x:v>1</x:v>
      </x:c>
    </x:row>
    <x:row r="347">
      <x:c r="A347" t="str">
        <x:v>SKU00346</x:v>
      </x:c>
      <x:c r="B347" t="str">
        <x:v>Sample Product 00346</x:v>
      </x:c>
      <x:c r="C347" t="str">
        <x:v>Blocked</x:v>
      </x:c>
      <x:c r="D347" t="str">
        <x:v>2026-03</x:v>
      </x:c>
      <x:c r="E347" s="12" t="n">
        <x:v>112.48</x:v>
      </x:c>
      <x:c r="F347" s="10" t="n">
        <x:v>0.289</x:v>
      </x:c>
      <x:c r="G347" t="str">
        <x:v>Nutrition</x:v>
      </x:c>
      <x:c r="H347" t="str">
        <x:v>Hydration</x:v>
      </x:c>
      <x:c r="I347" t="str">
        <x:v>MFG009</x:v>
      </x:c>
      <x:c r="J347" t="str">
        <x:v>Manufacturer 009</x:v>
      </x:c>
      <x:c r="K347" t="str">
        <x:v>SUP019</x:v>
      </x:c>
      <x:c r="L347" t="str">
        <x:v>Supplier 019</x:v>
      </x:c>
      <x:c r="M347" t="str">
        <x:v>REG-154939</x:v>
      </x:c>
      <x:c r="N347" t="str">
        <x:v>Generic Ingredient 049</x:v>
      </x:c>
      <x:c r="O347" t="str">
        <x:v>General Sale</x:v>
      </x:c>
      <x:c r="P347" t="n">
        <x:v>23</x:v>
      </x:c>
      <x:c r="Q347" t="n">
        <x:v>13</x:v>
      </x:c>
      <x:c r="R347" t="n">
        <x:v>0</x:v>
      </x:c>
      <x:c r="S347" s="12" t="n">
        <x:f>E347*Q347</x:f>
        <x:v>1462.24</x:v>
      </x:c>
      <x:c r="T347" s="12" t="n">
        <x:f>ROUND(S347*F347+0.000000001,2)</x:f>
        <x:v>422.59</x:v>
      </x:c>
      <x:c r="U347" s="12" t="n">
        <x:f>E347*R347</x:f>
        <x:v>0</x:v>
      </x:c>
      <x:c r="V347" t="str">
        <x:f>IF(AND(C347="Active",Q347=0),"Active Zero Sales","Not Zero Sales")</x:f>
        <x:v>Not Zero Sales</x:v>
      </x:c>
      <x:c r="W347" s="12" t="n">
        <x:f>IF(V347="Active Zero Sales",U347,0)</x:f>
        <x:v>0</x:v>
      </x:c>
      <x:c r="X347" t="str">
        <x:f>IF(E347&lt;25,"Low &lt; 25",IF(E347&lt;100,"Medium 25-99",IF(E347&lt;300,"High 100-299","Premium 300+")))</x:f>
        <x:v>High 100-299</x:v>
      </x:c>
      <x:c r="Y347" t="n">
        <x:f>IF(C347="Active",1,0)</x:f>
        <x:v>0</x:v>
      </x:c>
    </x:row>
    <x:row r="348">
      <x:c r="A348" t="str">
        <x:v>SKU00347</x:v>
      </x:c>
      <x:c r="B348" t="str">
        <x:v>Sample Product 00347</x:v>
      </x:c>
      <x:c r="C348" t="str">
        <x:v>Active</x:v>
      </x:c>
      <x:c r="D348" t="str">
        <x:v>2026-04</x:v>
      </x:c>
      <x:c r="E348" s="12" t="n">
        <x:v>17.57</x:v>
      </x:c>
      <x:c r="F348" s="10" t="n">
        <x:v>0.358</x:v>
      </x:c>
      <x:c r="G348" t="str">
        <x:v>Medical Devices</x:v>
      </x:c>
      <x:c r="H348" t="str">
        <x:v>First Aid</x:v>
      </x:c>
      <x:c r="I348" t="str">
        <x:v>MFG016</x:v>
      </x:c>
      <x:c r="J348" t="str">
        <x:v>Manufacturer 016</x:v>
      </x:c>
      <x:c r="K348" t="str">
        <x:v>SUP030</x:v>
      </x:c>
      <x:c r="L348" t="str">
        <x:v>Supplier 030</x:v>
      </x:c>
      <x:c r="M348" t="str">
        <x:v>REG-617506</x:v>
      </x:c>
      <x:c r="N348" t="str">
        <x:v>Generic Ingredient 038</x:v>
      </x:c>
      <x:c r="O348" t="str">
        <x:v>General Sale</x:v>
      </x:c>
      <x:c r="P348" t="n">
        <x:v>63</x:v>
      </x:c>
      <x:c r="Q348" t="n">
        <x:v>32</x:v>
      </x:c>
      <x:c r="R348" t="n">
        <x:v>19</x:v>
      </x:c>
      <x:c r="S348" s="12" t="n">
        <x:f>E348*Q348</x:f>
        <x:v>562.24</x:v>
      </x:c>
      <x:c r="T348" s="12" t="n">
        <x:f>ROUND(S348*F348+0.000000001,2)</x:f>
        <x:v>201.28</x:v>
      </x:c>
      <x:c r="U348" s="12" t="n">
        <x:f>E348*R348</x:f>
        <x:v>333.83</x:v>
      </x:c>
      <x:c r="V348" t="str">
        <x:f>IF(AND(C348="Active",Q348=0),"Active Zero Sales","Not Zero Sales")</x:f>
        <x:v>Not Zero Sales</x:v>
      </x:c>
      <x:c r="W348" s="12" t="n">
        <x:f>IF(V348="Active Zero Sales",U348,0)</x:f>
        <x:v>0</x:v>
      </x:c>
      <x:c r="X348" t="str">
        <x:f>IF(E348&lt;25,"Low &lt; 25",IF(E348&lt;100,"Medium 25-99",IF(E348&lt;300,"High 100-299","Premium 300+")))</x:f>
        <x:v>Low &lt; 25</x:v>
      </x:c>
      <x:c r="Y348" t="n">
        <x:f>IF(C348="Active",1,0)</x:f>
        <x:v>1</x:v>
      </x:c>
    </x:row>
    <x:row r="349">
      <x:c r="A349" t="str">
        <x:v>SKU00348</x:v>
      </x:c>
      <x:c r="B349" t="str">
        <x:v>Sample Product 00348</x:v>
      </x:c>
      <x:c r="C349" t="str">
        <x:v>Active</x:v>
      </x:c>
      <x:c r="D349" t="str">
        <x:v>2026-03</x:v>
      </x:c>
      <x:c r="E349" s="12" t="n">
        <x:v>83.55</x:v>
      </x:c>
      <x:c r="F349" s="10" t="n">
        <x:v>0.347</x:v>
      </x:c>
      <x:c r="G349" t="str">
        <x:v>OTC &amp; Wellness</x:v>
      </x:c>
      <x:c r="H349" t="str">
        <x:v>Digestive Care</x:v>
      </x:c>
      <x:c r="I349" t="str">
        <x:v>MFG003</x:v>
      </x:c>
      <x:c r="J349" t="str">
        <x:v>Manufacturer 003</x:v>
      </x:c>
      <x:c r="K349" t="str">
        <x:v>SUP010</x:v>
      </x:c>
      <x:c r="L349" t="str">
        <x:v>Supplier 010</x:v>
      </x:c>
      <x:c r="M349" t="str">
        <x:v>REG-322091</x:v>
      </x:c>
      <x:c r="N349" t="str">
        <x:v>Generic Ingredient 036</x:v>
      </x:c>
      <x:c r="O349" t="str">
        <x:v>General Sale</x:v>
      </x:c>
      <x:c r="P349" t="n">
        <x:v>43</x:v>
      </x:c>
      <x:c r="Q349" t="n">
        <x:v>10</x:v>
      </x:c>
      <x:c r="R349" t="n">
        <x:v>0</x:v>
      </x:c>
      <x:c r="S349" s="12" t="n">
        <x:f>E349*Q349</x:f>
        <x:v>835.5</x:v>
      </x:c>
      <x:c r="T349" s="12" t="n">
        <x:f>ROUND(S349*F349+0.000000001,2)</x:f>
        <x:v>289.92</x:v>
      </x:c>
      <x:c r="U349" s="12" t="n">
        <x:f>E349*R349</x:f>
        <x:v>0</x:v>
      </x:c>
      <x:c r="V349" t="str">
        <x:f>IF(AND(C349="Active",Q349=0),"Active Zero Sales","Not Zero Sales")</x:f>
        <x:v>Not Zero Sales</x:v>
      </x:c>
      <x:c r="W349" s="12" t="n">
        <x:f>IF(V349="Active Zero Sales",U349,0)</x:f>
        <x:v>0</x:v>
      </x:c>
      <x:c r="X349" t="str">
        <x:f>IF(E349&lt;25,"Low &lt; 25",IF(E349&lt;100,"Medium 25-99",IF(E349&lt;300,"High 100-299","Premium 300+")))</x:f>
        <x:v>Medium 25-99</x:v>
      </x:c>
      <x:c r="Y349" t="n">
        <x:f>IF(C349="Active",1,0)</x:f>
        <x:v>1</x:v>
      </x:c>
    </x:row>
    <x:row r="350">
      <x:c r="A350" t="str">
        <x:v>SKU00349</x:v>
      </x:c>
      <x:c r="B350" t="str">
        <x:v>Sample Product 00349</x:v>
      </x:c>
      <x:c r="C350" t="str">
        <x:v>Active</x:v>
      </x:c>
      <x:c r="D350" t="str">
        <x:v>2026-04</x:v>
      </x:c>
      <x:c r="E350" s="12" t="n">
        <x:v>241.1</x:v>
      </x:c>
      <x:c r="F350" s="10" t="n">
        <x:v>0.381</x:v>
      </x:c>
      <x:c r="G350" t="str">
        <x:v>Medical Devices</x:v>
      </x:c>
      <x:c r="H350" t="str">
        <x:v>Mobility Aids</x:v>
      </x:c>
      <x:c r="I350" t="str">
        <x:v>MFG014</x:v>
      </x:c>
      <x:c r="J350" t="str">
        <x:v>Manufacturer 014</x:v>
      </x:c>
      <x:c r="K350" t="str">
        <x:v>SUP011</x:v>
      </x:c>
      <x:c r="L350" t="str">
        <x:v>Supplier 011</x:v>
      </x:c>
      <x:c r="M350" t="str">
        <x:v>REG-529873</x:v>
      </x:c>
      <x:c r="N350" t="str">
        <x:v>Generic Ingredient 164</x:v>
      </x:c>
      <x:c r="O350" t="str">
        <x:v>General Sale</x:v>
      </x:c>
      <x:c r="P350" t="n">
        <x:v>53</x:v>
      </x:c>
      <x:c r="Q350" t="n">
        <x:v>31</x:v>
      </x:c>
      <x:c r="R350" t="n">
        <x:v>1</x:v>
      </x:c>
      <x:c r="S350" s="12" t="n">
        <x:f>E350*Q350</x:f>
        <x:v>7474.099999999999</x:v>
      </x:c>
      <x:c r="T350" s="12" t="n">
        <x:f>ROUND(S350*F350+0.000000001,2)</x:f>
        <x:v>2847.63</x:v>
      </x:c>
      <x:c r="U350" s="12" t="n">
        <x:f>E350*R350</x:f>
        <x:v>241.1</x:v>
      </x:c>
      <x:c r="V350" t="str">
        <x:f>IF(AND(C350="Active",Q350=0),"Active Zero Sales","Not Zero Sales")</x:f>
        <x:v>Not Zero Sales</x:v>
      </x:c>
      <x:c r="W350" s="12" t="n">
        <x:f>IF(V350="Active Zero Sales",U350,0)</x:f>
        <x:v>0</x:v>
      </x:c>
      <x:c r="X350" t="str">
        <x:f>IF(E350&lt;25,"Low &lt; 25",IF(E350&lt;100,"Medium 25-99",IF(E350&lt;300,"High 100-299","Premium 300+")))</x:f>
        <x:v>High 100-299</x:v>
      </x:c>
      <x:c r="Y350" t="n">
        <x:f>IF(C350="Active",1,0)</x:f>
        <x:v>1</x:v>
      </x:c>
    </x:row>
    <x:row r="351">
      <x:c r="A351" t="str">
        <x:v>SKU00350</x:v>
      </x:c>
      <x:c r="B351" t="str">
        <x:v>Sample Product 00350</x:v>
      </x:c>
      <x:c r="C351" t="str">
        <x:v>Active</x:v>
      </x:c>
      <x:c r="D351" t="str">
        <x:v>2026-03</x:v>
      </x:c>
      <x:c r="E351" s="12" t="n">
        <x:v>43.04</x:v>
      </x:c>
      <x:c r="F351" s="10" t="n">
        <x:v>0.401</x:v>
      </x:c>
      <x:c r="G351" t="str">
        <x:v>OTC &amp; Wellness</x:v>
      </x:c>
      <x:c r="H351" t="str">
        <x:v>Pain Relief</x:v>
      </x:c>
      <x:c r="I351" t="str">
        <x:v>MFG003</x:v>
      </x:c>
      <x:c r="J351" t="str">
        <x:v>Manufacturer 003</x:v>
      </x:c>
      <x:c r="K351" t="str">
        <x:v>SUP008</x:v>
      </x:c>
      <x:c r="L351" t="str">
        <x:v>Supplier 008</x:v>
      </x:c>
      <x:c r="M351" t="str">
        <x:v>REG-587495</x:v>
      </x:c>
      <x:c r="N351" t="str">
        <x:v>Generic Ingredient 103</x:v>
      </x:c>
      <x:c r="O351" t="str">
        <x:v>Pharmacy Only</x:v>
      </x:c>
      <x:c r="P351" t="n">
        <x:v>54</x:v>
      </x:c>
      <x:c r="Q351" t="n">
        <x:v>11</x:v>
      </x:c>
      <x:c r="R351" t="n">
        <x:v>0</x:v>
      </x:c>
      <x:c r="S351" s="12" t="n">
        <x:f>E351*Q351</x:f>
        <x:v>473.44</x:v>
      </x:c>
      <x:c r="T351" s="12" t="n">
        <x:f>ROUND(S351*F351+0.000000001,2)</x:f>
        <x:v>189.85</x:v>
      </x:c>
      <x:c r="U351" s="12" t="n">
        <x:f>E351*R351</x:f>
        <x:v>0</x:v>
      </x:c>
      <x:c r="V351" t="str">
        <x:f>IF(AND(C351="Active",Q351=0),"Active Zero Sales","Not Zero Sales")</x:f>
        <x:v>Not Zero Sales</x:v>
      </x:c>
      <x:c r="W351" s="12" t="n">
        <x:f>IF(V351="Active Zero Sales",U351,0)</x:f>
        <x:v>0</x:v>
      </x:c>
      <x:c r="X351" t="str">
        <x:f>IF(E351&lt;25,"Low &lt; 25",IF(E351&lt;100,"Medium 25-99",IF(E351&lt;300,"High 100-299","Premium 300+")))</x:f>
        <x:v>Medium 25-99</x:v>
      </x:c>
      <x:c r="Y351" t="n">
        <x:f>IF(C351="Active",1,0)</x:f>
        <x:v>1</x:v>
      </x:c>
    </x:row>
    <x:row r="352">
      <x:c r="A352" t="str">
        <x:v>SKU00351</x:v>
      </x:c>
      <x:c r="B352" t="str">
        <x:v>Sample Product 00351</x:v>
      </x:c>
      <x:c r="C352" t="str">
        <x:v>Active</x:v>
      </x:c>
      <x:c r="D352" t="str">
        <x:v>2026-02</x:v>
      </x:c>
      <x:c r="E352" s="12" t="n">
        <x:v>24.19</x:v>
      </x:c>
      <x:c r="F352" s="10" t="n">
        <x:v>0.281</x:v>
      </x:c>
      <x:c r="G352" t="str">
        <x:v>OTC &amp; Wellness</x:v>
      </x:c>
      <x:c r="H352" t="str">
        <x:v>Digestive Care</x:v>
      </x:c>
      <x:c r="I352" t="str">
        <x:v>MFG009</x:v>
      </x:c>
      <x:c r="J352" t="str">
        <x:v>Manufacturer 009</x:v>
      </x:c>
      <x:c r="K352" t="str">
        <x:v>SUP018</x:v>
      </x:c>
      <x:c r="L352" t="str">
        <x:v>Supplier 018</x:v>
      </x:c>
      <x:c r="M352" t="str">
        <x:v>REG-298215</x:v>
      </x:c>
      <x:c r="N352" t="str">
        <x:v>Generic Ingredient 039</x:v>
      </x:c>
      <x:c r="O352" t="str">
        <x:v>General Sale</x:v>
      </x:c>
      <x:c r="P352" t="n">
        <x:v>30</x:v>
      </x:c>
      <x:c r="Q352" t="n">
        <x:v>23</x:v>
      </x:c>
      <x:c r="R352" t="n">
        <x:v>6</x:v>
      </x:c>
      <x:c r="S352" s="12" t="n">
        <x:f>E352*Q352</x:f>
        <x:v>556.37</x:v>
      </x:c>
      <x:c r="T352" s="12" t="n">
        <x:f>ROUND(S352*F352+0.000000001,2)</x:f>
        <x:v>156.34</x:v>
      </x:c>
      <x:c r="U352" s="12" t="n">
        <x:f>E352*R352</x:f>
        <x:v>145.14000000000001</x:v>
      </x:c>
      <x:c r="V352" t="str">
        <x:f>IF(AND(C352="Active",Q352=0),"Active Zero Sales","Not Zero Sales")</x:f>
        <x:v>Not Zero Sales</x:v>
      </x:c>
      <x:c r="W352" s="12" t="n">
        <x:f>IF(V352="Active Zero Sales",U352,0)</x:f>
        <x:v>0</x:v>
      </x:c>
      <x:c r="X352" t="str">
        <x:f>IF(E352&lt;25,"Low &lt; 25",IF(E352&lt;100,"Medium 25-99",IF(E352&lt;300,"High 100-299","Premium 300+")))</x:f>
        <x:v>Low &lt; 25</x:v>
      </x:c>
      <x:c r="Y352" t="n">
        <x:f>IF(C352="Active",1,0)</x:f>
        <x:v>1</x:v>
      </x:c>
    </x:row>
    <x:row r="353">
      <x:c r="A353" t="str">
        <x:v>SKU00352</x:v>
      </x:c>
      <x:c r="B353" t="str">
        <x:v>Sample Product 00352</x:v>
      </x:c>
      <x:c r="C353" t="str">
        <x:v>Active</x:v>
      </x:c>
      <x:c r="D353" t="str">
        <x:v>2026-06</x:v>
      </x:c>
      <x:c r="E353" s="12" t="n">
        <x:v>31.72</x:v>
      </x:c>
      <x:c r="F353" s="10" t="n">
        <x:v>0.266</x:v>
      </x:c>
      <x:c r="G353" t="str">
        <x:v>OTC &amp; Wellness</x:v>
      </x:c>
      <x:c r="H353" t="str">
        <x:v>Vitamins</x:v>
      </x:c>
      <x:c r="I353" t="str">
        <x:v>MFG009</x:v>
      </x:c>
      <x:c r="J353" t="str">
        <x:v>Manufacturer 009</x:v>
      </x:c>
      <x:c r="K353" t="str">
        <x:v>SUP023</x:v>
      </x:c>
      <x:c r="L353" t="str">
        <x:v>Supplier 023</x:v>
      </x:c>
      <x:c r="M353" t="str">
        <x:v>REG-207436</x:v>
      </x:c>
      <x:c r="N353" t="str">
        <x:v>Generic Ingredient 019</x:v>
      </x:c>
      <x:c r="O353" t="str">
        <x:v>General Sale</x:v>
      </x:c>
      <x:c r="P353" t="n">
        <x:v>41</x:v>
      </x:c>
      <x:c r="Q353" t="n">
        <x:v>27</x:v>
      </x:c>
      <x:c r="R353" t="n">
        <x:v>9</x:v>
      </x:c>
      <x:c r="S353" s="12" t="n">
        <x:f>E353*Q353</x:f>
        <x:v>856.4399999999999</x:v>
      </x:c>
      <x:c r="T353" s="12" t="n">
        <x:f>ROUND(S353*F353+0.000000001,2)</x:f>
        <x:v>227.81</x:v>
      </x:c>
      <x:c r="U353" s="12" t="n">
        <x:f>E353*R353</x:f>
        <x:v>285.48</x:v>
      </x:c>
      <x:c r="V353" t="str">
        <x:f>IF(AND(C353="Active",Q353=0),"Active Zero Sales","Not Zero Sales")</x:f>
        <x:v>Not Zero Sales</x:v>
      </x:c>
      <x:c r="W353" s="12" t="n">
        <x:f>IF(V353="Active Zero Sales",U353,0)</x:f>
        <x:v>0</x:v>
      </x:c>
      <x:c r="X353" t="str">
        <x:f>IF(E353&lt;25,"Low &lt; 25",IF(E353&lt;100,"Medium 25-99",IF(E353&lt;300,"High 100-299","Premium 300+")))</x:f>
        <x:v>Medium 25-99</x:v>
      </x:c>
      <x:c r="Y353" t="n">
        <x:f>IF(C353="Active",1,0)</x:f>
        <x:v>1</x:v>
      </x:c>
    </x:row>
    <x:row r="354">
      <x:c r="A354" t="str">
        <x:v>SKU00353</x:v>
      </x:c>
      <x:c r="B354" t="str">
        <x:v>Sample Product 00353</x:v>
      </x:c>
      <x:c r="C354" t="str">
        <x:v>Active</x:v>
      </x:c>
      <x:c r="D354" t="str">
        <x:v>2026-06</x:v>
      </x:c>
      <x:c r="E354" s="12" t="n">
        <x:v>186.63</x:v>
      </x:c>
      <x:c r="F354" s="10" t="n">
        <x:v>0.365</x:v>
      </x:c>
      <x:c r="G354" t="str">
        <x:v>Personal Care</x:v>
      </x:c>
      <x:c r="H354" t="str">
        <x:v>Hair Care</x:v>
      </x:c>
      <x:c r="I354" t="str">
        <x:v>MFG012</x:v>
      </x:c>
      <x:c r="J354" t="str">
        <x:v>Manufacturer 012</x:v>
      </x:c>
      <x:c r="K354" t="str">
        <x:v>SUP002</x:v>
      </x:c>
      <x:c r="L354" t="str">
        <x:v>Supplier 002</x:v>
      </x:c>
      <x:c r="M354" t="str">
        <x:v>REG-156851</x:v>
      </x:c>
      <x:c r="N354" t="str">
        <x:v>Generic Ingredient 167</x:v>
      </x:c>
      <x:c r="O354" t="str">
        <x:v>General Sale</x:v>
      </x:c>
      <x:c r="P354" t="n">
        <x:v>37</x:v>
      </x:c>
      <x:c r="Q354" t="n">
        <x:v>0</x:v>
      </x:c>
      <x:c r="R354" t="n">
        <x:v>44</x:v>
      </x:c>
      <x:c r="S354" s="12" t="n">
        <x:f>E354*Q354</x:f>
        <x:v>0</x:v>
      </x:c>
      <x:c r="T354" s="12" t="n">
        <x:f>ROUND(S354*F354+0.000000001,2)</x:f>
        <x:v>0</x:v>
      </x:c>
      <x:c r="U354" s="12" t="n">
        <x:f>E354*R354</x:f>
        <x:v>8211.72</x:v>
      </x:c>
      <x:c r="V354" t="str">
        <x:f>IF(AND(C354="Active",Q354=0),"Active Zero Sales","Not Zero Sales")</x:f>
        <x:v>Active Zero Sales</x:v>
      </x:c>
      <x:c r="W354" s="12" t="n">
        <x:f>IF(V354="Active Zero Sales",U354,0)</x:f>
        <x:v>8211.72</x:v>
      </x:c>
      <x:c r="X354" t="str">
        <x:f>IF(E354&lt;25,"Low &lt; 25",IF(E354&lt;100,"Medium 25-99",IF(E354&lt;300,"High 100-299","Premium 300+")))</x:f>
        <x:v>High 100-299</x:v>
      </x:c>
      <x:c r="Y354" t="n">
        <x:f>IF(C354="Active",1,0)</x:f>
        <x:v>1</x:v>
      </x:c>
    </x:row>
    <x:row r="355">
      <x:c r="A355" t="str">
        <x:v>SKU00354</x:v>
      </x:c>
      <x:c r="B355" t="str">
        <x:v>Sample Product 00354</x:v>
      </x:c>
      <x:c r="C355" t="str">
        <x:v>Active</x:v>
      </x:c>
      <x:c r="D355" t="str">
        <x:v>2026-04</x:v>
      </x:c>
      <x:c r="E355" s="12" t="n">
        <x:v>97.88</x:v>
      </x:c>
      <x:c r="F355" s="10" t="n">
        <x:v>0.255</x:v>
      </x:c>
      <x:c r="G355" t="str">
        <x:v>OTC &amp; Wellness</x:v>
      </x:c>
      <x:c r="H355" t="str">
        <x:v>Pain Relief</x:v>
      </x:c>
      <x:c r="I355" t="str">
        <x:v>MFG013</x:v>
      </x:c>
      <x:c r="J355" t="str">
        <x:v>Manufacturer 013</x:v>
      </x:c>
      <x:c r="K355" t="str">
        <x:v>SUP008</x:v>
      </x:c>
      <x:c r="L355" t="str">
        <x:v>Supplier 008</x:v>
      </x:c>
      <x:c r="M355" t="str">
        <x:v>REG-597346</x:v>
      </x:c>
      <x:c r="N355" t="str">
        <x:v>Generic Ingredient 011</x:v>
      </x:c>
      <x:c r="O355" t="str">
        <x:v>General Sale</x:v>
      </x:c>
      <x:c r="P355" t="n">
        <x:v>111</x:v>
      </x:c>
      <x:c r="Q355" t="n">
        <x:v>78</x:v>
      </x:c>
      <x:c r="R355" t="n">
        <x:v>8</x:v>
      </x:c>
      <x:c r="S355" s="12" t="n">
        <x:f>E355*Q355</x:f>
        <x:v>7634.639999999999</x:v>
      </x:c>
      <x:c r="T355" s="12" t="n">
        <x:f>ROUND(S355*F355+0.000000001,2)</x:f>
        <x:v>1946.83</x:v>
      </x:c>
      <x:c r="U355" s="12" t="n">
        <x:f>E355*R355</x:f>
        <x:v>783.04</x:v>
      </x:c>
      <x:c r="V355" t="str">
        <x:f>IF(AND(C355="Active",Q355=0),"Active Zero Sales","Not Zero Sales")</x:f>
        <x:v>Not Zero Sales</x:v>
      </x:c>
      <x:c r="W355" s="12" t="n">
        <x:f>IF(V355="Active Zero Sales",U355,0)</x:f>
        <x:v>0</x:v>
      </x:c>
      <x:c r="X355" t="str">
        <x:f>IF(E355&lt;25,"Low &lt; 25",IF(E355&lt;100,"Medium 25-99",IF(E355&lt;300,"High 100-299","Premium 300+")))</x:f>
        <x:v>Medium 25-99</x:v>
      </x:c>
      <x:c r="Y355" t="n">
        <x:f>IF(C355="Active",1,0)</x:f>
        <x:v>1</x:v>
      </x:c>
    </x:row>
    <x:row r="356">
      <x:c r="A356" t="str">
        <x:v>SKU00355</x:v>
      </x:c>
      <x:c r="B356" t="str">
        <x:v>Sample Product 00355</x:v>
      </x:c>
      <x:c r="C356" t="str">
        <x:v>Active</x:v>
      </x:c>
      <x:c r="D356" t="str">
        <x:v>2026-03</x:v>
      </x:c>
      <x:c r="E356" s="12" t="n">
        <x:v>22.14</x:v>
      </x:c>
      <x:c r="F356" s="10" t="n">
        <x:v>0.26</x:v>
      </x:c>
      <x:c r="G356" t="str">
        <x:v>Medical Devices</x:v>
      </x:c>
      <x:c r="H356" t="str">
        <x:v>First Aid</x:v>
      </x:c>
      <x:c r="I356" t="str">
        <x:v>MFG012</x:v>
      </x:c>
      <x:c r="J356" t="str">
        <x:v>Manufacturer 012</x:v>
      </x:c>
      <x:c r="K356" t="str">
        <x:v>SUP025</x:v>
      </x:c>
      <x:c r="L356" t="str">
        <x:v>Supplier 025</x:v>
      </x:c>
      <x:c r="M356" t="str">
        <x:v>REG-378640</x:v>
      </x:c>
      <x:c r="N356" t="str">
        <x:v>Generic Ingredient 174</x:v>
      </x:c>
      <x:c r="O356" t="str">
        <x:v>General Sale</x:v>
      </x:c>
      <x:c r="P356" t="n">
        <x:v>83</x:v>
      </x:c>
      <x:c r="Q356" t="n">
        <x:v>17</x:v>
      </x:c>
      <x:c r="R356" t="n">
        <x:v>21</x:v>
      </x:c>
      <x:c r="S356" s="12" t="n">
        <x:f>E356*Q356</x:f>
        <x:v>376.38</x:v>
      </x:c>
      <x:c r="T356" s="12" t="n">
        <x:f>ROUND(S356*F356+0.000000001,2)</x:f>
        <x:v>97.86</x:v>
      </x:c>
      <x:c r="U356" s="12" t="n">
        <x:f>E356*R356</x:f>
        <x:v>464.94</x:v>
      </x:c>
      <x:c r="V356" t="str">
        <x:f>IF(AND(C356="Active",Q356=0),"Active Zero Sales","Not Zero Sales")</x:f>
        <x:v>Not Zero Sales</x:v>
      </x:c>
      <x:c r="W356" s="12" t="n">
        <x:f>IF(V356="Active Zero Sales",U356,0)</x:f>
        <x:v>0</x:v>
      </x:c>
      <x:c r="X356" t="str">
        <x:f>IF(E356&lt;25,"Low &lt; 25",IF(E356&lt;100,"Medium 25-99",IF(E356&lt;300,"High 100-299","Premium 300+")))</x:f>
        <x:v>Low &lt; 25</x:v>
      </x:c>
      <x:c r="Y356" t="n">
        <x:f>IF(C356="Active",1,0)</x:f>
        <x:v>1</x:v>
      </x:c>
    </x:row>
    <x:row r="357">
      <x:c r="A357" t="str">
        <x:v>SKU00356</x:v>
      </x:c>
      <x:c r="B357" t="str">
        <x:v>Sample Product 00356</x:v>
      </x:c>
      <x:c r="C357" t="str">
        <x:v>Active</x:v>
      </x:c>
      <x:c r="D357" t="str">
        <x:v>2026-04</x:v>
      </x:c>
      <x:c r="E357" s="12" t="n">
        <x:v>80.73</x:v>
      </x:c>
      <x:c r="F357" s="10" t="n">
        <x:v>0.255</x:v>
      </x:c>
      <x:c r="G357" t="str">
        <x:v>OTC &amp; Wellness</x:v>
      </x:c>
      <x:c r="H357" t="str">
        <x:v>Digestive Care</x:v>
      </x:c>
      <x:c r="I357" t="str">
        <x:v>MFG004</x:v>
      </x:c>
      <x:c r="J357" t="str">
        <x:v>Manufacturer 004</x:v>
      </x:c>
      <x:c r="K357" t="str">
        <x:v>SUP018</x:v>
      </x:c>
      <x:c r="L357" t="str">
        <x:v>Supplier 018</x:v>
      </x:c>
      <x:c r="M357" t="str">
        <x:v>REG-480278</x:v>
      </x:c>
      <x:c r="N357" t="str">
        <x:v>Generic Ingredient 073</x:v>
      </x:c>
      <x:c r="O357" t="str">
        <x:v>General Sale</x:v>
      </x:c>
      <x:c r="P357" t="n">
        <x:v>59</x:v>
      </x:c>
      <x:c r="Q357" t="n">
        <x:v>13</x:v>
      </x:c>
      <x:c r="R357" t="n">
        <x:v>6</x:v>
      </x:c>
      <x:c r="S357" s="12" t="n">
        <x:f>E357*Q357</x:f>
        <x:v>1049.49</x:v>
      </x:c>
      <x:c r="T357" s="12" t="n">
        <x:f>ROUND(S357*F357+0.000000001,2)</x:f>
        <x:v>267.62</x:v>
      </x:c>
      <x:c r="U357" s="12" t="n">
        <x:f>E357*R357</x:f>
        <x:v>484.38</x:v>
      </x:c>
      <x:c r="V357" t="str">
        <x:f>IF(AND(C357="Active",Q357=0),"Active Zero Sales","Not Zero Sales")</x:f>
        <x:v>Not Zero Sales</x:v>
      </x:c>
      <x:c r="W357" s="12" t="n">
        <x:f>IF(V357="Active Zero Sales",U357,0)</x:f>
        <x:v>0</x:v>
      </x:c>
      <x:c r="X357" t="str">
        <x:f>IF(E357&lt;25,"Low &lt; 25",IF(E357&lt;100,"Medium 25-99",IF(E357&lt;300,"High 100-299","Premium 300+")))</x:f>
        <x:v>Medium 25-99</x:v>
      </x:c>
      <x:c r="Y357" t="n">
        <x:f>IF(C357="Active",1,0)</x:f>
        <x:v>1</x:v>
      </x:c>
    </x:row>
    <x:row r="358">
      <x:c r="A358" t="str">
        <x:v>SKU00357</x:v>
      </x:c>
      <x:c r="B358" t="str">
        <x:v>Sample Product 00357</x:v>
      </x:c>
      <x:c r="C358" t="str">
        <x:v>Active</x:v>
      </x:c>
      <x:c r="D358" t="str">
        <x:v>2026-03</x:v>
      </x:c>
      <x:c r="E358" s="12" t="n">
        <x:v>10.9</x:v>
      </x:c>
      <x:c r="F358" s="10" t="n">
        <x:v>0.323</x:v>
      </x:c>
      <x:c r="G358" t="str">
        <x:v>Nutrition</x:v>
      </x:c>
      <x:c r="H358" t="str">
        <x:v>Healthy Snacks</x:v>
      </x:c>
      <x:c r="I358" t="str">
        <x:v>MFG012</x:v>
      </x:c>
      <x:c r="J358" t="str">
        <x:v>Manufacturer 012</x:v>
      </x:c>
      <x:c r="K358" t="str">
        <x:v>SUP001</x:v>
      </x:c>
      <x:c r="L358" t="str">
        <x:v>Supplier 001</x:v>
      </x:c>
      <x:c r="M358" t="str">
        <x:v>REG-522225</x:v>
      </x:c>
      <x:c r="N358" t="str">
        <x:v>Generic Ingredient 125</x:v>
      </x:c>
      <x:c r="O358" t="str">
        <x:v>General Sale</x:v>
      </x:c>
      <x:c r="P358" t="n">
        <x:v>66</x:v>
      </x:c>
      <x:c r="Q358" t="n">
        <x:v>15</x:v>
      </x:c>
      <x:c r="R358" t="n">
        <x:v>8</x:v>
      </x:c>
      <x:c r="S358" s="12" t="n">
        <x:f>E358*Q358</x:f>
        <x:v>163.5</x:v>
      </x:c>
      <x:c r="T358" s="12" t="n">
        <x:f>ROUND(S358*F358+0.000000001,2)</x:f>
        <x:v>52.81</x:v>
      </x:c>
      <x:c r="U358" s="12" t="n">
        <x:f>E358*R358</x:f>
        <x:v>87.2</x:v>
      </x:c>
      <x:c r="V358" t="str">
        <x:f>IF(AND(C358="Active",Q358=0),"Active Zero Sales","Not Zero Sales")</x:f>
        <x:v>Not Zero Sales</x:v>
      </x:c>
      <x:c r="W358" s="12" t="n">
        <x:f>IF(V358="Active Zero Sales",U358,0)</x:f>
        <x:v>0</x:v>
      </x:c>
      <x:c r="X358" t="str">
        <x:f>IF(E358&lt;25,"Low &lt; 25",IF(E358&lt;100,"Medium 25-99",IF(E358&lt;300,"High 100-299","Premium 300+")))</x:f>
        <x:v>Low &lt; 25</x:v>
      </x:c>
      <x:c r="Y358" t="n">
        <x:f>IF(C358="Active",1,0)</x:f>
        <x:v>1</x:v>
      </x:c>
    </x:row>
    <x:row r="359">
      <x:c r="A359" t="str">
        <x:v>SKU00358</x:v>
      </x:c>
      <x:c r="B359" t="str">
        <x:v>Sample Product 00358</x:v>
      </x:c>
      <x:c r="C359" t="str">
        <x:v>Active</x:v>
      </x:c>
      <x:c r="D359" t="str">
        <x:v>2026-04</x:v>
      </x:c>
      <x:c r="E359" s="12" t="n">
        <x:v>56.59</x:v>
      </x:c>
      <x:c r="F359" s="10" t="n">
        <x:v>0.346</x:v>
      </x:c>
      <x:c r="G359" t="str">
        <x:v>General Merchandise</x:v>
      </x:c>
      <x:c r="H359" t="str">
        <x:v>Seasonal Care</x:v>
      </x:c>
      <x:c r="I359" t="str">
        <x:v>MFG003</x:v>
      </x:c>
      <x:c r="J359" t="str">
        <x:v>Manufacturer 003</x:v>
      </x:c>
      <x:c r="K359" t="str">
        <x:v>SUP007</x:v>
      </x:c>
      <x:c r="L359" t="str">
        <x:v>Supplier 007</x:v>
      </x:c>
      <x:c r="M359" t="str">
        <x:v>REG-772331</x:v>
      </x:c>
      <x:c r="N359" t="str">
        <x:v>Generic Ingredient 096</x:v>
      </x:c>
      <x:c r="O359" t="str">
        <x:v>General Sale</x:v>
      </x:c>
      <x:c r="P359" t="n">
        <x:v>20</x:v>
      </x:c>
      <x:c r="Q359" t="n">
        <x:v>9</x:v>
      </x:c>
      <x:c r="R359" t="n">
        <x:v>0</x:v>
      </x:c>
      <x:c r="S359" s="12" t="n">
        <x:f>E359*Q359</x:f>
        <x:v>509.31000000000006</x:v>
      </x:c>
      <x:c r="T359" s="12" t="n">
        <x:f>ROUND(S359*F359+0.000000001,2)</x:f>
        <x:v>176.22</x:v>
      </x:c>
      <x:c r="U359" s="12" t="n">
        <x:f>E359*R359</x:f>
        <x:v>0</x:v>
      </x:c>
      <x:c r="V359" t="str">
        <x:f>IF(AND(C359="Active",Q359=0),"Active Zero Sales","Not Zero Sales")</x:f>
        <x:v>Not Zero Sales</x:v>
      </x:c>
      <x:c r="W359" s="12" t="n">
        <x:f>IF(V359="Active Zero Sales",U359,0)</x:f>
        <x:v>0</x:v>
      </x:c>
      <x:c r="X359" t="str">
        <x:f>IF(E359&lt;25,"Low &lt; 25",IF(E359&lt;100,"Medium 25-99",IF(E359&lt;300,"High 100-299","Premium 300+")))</x:f>
        <x:v>Medium 25-99</x:v>
      </x:c>
      <x:c r="Y359" t="n">
        <x:f>IF(C359="Active",1,0)</x:f>
        <x:v>1</x:v>
      </x:c>
    </x:row>
    <x:row r="360">
      <x:c r="A360" t="str">
        <x:v>SKU00359</x:v>
      </x:c>
      <x:c r="B360" t="str">
        <x:v>Sample Product 00359</x:v>
      </x:c>
      <x:c r="C360" t="str">
        <x:v>Active</x:v>
      </x:c>
      <x:c r="D360" t="str">
        <x:v>2026-02</x:v>
      </x:c>
      <x:c r="E360" s="12" t="n">
        <x:v>227.46</x:v>
      </x:c>
      <x:c r="F360" s="10" t="n">
        <x:v>0.255</x:v>
      </x:c>
      <x:c r="G360" t="str">
        <x:v>OTC &amp; Wellness</x:v>
      </x:c>
      <x:c r="H360" t="str">
        <x:v>Digestive Care</x:v>
      </x:c>
      <x:c r="I360" t="str">
        <x:v>MFG017</x:v>
      </x:c>
      <x:c r="J360" t="str">
        <x:v>Manufacturer 017</x:v>
      </x:c>
      <x:c r="K360" t="str">
        <x:v>SUP017</x:v>
      </x:c>
      <x:c r="L360" t="str">
        <x:v>Supplier 017</x:v>
      </x:c>
      <x:c r="M360" t="str">
        <x:v>REG-188437</x:v>
      </x:c>
      <x:c r="N360" t="str">
        <x:v>Generic Ingredient 076</x:v>
      </x:c>
      <x:c r="O360" t="str">
        <x:v>General Sale</x:v>
      </x:c>
      <x:c r="P360" t="n">
        <x:v>47</x:v>
      </x:c>
      <x:c r="Q360" t="n">
        <x:v>33</x:v>
      </x:c>
      <x:c r="R360" t="n">
        <x:v>11</x:v>
      </x:c>
      <x:c r="S360" s="12" t="n">
        <x:f>E360*Q360</x:f>
        <x:v>7506.18</x:v>
      </x:c>
      <x:c r="T360" s="12" t="n">
        <x:f>ROUND(S360*F360+0.000000001,2)</x:f>
        <x:v>1914.08</x:v>
      </x:c>
      <x:c r="U360" s="12" t="n">
        <x:f>E360*R360</x:f>
        <x:v>2502.06</x:v>
      </x:c>
      <x:c r="V360" t="str">
        <x:f>IF(AND(C360="Active",Q360=0),"Active Zero Sales","Not Zero Sales")</x:f>
        <x:v>Not Zero Sales</x:v>
      </x:c>
      <x:c r="W360" s="12" t="n">
        <x:f>IF(V360="Active Zero Sales",U360,0)</x:f>
        <x:v>0</x:v>
      </x:c>
      <x:c r="X360" t="str">
        <x:f>IF(E360&lt;25,"Low &lt; 25",IF(E360&lt;100,"Medium 25-99",IF(E360&lt;300,"High 100-299","Premium 300+")))</x:f>
        <x:v>High 100-299</x:v>
      </x:c>
      <x:c r="Y360" t="n">
        <x:f>IF(C360="Active",1,0)</x:f>
        <x:v>1</x:v>
      </x:c>
    </x:row>
    <x:row r="361">
      <x:c r="A361" t="str">
        <x:v>SKU00360</x:v>
      </x:c>
      <x:c r="B361" t="str">
        <x:v>Sample Product 00360</x:v>
      </x:c>
      <x:c r="C361" t="str">
        <x:v>Active</x:v>
      </x:c>
      <x:c r="D361" t="str">
        <x:v>2026-01</x:v>
      </x:c>
      <x:c r="E361" s="12" t="n">
        <x:v>8.78</x:v>
      </x:c>
      <x:c r="F361" s="10" t="n">
        <x:v>0.28</x:v>
      </x:c>
      <x:c r="G361" t="str">
        <x:v>Personal Care</x:v>
      </x:c>
      <x:c r="H361" t="str">
        <x:v>Hygiene</x:v>
      </x:c>
      <x:c r="I361" t="str">
        <x:v>MFG006</x:v>
      </x:c>
      <x:c r="J361" t="str">
        <x:v>Manufacturer 006</x:v>
      </x:c>
      <x:c r="K361" t="str">
        <x:v>SUP029</x:v>
      </x:c>
      <x:c r="L361" t="str">
        <x:v>Supplier 029</x:v>
      </x:c>
      <x:c r="M361" t="str">
        <x:v>REG-806343</x:v>
      </x:c>
      <x:c r="N361" t="str">
        <x:v>Generic Ingredient 065</x:v>
      </x:c>
      <x:c r="O361" t="str">
        <x:v>General Sale</x:v>
      </x:c>
      <x:c r="P361" t="n">
        <x:v>71</x:v>
      </x:c>
      <x:c r="Q361" t="n">
        <x:v>23</x:v>
      </x:c>
      <x:c r="R361" t="n">
        <x:v>26</x:v>
      </x:c>
      <x:c r="S361" s="12" t="n">
        <x:f>E361*Q361</x:f>
        <x:v>201.94</x:v>
      </x:c>
      <x:c r="T361" s="12" t="n">
        <x:f>ROUND(S361*F361+0.000000001,2)</x:f>
        <x:v>56.54</x:v>
      </x:c>
      <x:c r="U361" s="12" t="n">
        <x:f>E361*R361</x:f>
        <x:v>228.27999999999997</x:v>
      </x:c>
      <x:c r="V361" t="str">
        <x:f>IF(AND(C361="Active",Q361=0),"Active Zero Sales","Not Zero Sales")</x:f>
        <x:v>Not Zero Sales</x:v>
      </x:c>
      <x:c r="W361" s="12" t="n">
        <x:f>IF(V361="Active Zero Sales",U361,0)</x:f>
        <x:v>0</x:v>
      </x:c>
      <x:c r="X361" t="str">
        <x:f>IF(E361&lt;25,"Low &lt; 25",IF(E361&lt;100,"Medium 25-99",IF(E361&lt;300,"High 100-299","Premium 300+")))</x:f>
        <x:v>Low &lt; 25</x:v>
      </x:c>
      <x:c r="Y361" t="n">
        <x:f>IF(C361="Active",1,0)</x:f>
        <x:v>1</x:v>
      </x:c>
    </x:row>
    <x:row r="362">
      <x:c r="A362" t="str">
        <x:v>SKU00361</x:v>
      </x:c>
      <x:c r="B362" t="str">
        <x:v>Sample Product 00361</x:v>
      </x:c>
      <x:c r="C362" t="str">
        <x:v>Blocked</x:v>
      </x:c>
      <x:c r="D362" t="str">
        <x:v>2026-06</x:v>
      </x:c>
      <x:c r="E362" s="12" t="n">
        <x:v>126.83</x:v>
      </x:c>
      <x:c r="F362" s="10" t="n">
        <x:v>0.359</x:v>
      </x:c>
      <x:c r="G362" t="str">
        <x:v>Nutrition</x:v>
      </x:c>
      <x:c r="H362" t="str">
        <x:v>Sports Nutrition</x:v>
      </x:c>
      <x:c r="I362" t="str">
        <x:v>MFG020</x:v>
      </x:c>
      <x:c r="J362" t="str">
        <x:v>Manufacturer 020</x:v>
      </x:c>
      <x:c r="K362" t="str">
        <x:v>SUP017</x:v>
      </x:c>
      <x:c r="L362" t="str">
        <x:v>Supplier 017</x:v>
      </x:c>
      <x:c r="M362" t="str">
        <x:v>REG-338832</x:v>
      </x:c>
      <x:c r="N362" t="str">
        <x:v>Generic Ingredient 057</x:v>
      </x:c>
      <x:c r="O362" t="str">
        <x:v>Pharmacy Only</x:v>
      </x:c>
      <x:c r="P362" t="n">
        <x:v>1</x:v>
      </x:c>
      <x:c r="Q362" t="n">
        <x:v>0</x:v>
      </x:c>
      <x:c r="R362" t="n">
        <x:v>0</x:v>
      </x:c>
      <x:c r="S362" s="12" t="n">
        <x:f>E362*Q362</x:f>
        <x:v>0</x:v>
      </x:c>
      <x:c r="T362" s="12" t="n">
        <x:f>ROUND(S362*F362+0.000000001,2)</x:f>
        <x:v>0</x:v>
      </x:c>
      <x:c r="U362" s="12" t="n">
        <x:f>E362*R362</x:f>
        <x:v>0</x:v>
      </x:c>
      <x:c r="V362" t="str">
        <x:f>IF(AND(C362="Active",Q362=0),"Active Zero Sales","Not Zero Sales")</x:f>
        <x:v>Not Zero Sales</x:v>
      </x:c>
      <x:c r="W362" s="12" t="n">
        <x:f>IF(V362="Active Zero Sales",U362,0)</x:f>
        <x:v>0</x:v>
      </x:c>
      <x:c r="X362" t="str">
        <x:f>IF(E362&lt;25,"Low &lt; 25",IF(E362&lt;100,"Medium 25-99",IF(E362&lt;300,"High 100-299","Premium 300+")))</x:f>
        <x:v>High 100-299</x:v>
      </x:c>
      <x:c r="Y362" t="n">
        <x:f>IF(C362="Active",1,0)</x:f>
        <x:v>0</x:v>
      </x:c>
    </x:row>
    <x:row r="363">
      <x:c r="A363" t="str">
        <x:v>SKU00362</x:v>
      </x:c>
      <x:c r="B363" t="str">
        <x:v>Sample Product 00362</x:v>
      </x:c>
      <x:c r="C363" t="str">
        <x:v>Active</x:v>
      </x:c>
      <x:c r="D363" t="str">
        <x:v>2026-03</x:v>
      </x:c>
      <x:c r="E363" s="12" t="n">
        <x:v>26.24</x:v>
      </x:c>
      <x:c r="F363" s="10" t="n">
        <x:v>0.418</x:v>
      </x:c>
      <x:c r="G363" t="str">
        <x:v>Personal Care</x:v>
      </x:c>
      <x:c r="H363" t="str">
        <x:v>Skin Care</x:v>
      </x:c>
      <x:c r="I363" t="str">
        <x:v>MFG005</x:v>
      </x:c>
      <x:c r="J363" t="str">
        <x:v>Manufacturer 005</x:v>
      </x:c>
      <x:c r="K363" t="str">
        <x:v>SUP029</x:v>
      </x:c>
      <x:c r="L363" t="str">
        <x:v>Supplier 029</x:v>
      </x:c>
      <x:c r="M363" t="str">
        <x:v>REG-124007</x:v>
      </x:c>
      <x:c r="N363" t="str">
        <x:v>Generic Ingredient 173</x:v>
      </x:c>
      <x:c r="O363" t="str">
        <x:v>General Sale</x:v>
      </x:c>
      <x:c r="P363" t="n">
        <x:v>58</x:v>
      </x:c>
      <x:c r="Q363" t="n">
        <x:v>30</x:v>
      </x:c>
      <x:c r="R363" t="n">
        <x:v>0</x:v>
      </x:c>
      <x:c r="S363" s="12" t="n">
        <x:f>E363*Q363</x:f>
        <x:v>787.1999999999999</x:v>
      </x:c>
      <x:c r="T363" s="12" t="n">
        <x:f>ROUND(S363*F363+0.000000001,2)</x:f>
        <x:v>329.05</x:v>
      </x:c>
      <x:c r="U363" s="12" t="n">
        <x:f>E363*R363</x:f>
        <x:v>0</x:v>
      </x:c>
      <x:c r="V363" t="str">
        <x:f>IF(AND(C363="Active",Q363=0),"Active Zero Sales","Not Zero Sales")</x:f>
        <x:v>Not Zero Sales</x:v>
      </x:c>
      <x:c r="W363" s="12" t="n">
        <x:f>IF(V363="Active Zero Sales",U363,0)</x:f>
        <x:v>0</x:v>
      </x:c>
      <x:c r="X363" t="str">
        <x:f>IF(E363&lt;25,"Low &lt; 25",IF(E363&lt;100,"Medium 25-99",IF(E363&lt;300,"High 100-299","Premium 300+")))</x:f>
        <x:v>Medium 25-99</x:v>
      </x:c>
      <x:c r="Y363" t="n">
        <x:f>IF(C363="Active",1,0)</x:f>
        <x:v>1</x:v>
      </x:c>
    </x:row>
    <x:row r="364">
      <x:c r="A364" t="str">
        <x:v>SKU00363</x:v>
      </x:c>
      <x:c r="B364" t="str">
        <x:v>Sample Product 00363</x:v>
      </x:c>
      <x:c r="C364" t="str">
        <x:v>Active</x:v>
      </x:c>
      <x:c r="D364" t="str">
        <x:v>2026-06</x:v>
      </x:c>
      <x:c r="E364" s="12" t="n">
        <x:v>33.77</x:v>
      </x:c>
      <x:c r="F364" s="10" t="n">
        <x:v>0.386</x:v>
      </x:c>
      <x:c r="G364" t="str">
        <x:v>Personal Care</x:v>
      </x:c>
      <x:c r="H364" t="str">
        <x:v>Hair Care</x:v>
      </x:c>
      <x:c r="I364" t="str">
        <x:v>MFG017</x:v>
      </x:c>
      <x:c r="J364" t="str">
        <x:v>Manufacturer 017</x:v>
      </x:c>
      <x:c r="K364" t="str">
        <x:v>SUP015</x:v>
      </x:c>
      <x:c r="L364" t="str">
        <x:v>Supplier 015</x:v>
      </x:c>
      <x:c r="M364" t="str">
        <x:v>REG-680429</x:v>
      </x:c>
      <x:c r="N364" t="str">
        <x:v>Generic Ingredient 068</x:v>
      </x:c>
      <x:c r="O364" t="str">
        <x:v>General Sale</x:v>
      </x:c>
      <x:c r="P364" t="n">
        <x:v>93</x:v>
      </x:c>
      <x:c r="Q364" t="n">
        <x:v>39</x:v>
      </x:c>
      <x:c r="R364" t="n">
        <x:v>16</x:v>
      </x:c>
      <x:c r="S364" s="12" t="n">
        <x:f>E364*Q364</x:f>
        <x:v>1317.0300000000002</x:v>
      </x:c>
      <x:c r="T364" s="12" t="n">
        <x:f>ROUND(S364*F364+0.000000001,2)</x:f>
        <x:v>508.37</x:v>
      </x:c>
      <x:c r="U364" s="12" t="n">
        <x:f>E364*R364</x:f>
        <x:v>540.32</x:v>
      </x:c>
      <x:c r="V364" t="str">
        <x:f>IF(AND(C364="Active",Q364=0),"Active Zero Sales","Not Zero Sales")</x:f>
        <x:v>Not Zero Sales</x:v>
      </x:c>
      <x:c r="W364" s="12" t="n">
        <x:f>IF(V364="Active Zero Sales",U364,0)</x:f>
        <x:v>0</x:v>
      </x:c>
      <x:c r="X364" t="str">
        <x:f>IF(E364&lt;25,"Low &lt; 25",IF(E364&lt;100,"Medium 25-99",IF(E364&lt;300,"High 100-299","Premium 300+")))</x:f>
        <x:v>Medium 25-99</x:v>
      </x:c>
      <x:c r="Y364" t="n">
        <x:f>IF(C364="Active",1,0)</x:f>
        <x:v>1</x:v>
      </x:c>
    </x:row>
    <x:row r="365">
      <x:c r="A365" t="str">
        <x:v>SKU00364</x:v>
      </x:c>
      <x:c r="B365" t="str">
        <x:v>Sample Product 00364</x:v>
      </x:c>
      <x:c r="C365" t="str">
        <x:v>Active</x:v>
      </x:c>
      <x:c r="D365" t="str">
        <x:v>2026-02</x:v>
      </x:c>
      <x:c r="E365" s="12" t="n">
        <x:v>87.29</x:v>
      </x:c>
      <x:c r="F365" s="10" t="n">
        <x:v>0.383</x:v>
      </x:c>
      <x:c r="G365" t="str">
        <x:v>General Merchandise</x:v>
      </x:c>
      <x:c r="H365" t="str">
        <x:v>Baby Essentials</x:v>
      </x:c>
      <x:c r="I365" t="str">
        <x:v>MFG009</x:v>
      </x:c>
      <x:c r="J365" t="str">
        <x:v>Manufacturer 009</x:v>
      </x:c>
      <x:c r="K365" t="str">
        <x:v>SUP017</x:v>
      </x:c>
      <x:c r="L365" t="str">
        <x:v>Supplier 017</x:v>
      </x:c>
      <x:c r="M365" t="str">
        <x:v>REG-872094</x:v>
      </x:c>
      <x:c r="N365" t="str">
        <x:v>Generic Ingredient 113</x:v>
      </x:c>
      <x:c r="O365" t="str">
        <x:v>General Sale</x:v>
      </x:c>
      <x:c r="P365" t="n">
        <x:v>19</x:v>
      </x:c>
      <x:c r="Q365" t="n">
        <x:v>23</x:v>
      </x:c>
      <x:c r="R365" t="n">
        <x:v>0</x:v>
      </x:c>
      <x:c r="S365" s="12" t="n">
        <x:f>E365*Q365</x:f>
        <x:v>2007.67</x:v>
      </x:c>
      <x:c r="T365" s="12" t="n">
        <x:f>ROUND(S365*F365+0.000000001,2)</x:f>
        <x:v>768.94</x:v>
      </x:c>
      <x:c r="U365" s="12" t="n">
        <x:f>E365*R365</x:f>
        <x:v>0</x:v>
      </x:c>
      <x:c r="V365" t="str">
        <x:f>IF(AND(C365="Active",Q365=0),"Active Zero Sales","Not Zero Sales")</x:f>
        <x:v>Not Zero Sales</x:v>
      </x:c>
      <x:c r="W365" s="12" t="n">
        <x:f>IF(V365="Active Zero Sales",U365,0)</x:f>
        <x:v>0</x:v>
      </x:c>
      <x:c r="X365" t="str">
        <x:f>IF(E365&lt;25,"Low &lt; 25",IF(E365&lt;100,"Medium 25-99",IF(E365&lt;300,"High 100-299","Premium 300+")))</x:f>
        <x:v>Medium 25-99</x:v>
      </x:c>
      <x:c r="Y365" t="n">
        <x:f>IF(C365="Active",1,0)</x:f>
        <x:v>1</x:v>
      </x:c>
    </x:row>
    <x:row r="366">
      <x:c r="A366" t="str">
        <x:v>SKU00365</x:v>
      </x:c>
      <x:c r="B366" t="str">
        <x:v>Sample Product 00365</x:v>
      </x:c>
      <x:c r="C366" t="str">
        <x:v>Active</x:v>
      </x:c>
      <x:c r="D366" t="str">
        <x:v>2026-05</x:v>
      </x:c>
      <x:c r="E366" s="12" t="n">
        <x:v>232.35</x:v>
      </x:c>
      <x:c r="F366" s="10" t="n">
        <x:v>0.399</x:v>
      </x:c>
      <x:c r="G366" t="str">
        <x:v>OTC &amp; Wellness</x:v>
      </x:c>
      <x:c r="H366" t="str">
        <x:v>Pain Relief</x:v>
      </x:c>
      <x:c r="I366" t="str">
        <x:v>MFG018</x:v>
      </x:c>
      <x:c r="J366" t="str">
        <x:v>Manufacturer 018</x:v>
      </x:c>
      <x:c r="K366" t="str">
        <x:v>SUP021</x:v>
      </x:c>
      <x:c r="L366" t="str">
        <x:v>Supplier 021</x:v>
      </x:c>
      <x:c r="M366" t="str">
        <x:v>REG-403821</x:v>
      </x:c>
      <x:c r="N366" t="str">
        <x:v>Generic Ingredient 134</x:v>
      </x:c>
      <x:c r="O366" t="str">
        <x:v>General Sale</x:v>
      </x:c>
      <x:c r="P366" t="n">
        <x:v>57</x:v>
      </x:c>
      <x:c r="Q366" t="n">
        <x:v>14</x:v>
      </x:c>
      <x:c r="R366" t="n">
        <x:v>0</x:v>
      </x:c>
      <x:c r="S366" s="12" t="n">
        <x:f>E366*Q366</x:f>
        <x:v>3252.9</x:v>
      </x:c>
      <x:c r="T366" s="12" t="n">
        <x:f>ROUND(S366*F366+0.000000001,2)</x:f>
        <x:v>1297.91</x:v>
      </x:c>
      <x:c r="U366" s="12" t="n">
        <x:f>E366*R366</x:f>
        <x:v>0</x:v>
      </x:c>
      <x:c r="V366" t="str">
        <x:f>IF(AND(C366="Active",Q366=0),"Active Zero Sales","Not Zero Sales")</x:f>
        <x:v>Not Zero Sales</x:v>
      </x:c>
      <x:c r="W366" s="12" t="n">
        <x:f>IF(V366="Active Zero Sales",U366,0)</x:f>
        <x:v>0</x:v>
      </x:c>
      <x:c r="X366" t="str">
        <x:f>IF(E366&lt;25,"Low &lt; 25",IF(E366&lt;100,"Medium 25-99",IF(E366&lt;300,"High 100-299","Premium 300+")))</x:f>
        <x:v>High 100-299</x:v>
      </x:c>
      <x:c r="Y366" t="n">
        <x:f>IF(C366="Active",1,0)</x:f>
        <x:v>1</x:v>
      </x:c>
    </x:row>
    <x:row r="367">
      <x:c r="A367" t="str">
        <x:v>SKU00366</x:v>
      </x:c>
      <x:c r="B367" t="str">
        <x:v>Sample Product 00366</x:v>
      </x:c>
      <x:c r="C367" t="str">
        <x:v>Active</x:v>
      </x:c>
      <x:c r="D367" t="str">
        <x:v>2026-03</x:v>
      </x:c>
      <x:c r="E367" s="12" t="n">
        <x:v>8.44</x:v>
      </x:c>
      <x:c r="F367" s="10" t="n">
        <x:v>0.122</x:v>
      </x:c>
      <x:c r="G367" t="str">
        <x:v>Medical Devices</x:v>
      </x:c>
      <x:c r="H367" t="str">
        <x:v>Monitoring Supplies</x:v>
      </x:c>
      <x:c r="I367" t="str">
        <x:v>MFG011</x:v>
      </x:c>
      <x:c r="J367" t="str">
        <x:v>Manufacturer 011</x:v>
      </x:c>
      <x:c r="K367" t="str">
        <x:v>SUP021</x:v>
      </x:c>
      <x:c r="L367" t="str">
        <x:v>Supplier 021</x:v>
      </x:c>
      <x:c r="M367" t="str">
        <x:v>REG-114567</x:v>
      </x:c>
      <x:c r="N367" t="str">
        <x:v>Generic Ingredient 176</x:v>
      </x:c>
      <x:c r="O367" t="str">
        <x:v>Pharmacy Only</x:v>
      </x:c>
      <x:c r="P367" t="n">
        <x:v>34</x:v>
      </x:c>
      <x:c r="Q367" t="n">
        <x:v>15</x:v>
      </x:c>
      <x:c r="R367" t="n">
        <x:v>4</x:v>
      </x:c>
      <x:c r="S367" s="12" t="n">
        <x:f>E367*Q367</x:f>
        <x:v>126.6</x:v>
      </x:c>
      <x:c r="T367" s="12" t="n">
        <x:f>ROUND(S367*F367+0.000000001,2)</x:f>
        <x:v>15.45</x:v>
      </x:c>
      <x:c r="U367" s="12" t="n">
        <x:f>E367*R367</x:f>
        <x:v>33.76</x:v>
      </x:c>
      <x:c r="V367" t="str">
        <x:f>IF(AND(C367="Active",Q367=0),"Active Zero Sales","Not Zero Sales")</x:f>
        <x:v>Not Zero Sales</x:v>
      </x:c>
      <x:c r="W367" s="12" t="n">
        <x:f>IF(V367="Active Zero Sales",U367,0)</x:f>
        <x:v>0</x:v>
      </x:c>
      <x:c r="X367" t="str">
        <x:f>IF(E367&lt;25,"Low &lt; 25",IF(E367&lt;100,"Medium 25-99",IF(E367&lt;300,"High 100-299","Premium 300+")))</x:f>
        <x:v>Low &lt; 25</x:v>
      </x:c>
      <x:c r="Y367" t="n">
        <x:f>IF(C367="Active",1,0)</x:f>
        <x:v>1</x:v>
      </x:c>
    </x:row>
    <x:row r="368">
      <x:c r="A368" t="str">
        <x:v>SKU00367</x:v>
      </x:c>
      <x:c r="B368" t="str">
        <x:v>Sample Product 00367</x:v>
      </x:c>
      <x:c r="C368" t="str">
        <x:v>Active</x:v>
      </x:c>
      <x:c r="D368" t="str">
        <x:v>2026-01</x:v>
      </x:c>
      <x:c r="E368" s="12" t="n">
        <x:v>11.19</x:v>
      </x:c>
      <x:c r="F368" s="10" t="n">
        <x:v>0.297</x:v>
      </x:c>
      <x:c r="G368" t="str">
        <x:v>OTC &amp; Wellness</x:v>
      </x:c>
      <x:c r="H368" t="str">
        <x:v>Digestive Care</x:v>
      </x:c>
      <x:c r="I368" t="str">
        <x:v>MFG012</x:v>
      </x:c>
      <x:c r="J368" t="str">
        <x:v>Manufacturer 012</x:v>
      </x:c>
      <x:c r="K368" t="str">
        <x:v>SUP015</x:v>
      </x:c>
      <x:c r="L368" t="str">
        <x:v>Supplier 015</x:v>
      </x:c>
      <x:c r="M368" t="str">
        <x:v>REG-489900</x:v>
      </x:c>
      <x:c r="N368" t="str">
        <x:v>Generic Ingredient 139</x:v>
      </x:c>
      <x:c r="O368" t="str">
        <x:v>General Sale</x:v>
      </x:c>
      <x:c r="P368" t="n">
        <x:v>2</x:v>
      </x:c>
      <x:c r="Q368" t="n">
        <x:v>0</x:v>
      </x:c>
      <x:c r="R368" t="n">
        <x:v>4</x:v>
      </x:c>
      <x:c r="S368" s="12" t="n">
        <x:f>E368*Q368</x:f>
        <x:v>0</x:v>
      </x:c>
      <x:c r="T368" s="12" t="n">
        <x:f>ROUND(S368*F368+0.000000001,2)</x:f>
        <x:v>0</x:v>
      </x:c>
      <x:c r="U368" s="12" t="n">
        <x:f>E368*R368</x:f>
        <x:v>44.76</x:v>
      </x:c>
      <x:c r="V368" t="str">
        <x:f>IF(AND(C368="Active",Q368=0),"Active Zero Sales","Not Zero Sales")</x:f>
        <x:v>Active Zero Sales</x:v>
      </x:c>
      <x:c r="W368" s="12" t="n">
        <x:f>IF(V368="Active Zero Sales",U368,0)</x:f>
        <x:v>44.76</x:v>
      </x:c>
      <x:c r="X368" t="str">
        <x:f>IF(E368&lt;25,"Low &lt; 25",IF(E368&lt;100,"Medium 25-99",IF(E368&lt;300,"High 100-299","Premium 300+")))</x:f>
        <x:v>Low &lt; 25</x:v>
      </x:c>
      <x:c r="Y368" t="n">
        <x:f>IF(C368="Active",1,0)</x:f>
        <x:v>1</x:v>
      </x:c>
    </x:row>
    <x:row r="369">
      <x:c r="A369" t="str">
        <x:v>SKU00368</x:v>
      </x:c>
      <x:c r="B369" t="str">
        <x:v>Sample Product 00368</x:v>
      </x:c>
      <x:c r="C369" t="str">
        <x:v>Blocked</x:v>
      </x:c>
      <x:c r="D369" t="str">
        <x:v>2026-04</x:v>
      </x:c>
      <x:c r="E369" s="12" t="n">
        <x:v>37.19</x:v>
      </x:c>
      <x:c r="F369" s="10" t="n">
        <x:v>0.319</x:v>
      </x:c>
      <x:c r="G369" t="str">
        <x:v>OTC &amp; Wellness</x:v>
      </x:c>
      <x:c r="H369" t="str">
        <x:v>Cold &amp; Allergy</x:v>
      </x:c>
      <x:c r="I369" t="str">
        <x:v>MFG018</x:v>
      </x:c>
      <x:c r="J369" t="str">
        <x:v>Manufacturer 018</x:v>
      </x:c>
      <x:c r="K369" t="str">
        <x:v>SUP013</x:v>
      </x:c>
      <x:c r="L369" t="str">
        <x:v>Supplier 013</x:v>
      </x:c>
      <x:c r="M369" t="str">
        <x:v>REG-407531</x:v>
      </x:c>
      <x:c r="N369" t="str">
        <x:v>Generic Ingredient 122</x:v>
      </x:c>
      <x:c r="O369" t="str">
        <x:v>General Sale</x:v>
      </x:c>
      <x:c r="P369" t="n">
        <x:v>6</x:v>
      </x:c>
      <x:c r="Q369" t="n">
        <x:v>0</x:v>
      </x:c>
      <x:c r="R369" t="n">
        <x:v>0</x:v>
      </x:c>
      <x:c r="S369" s="12" t="n">
        <x:f>E369*Q369</x:f>
        <x:v>0</x:v>
      </x:c>
      <x:c r="T369" s="12" t="n">
        <x:f>ROUND(S369*F369+0.000000001,2)</x:f>
        <x:v>0</x:v>
      </x:c>
      <x:c r="U369" s="12" t="n">
        <x:f>E369*R369</x:f>
        <x:v>0</x:v>
      </x:c>
      <x:c r="V369" t="str">
        <x:f>IF(AND(C369="Active",Q369=0),"Active Zero Sales","Not Zero Sales")</x:f>
        <x:v>Not Zero Sales</x:v>
      </x:c>
      <x:c r="W369" s="12" t="n">
        <x:f>IF(V369="Active Zero Sales",U369,0)</x:f>
        <x:v>0</x:v>
      </x:c>
      <x:c r="X369" t="str">
        <x:f>IF(E369&lt;25,"Low &lt; 25",IF(E369&lt;100,"Medium 25-99",IF(E369&lt;300,"High 100-299","Premium 300+")))</x:f>
        <x:v>Medium 25-99</x:v>
      </x:c>
      <x:c r="Y369" t="n">
        <x:f>IF(C369="Active",1,0)</x:f>
        <x:v>0</x:v>
      </x:c>
    </x:row>
    <x:row r="370">
      <x:c r="A370" t="str">
        <x:v>SKU00369</x:v>
      </x:c>
      <x:c r="B370" t="str">
        <x:v>Sample Product 00369</x:v>
      </x:c>
      <x:c r="C370" t="str">
        <x:v>Active</x:v>
      </x:c>
      <x:c r="D370" t="str">
        <x:v>2026-06</x:v>
      </x:c>
      <x:c r="E370" s="12" t="n">
        <x:v>12.73</x:v>
      </x:c>
      <x:c r="F370" s="10" t="n">
        <x:v>0.37</x:v>
      </x:c>
      <x:c r="G370" t="str">
        <x:v>General Merchandise</x:v>
      </x:c>
      <x:c r="H370" t="str">
        <x:v>Seasonal Care</x:v>
      </x:c>
      <x:c r="I370" t="str">
        <x:v>MFG017</x:v>
      </x:c>
      <x:c r="J370" t="str">
        <x:v>Manufacturer 017</x:v>
      </x:c>
      <x:c r="K370" t="str">
        <x:v>SUP027</x:v>
      </x:c>
      <x:c r="L370" t="str">
        <x:v>Supplier 027</x:v>
      </x:c>
      <x:c r="M370" t="str">
        <x:v>REG-322865</x:v>
      </x:c>
      <x:c r="N370" t="str">
        <x:v>Generic Ingredient 065</x:v>
      </x:c>
      <x:c r="O370" t="str">
        <x:v>Pharmacy Only</x:v>
      </x:c>
      <x:c r="P370" t="n">
        <x:v>30</x:v>
      </x:c>
      <x:c r="Q370" t="n">
        <x:v>25</x:v>
      </x:c>
      <x:c r="R370" t="n">
        <x:v>4</x:v>
      </x:c>
      <x:c r="S370" s="12" t="n">
        <x:f>E370*Q370</x:f>
        <x:v>318.25</x:v>
      </x:c>
      <x:c r="T370" s="12" t="n">
        <x:f>ROUND(S370*F370+0.000000001,2)</x:f>
        <x:v>117.75</x:v>
      </x:c>
      <x:c r="U370" s="12" t="n">
        <x:f>E370*R370</x:f>
        <x:v>50.92</x:v>
      </x:c>
      <x:c r="V370" t="str">
        <x:f>IF(AND(C370="Active",Q370=0),"Active Zero Sales","Not Zero Sales")</x:f>
        <x:v>Not Zero Sales</x:v>
      </x:c>
      <x:c r="W370" s="12" t="n">
        <x:f>IF(V370="Active Zero Sales",U370,0)</x:f>
        <x:v>0</x:v>
      </x:c>
      <x:c r="X370" t="str">
        <x:f>IF(E370&lt;25,"Low &lt; 25",IF(E370&lt;100,"Medium 25-99",IF(E370&lt;300,"High 100-299","Premium 300+")))</x:f>
        <x:v>Low &lt; 25</x:v>
      </x:c>
      <x:c r="Y370" t="n">
        <x:f>IF(C370="Active",1,0)</x:f>
        <x:v>1</x:v>
      </x:c>
    </x:row>
    <x:row r="371">
      <x:c r="A371" t="str">
        <x:v>SKU00370</x:v>
      </x:c>
      <x:c r="B371" t="str">
        <x:v>Sample Product 00370</x:v>
      </x:c>
      <x:c r="C371" t="str">
        <x:v>Active</x:v>
      </x:c>
      <x:c r="D371" t="str">
        <x:v>2026-06</x:v>
      </x:c>
      <x:c r="E371" s="12" t="n">
        <x:v>156.03</x:v>
      </x:c>
      <x:c r="F371" s="10" t="n">
        <x:v>0.332</x:v>
      </x:c>
      <x:c r="G371" t="str">
        <x:v>Personal Care</x:v>
      </x:c>
      <x:c r="H371" t="str">
        <x:v>Hygiene</x:v>
      </x:c>
      <x:c r="I371" t="str">
        <x:v>MFG017</x:v>
      </x:c>
      <x:c r="J371" t="str">
        <x:v>Manufacturer 017</x:v>
      </x:c>
      <x:c r="K371" t="str">
        <x:v>SUP001</x:v>
      </x:c>
      <x:c r="L371" t="str">
        <x:v>Supplier 001</x:v>
      </x:c>
      <x:c r="M371" t="str">
        <x:v>REG-675002</x:v>
      </x:c>
      <x:c r="N371" t="str">
        <x:v>Generic Ingredient 149</x:v>
      </x:c>
      <x:c r="O371" t="str">
        <x:v>General Sale</x:v>
      </x:c>
      <x:c r="P371" t="n">
        <x:v>31</x:v>
      </x:c>
      <x:c r="Q371" t="n">
        <x:v>22</x:v>
      </x:c>
      <x:c r="R371" t="n">
        <x:v>11</x:v>
      </x:c>
      <x:c r="S371" s="12" t="n">
        <x:f>E371*Q371</x:f>
        <x:v>3432.66</x:v>
      </x:c>
      <x:c r="T371" s="12" t="n">
        <x:f>ROUND(S371*F371+0.000000001,2)</x:f>
        <x:v>1139.64</x:v>
      </x:c>
      <x:c r="U371" s="12" t="n">
        <x:f>E371*R371</x:f>
        <x:v>1716.33</x:v>
      </x:c>
      <x:c r="V371" t="str">
        <x:f>IF(AND(C371="Active",Q371=0),"Active Zero Sales","Not Zero Sales")</x:f>
        <x:v>Not Zero Sales</x:v>
      </x:c>
      <x:c r="W371" s="12" t="n">
        <x:f>IF(V371="Active Zero Sales",U371,0)</x:f>
        <x:v>0</x:v>
      </x:c>
      <x:c r="X371" t="str">
        <x:f>IF(E371&lt;25,"Low &lt; 25",IF(E371&lt;100,"Medium 25-99",IF(E371&lt;300,"High 100-299","Premium 300+")))</x:f>
        <x:v>High 100-299</x:v>
      </x:c>
      <x:c r="Y371" t="n">
        <x:f>IF(C371="Active",1,0)</x:f>
        <x:v>1</x:v>
      </x:c>
    </x:row>
    <x:row r="372">
      <x:c r="A372" t="str">
        <x:v>SKU00371</x:v>
      </x:c>
      <x:c r="B372" t="str">
        <x:v>Sample Product 00371</x:v>
      </x:c>
      <x:c r="C372" t="str">
        <x:v>Active</x:v>
      </x:c>
      <x:c r="D372" t="str">
        <x:v>2026-05</x:v>
      </x:c>
      <x:c r="E372" s="12" t="n">
        <x:v>7.08</x:v>
      </x:c>
      <x:c r="F372" s="10" t="n">
        <x:v>0.307</x:v>
      </x:c>
      <x:c r="G372" t="str">
        <x:v>Personal Care</x:v>
      </x:c>
      <x:c r="H372" t="str">
        <x:v>Hair Care</x:v>
      </x:c>
      <x:c r="I372" t="str">
        <x:v>MFG020</x:v>
      </x:c>
      <x:c r="J372" t="str">
        <x:v>Manufacturer 020</x:v>
      </x:c>
      <x:c r="K372" t="str">
        <x:v>SUP030</x:v>
      </x:c>
      <x:c r="L372" t="str">
        <x:v>Supplier 030</x:v>
      </x:c>
      <x:c r="M372" t="str">
        <x:v>REG-171696</x:v>
      </x:c>
      <x:c r="N372" t="str">
        <x:v>Generic Ingredient 019</x:v>
      </x:c>
      <x:c r="O372" t="str">
        <x:v>General Sale</x:v>
      </x:c>
      <x:c r="P372" t="n">
        <x:v>20</x:v>
      </x:c>
      <x:c r="Q372" t="n">
        <x:v>18</x:v>
      </x:c>
      <x:c r="R372" t="n">
        <x:v>10</x:v>
      </x:c>
      <x:c r="S372" s="12" t="n">
        <x:f>E372*Q372</x:f>
        <x:v>127.44</x:v>
      </x:c>
      <x:c r="T372" s="12" t="n">
        <x:f>ROUND(S372*F372+0.000000001,2)</x:f>
        <x:v>39.12</x:v>
      </x:c>
      <x:c r="U372" s="12" t="n">
        <x:f>E372*R372</x:f>
        <x:v>70.8</x:v>
      </x:c>
      <x:c r="V372" t="str">
        <x:f>IF(AND(C372="Active",Q372=0),"Active Zero Sales","Not Zero Sales")</x:f>
        <x:v>Not Zero Sales</x:v>
      </x:c>
      <x:c r="W372" s="12" t="n">
        <x:f>IF(V372="Active Zero Sales",U372,0)</x:f>
        <x:v>0</x:v>
      </x:c>
      <x:c r="X372" t="str">
        <x:f>IF(E372&lt;25,"Low &lt; 25",IF(E372&lt;100,"Medium 25-99",IF(E372&lt;300,"High 100-299","Premium 300+")))</x:f>
        <x:v>Low &lt; 25</x:v>
      </x:c>
      <x:c r="Y372" t="n">
        <x:f>IF(C372="Active",1,0)</x:f>
        <x:v>1</x:v>
      </x:c>
    </x:row>
    <x:row r="373">
      <x:c r="A373" t="str">
        <x:v>SKU00372</x:v>
      </x:c>
      <x:c r="B373" t="str">
        <x:v>Sample Product 00372</x:v>
      </x:c>
      <x:c r="C373" t="str">
        <x:v>Active</x:v>
      </x:c>
      <x:c r="D373" t="str">
        <x:v>2026-01</x:v>
      </x:c>
      <x:c r="E373" s="12" t="n">
        <x:v>87.71</x:v>
      </x:c>
      <x:c r="F373" s="10" t="n">
        <x:v>0.275</x:v>
      </x:c>
      <x:c r="G373" t="str">
        <x:v>Nutrition</x:v>
      </x:c>
      <x:c r="H373" t="str">
        <x:v>Adult Nutrition</x:v>
      </x:c>
      <x:c r="I373" t="str">
        <x:v>MFG019</x:v>
      </x:c>
      <x:c r="J373" t="str">
        <x:v>Manufacturer 019</x:v>
      </x:c>
      <x:c r="K373" t="str">
        <x:v>SUP027</x:v>
      </x:c>
      <x:c r="L373" t="str">
        <x:v>Supplier 027</x:v>
      </x:c>
      <x:c r="M373" t="str">
        <x:v>REG-290968</x:v>
      </x:c>
      <x:c r="N373" t="str">
        <x:v>Generic Ingredient 133</x:v>
      </x:c>
      <x:c r="O373" t="str">
        <x:v>General Sale</x:v>
      </x:c>
      <x:c r="P373" t="n">
        <x:v>126</x:v>
      </x:c>
      <x:c r="Q373" t="n">
        <x:v>44</x:v>
      </x:c>
      <x:c r="R373" t="n">
        <x:v>33</x:v>
      </x:c>
      <x:c r="S373" s="12" t="n">
        <x:f>E373*Q373</x:f>
        <x:v>3859.24</x:v>
      </x:c>
      <x:c r="T373" s="12" t="n">
        <x:f>ROUND(S373*F373+0.000000001,2)</x:f>
        <x:v>1061.29</x:v>
      </x:c>
      <x:c r="U373" s="12" t="n">
        <x:f>E373*R373</x:f>
        <x:v>2894.43</x:v>
      </x:c>
      <x:c r="V373" t="str">
        <x:f>IF(AND(C373="Active",Q373=0),"Active Zero Sales","Not Zero Sales")</x:f>
        <x:v>Not Zero Sales</x:v>
      </x:c>
      <x:c r="W373" s="12" t="n">
        <x:f>IF(V373="Active Zero Sales",U373,0)</x:f>
        <x:v>0</x:v>
      </x:c>
      <x:c r="X373" t="str">
        <x:f>IF(E373&lt;25,"Low &lt; 25",IF(E373&lt;100,"Medium 25-99",IF(E373&lt;300,"High 100-299","Premium 300+")))</x:f>
        <x:v>Medium 25-99</x:v>
      </x:c>
      <x:c r="Y373" t="n">
        <x:f>IF(C373="Active",1,0)</x:f>
        <x:v>1</x:v>
      </x:c>
    </x:row>
    <x:row r="374">
      <x:c r="A374" t="str">
        <x:v>SKU00373</x:v>
      </x:c>
      <x:c r="B374" t="str">
        <x:v>Sample Product 00373</x:v>
      </x:c>
      <x:c r="C374" t="str">
        <x:v>Active</x:v>
      </x:c>
      <x:c r="D374" t="str">
        <x:v>2026-03</x:v>
      </x:c>
      <x:c r="E374" s="12" t="n">
        <x:v>50.34</x:v>
      </x:c>
      <x:c r="F374" s="10" t="n">
        <x:v>0.282</x:v>
      </x:c>
      <x:c r="G374" t="str">
        <x:v>Personal Care</x:v>
      </x:c>
      <x:c r="H374" t="str">
        <x:v>Skin Care</x:v>
      </x:c>
      <x:c r="I374" t="str">
        <x:v>MFG001</x:v>
      </x:c>
      <x:c r="J374" t="str">
        <x:v>Manufacturer 001</x:v>
      </x:c>
      <x:c r="K374" t="str">
        <x:v>SUP011</x:v>
      </x:c>
      <x:c r="L374" t="str">
        <x:v>Supplier 011</x:v>
      </x:c>
      <x:c r="M374" t="str">
        <x:v>REG-798624</x:v>
      </x:c>
      <x:c r="N374" t="str">
        <x:v>Generic Ingredient 007</x:v>
      </x:c>
      <x:c r="O374" t="str">
        <x:v>General Sale</x:v>
      </x:c>
      <x:c r="P374" t="n">
        <x:v>57</x:v>
      </x:c>
      <x:c r="Q374" t="n">
        <x:v>65</x:v>
      </x:c>
      <x:c r="R374" t="n">
        <x:v>2</x:v>
      </x:c>
      <x:c r="S374" s="12" t="n">
        <x:f>E374*Q374</x:f>
        <x:v>3272.1000000000004</x:v>
      </x:c>
      <x:c r="T374" s="12" t="n">
        <x:f>ROUND(S374*F374+0.000000001,2)</x:f>
        <x:v>922.73</x:v>
      </x:c>
      <x:c r="U374" s="12" t="n">
        <x:f>E374*R374</x:f>
        <x:v>100.68</x:v>
      </x:c>
      <x:c r="V374" t="str">
        <x:f>IF(AND(C374="Active",Q374=0),"Active Zero Sales","Not Zero Sales")</x:f>
        <x:v>Not Zero Sales</x:v>
      </x:c>
      <x:c r="W374" s="12" t="n">
        <x:f>IF(V374="Active Zero Sales",U374,0)</x:f>
        <x:v>0</x:v>
      </x:c>
      <x:c r="X374" t="str">
        <x:f>IF(E374&lt;25,"Low &lt; 25",IF(E374&lt;100,"Medium 25-99",IF(E374&lt;300,"High 100-299","Premium 300+")))</x:f>
        <x:v>Medium 25-99</x:v>
      </x:c>
      <x:c r="Y374" t="n">
        <x:f>IF(C374="Active",1,0)</x:f>
        <x:v>1</x:v>
      </x:c>
    </x:row>
    <x:row r="375">
      <x:c r="A375" t="str">
        <x:v>SKU00374</x:v>
      </x:c>
      <x:c r="B375" t="str">
        <x:v>Sample Product 00374</x:v>
      </x:c>
      <x:c r="C375" t="str">
        <x:v>Active</x:v>
      </x:c>
      <x:c r="D375" t="str">
        <x:v>2026-01</x:v>
      </x:c>
      <x:c r="E375" s="12" t="n">
        <x:v>85.32</x:v>
      </x:c>
      <x:c r="F375" s="10" t="n">
        <x:v>0.441</x:v>
      </x:c>
      <x:c r="G375" t="str">
        <x:v>Personal Care</x:v>
      </x:c>
      <x:c r="H375" t="str">
        <x:v>Skin Care</x:v>
      </x:c>
      <x:c r="I375" t="str">
        <x:v>MFG008</x:v>
      </x:c>
      <x:c r="J375" t="str">
        <x:v>Manufacturer 008</x:v>
      </x:c>
      <x:c r="K375" t="str">
        <x:v>SUP001</x:v>
      </x:c>
      <x:c r="L375" t="str">
        <x:v>Supplier 001</x:v>
      </x:c>
      <x:c r="M375" t="str">
        <x:v>REG-129225</x:v>
      </x:c>
      <x:c r="N375" t="str">
        <x:v>Generic Ingredient 178</x:v>
      </x:c>
      <x:c r="O375" t="str">
        <x:v>General Sale</x:v>
      </x:c>
      <x:c r="P375" t="n">
        <x:v>67</x:v>
      </x:c>
      <x:c r="Q375" t="n">
        <x:v>40</x:v>
      </x:c>
      <x:c r="R375" t="n">
        <x:v>8</x:v>
      </x:c>
      <x:c r="S375" s="12" t="n">
        <x:f>E375*Q375</x:f>
        <x:v>3412.7999999999997</x:v>
      </x:c>
      <x:c r="T375" s="12" t="n">
        <x:f>ROUND(S375*F375+0.000000001,2)</x:f>
        <x:v>1505.04</x:v>
      </x:c>
      <x:c r="U375" s="12" t="n">
        <x:f>E375*R375</x:f>
        <x:v>682.56</x:v>
      </x:c>
      <x:c r="V375" t="str">
        <x:f>IF(AND(C375="Active",Q375=0),"Active Zero Sales","Not Zero Sales")</x:f>
        <x:v>Not Zero Sales</x:v>
      </x:c>
      <x:c r="W375" s="12" t="n">
        <x:f>IF(V375="Active Zero Sales",U375,0)</x:f>
        <x:v>0</x:v>
      </x:c>
      <x:c r="X375" t="str">
        <x:f>IF(E375&lt;25,"Low &lt; 25",IF(E375&lt;100,"Medium 25-99",IF(E375&lt;300,"High 100-299","Premium 300+")))</x:f>
        <x:v>Medium 25-99</x:v>
      </x:c>
      <x:c r="Y375" t="n">
        <x:f>IF(C375="Active",1,0)</x:f>
        <x:v>1</x:v>
      </x:c>
    </x:row>
    <x:row r="376">
      <x:c r="A376" t="str">
        <x:v>SKU00375</x:v>
      </x:c>
      <x:c r="B376" t="str">
        <x:v>Sample Product 00375</x:v>
      </x:c>
      <x:c r="C376" t="str">
        <x:v>Active</x:v>
      </x:c>
      <x:c r="D376" t="str">
        <x:v>2026-02</x:v>
      </x:c>
      <x:c r="E376" s="12" t="n">
        <x:v>33.11</x:v>
      </x:c>
      <x:c r="F376" s="10" t="n">
        <x:v>0.287</x:v>
      </x:c>
      <x:c r="G376" t="str">
        <x:v>Medical Devices</x:v>
      </x:c>
      <x:c r="H376" t="str">
        <x:v>Mobility Aids</x:v>
      </x:c>
      <x:c r="I376" t="str">
        <x:v>MFG014</x:v>
      </x:c>
      <x:c r="J376" t="str">
        <x:v>Manufacturer 014</x:v>
      </x:c>
      <x:c r="K376" t="str">
        <x:v>SUP011</x:v>
      </x:c>
      <x:c r="L376" t="str">
        <x:v>Supplier 011</x:v>
      </x:c>
      <x:c r="M376" t="str">
        <x:v>REG-607207</x:v>
      </x:c>
      <x:c r="N376" t="str">
        <x:v>Generic Ingredient 033</x:v>
      </x:c>
      <x:c r="O376" t="str">
        <x:v>General Sale</x:v>
      </x:c>
      <x:c r="P376" t="n">
        <x:v>23</x:v>
      </x:c>
      <x:c r="Q376" t="n">
        <x:v>12</x:v>
      </x:c>
      <x:c r="R376" t="n">
        <x:v>7</x:v>
      </x:c>
      <x:c r="S376" s="12" t="n">
        <x:f>E376*Q376</x:f>
        <x:v>397.32</x:v>
      </x:c>
      <x:c r="T376" s="12" t="n">
        <x:f>ROUND(S376*F376+0.000000001,2)</x:f>
        <x:v>114.03</x:v>
      </x:c>
      <x:c r="U376" s="12" t="n">
        <x:f>E376*R376</x:f>
        <x:v>231.76999999999998</x:v>
      </x:c>
      <x:c r="V376" t="str">
        <x:f>IF(AND(C376="Active",Q376=0),"Active Zero Sales","Not Zero Sales")</x:f>
        <x:v>Not Zero Sales</x:v>
      </x:c>
      <x:c r="W376" s="12" t="n">
        <x:f>IF(V376="Active Zero Sales",U376,0)</x:f>
        <x:v>0</x:v>
      </x:c>
      <x:c r="X376" t="str">
        <x:f>IF(E376&lt;25,"Low &lt; 25",IF(E376&lt;100,"Medium 25-99",IF(E376&lt;300,"High 100-299","Premium 300+")))</x:f>
        <x:v>Medium 25-99</x:v>
      </x:c>
      <x:c r="Y376" t="n">
        <x:f>IF(C376="Active",1,0)</x:f>
        <x:v>1</x:v>
      </x:c>
    </x:row>
    <x:row r="377">
      <x:c r="A377" t="str">
        <x:v>SKU00376</x:v>
      </x:c>
      <x:c r="B377" t="str">
        <x:v>Sample Product 00376</x:v>
      </x:c>
      <x:c r="C377" t="str">
        <x:v>Active</x:v>
      </x:c>
      <x:c r="D377" t="str">
        <x:v>2026-06</x:v>
      </x:c>
      <x:c r="E377" s="12" t="n">
        <x:v>53.5</x:v>
      </x:c>
      <x:c r="F377" s="10" t="n">
        <x:v>0.406</x:v>
      </x:c>
      <x:c r="G377" t="str">
        <x:v>Personal Care</x:v>
      </x:c>
      <x:c r="H377" t="str">
        <x:v>Skin Care</x:v>
      </x:c>
      <x:c r="I377" t="str">
        <x:v>MFG020</x:v>
      </x:c>
      <x:c r="J377" t="str">
        <x:v>Manufacturer 020</x:v>
      </x:c>
      <x:c r="K377" t="str">
        <x:v>SUP015</x:v>
      </x:c>
      <x:c r="L377" t="str">
        <x:v>Supplier 015</x:v>
      </x:c>
      <x:c r="M377" t="str">
        <x:v>REG-332437</x:v>
      </x:c>
      <x:c r="N377" t="str">
        <x:v>Generic Ingredient 167</x:v>
      </x:c>
      <x:c r="O377" t="str">
        <x:v>Restricted Sale</x:v>
      </x:c>
      <x:c r="P377" t="n">
        <x:v>27</x:v>
      </x:c>
      <x:c r="Q377" t="n">
        <x:v>28</x:v>
      </x:c>
      <x:c r="R377" t="n">
        <x:v>4</x:v>
      </x:c>
      <x:c r="S377" s="12" t="n">
        <x:f>E377*Q377</x:f>
        <x:v>1498</x:v>
      </x:c>
      <x:c r="T377" s="12" t="n">
        <x:f>ROUND(S377*F377+0.000000001,2)</x:f>
        <x:v>608.19</x:v>
      </x:c>
      <x:c r="U377" s="12" t="n">
        <x:f>E377*R377</x:f>
        <x:v>214</x:v>
      </x:c>
      <x:c r="V377" t="str">
        <x:f>IF(AND(C377="Active",Q377=0),"Active Zero Sales","Not Zero Sales")</x:f>
        <x:v>Not Zero Sales</x:v>
      </x:c>
      <x:c r="W377" s="12" t="n">
        <x:f>IF(V377="Active Zero Sales",U377,0)</x:f>
        <x:v>0</x:v>
      </x:c>
      <x:c r="X377" t="str">
        <x:f>IF(E377&lt;25,"Low &lt; 25",IF(E377&lt;100,"Medium 25-99",IF(E377&lt;300,"High 100-299","Premium 300+")))</x:f>
        <x:v>Medium 25-99</x:v>
      </x:c>
      <x:c r="Y377" t="n">
        <x:f>IF(C377="Active",1,0)</x:f>
        <x:v>1</x:v>
      </x:c>
    </x:row>
    <x:row r="378">
      <x:c r="A378" t="str">
        <x:v>SKU00377</x:v>
      </x:c>
      <x:c r="B378" t="str">
        <x:v>Sample Product 00377</x:v>
      </x:c>
      <x:c r="C378" t="str">
        <x:v>Active</x:v>
      </x:c>
      <x:c r="D378" t="str">
        <x:v>2026-05</x:v>
      </x:c>
      <x:c r="E378" s="12" t="n">
        <x:v>105.36</x:v>
      </x:c>
      <x:c r="F378" s="10" t="n">
        <x:v>0.327</x:v>
      </x:c>
      <x:c r="G378" t="str">
        <x:v>Nutrition</x:v>
      </x:c>
      <x:c r="H378" t="str">
        <x:v>Adult Nutrition</x:v>
      </x:c>
      <x:c r="I378" t="str">
        <x:v>MFG007</x:v>
      </x:c>
      <x:c r="J378" t="str">
        <x:v>Manufacturer 007</x:v>
      </x:c>
      <x:c r="K378" t="str">
        <x:v>SUP015</x:v>
      </x:c>
      <x:c r="L378" t="str">
        <x:v>Supplier 015</x:v>
      </x:c>
      <x:c r="M378" t="str">
        <x:v>REG-946636</x:v>
      </x:c>
      <x:c r="N378" t="str">
        <x:v>Generic Ingredient 076</x:v>
      </x:c>
      <x:c r="O378" t="str">
        <x:v>General Sale</x:v>
      </x:c>
      <x:c r="P378" t="n">
        <x:v>132</x:v>
      </x:c>
      <x:c r="Q378" t="n">
        <x:v>68</x:v>
      </x:c>
      <x:c r="R378" t="n">
        <x:v>21</x:v>
      </x:c>
      <x:c r="S378" s="12" t="n">
        <x:f>E378*Q378</x:f>
        <x:v>7164.48</x:v>
      </x:c>
      <x:c r="T378" s="12" t="n">
        <x:f>ROUND(S378*F378+0.000000001,2)</x:f>
        <x:v>2342.78</x:v>
      </x:c>
      <x:c r="U378" s="12" t="n">
        <x:f>E378*R378</x:f>
        <x:v>2212.56</x:v>
      </x:c>
      <x:c r="V378" t="str">
        <x:f>IF(AND(C378="Active",Q378=0),"Active Zero Sales","Not Zero Sales")</x:f>
        <x:v>Not Zero Sales</x:v>
      </x:c>
      <x:c r="W378" s="12" t="n">
        <x:f>IF(V378="Active Zero Sales",U378,0)</x:f>
        <x:v>0</x:v>
      </x:c>
      <x:c r="X378" t="str">
        <x:f>IF(E378&lt;25,"Low &lt; 25",IF(E378&lt;100,"Medium 25-99",IF(E378&lt;300,"High 100-299","Premium 300+")))</x:f>
        <x:v>High 100-299</x:v>
      </x:c>
      <x:c r="Y378" t="n">
        <x:f>IF(C378="Active",1,0)</x:f>
        <x:v>1</x:v>
      </x:c>
    </x:row>
    <x:row r="379">
      <x:c r="A379" t="str">
        <x:v>SKU00378</x:v>
      </x:c>
      <x:c r="B379" t="str">
        <x:v>Sample Product 00378</x:v>
      </x:c>
      <x:c r="C379" t="str">
        <x:v>Blocked</x:v>
      </x:c>
      <x:c r="D379" t="str">
        <x:v>2026-03</x:v>
      </x:c>
      <x:c r="E379" s="12" t="n">
        <x:v>89.51</x:v>
      </x:c>
      <x:c r="F379" s="10" t="n">
        <x:v>0.39</x:v>
      </x:c>
      <x:c r="G379" t="str">
        <x:v>Personal Care</x:v>
      </x:c>
      <x:c r="H379" t="str">
        <x:v>Oral Care</x:v>
      </x:c>
      <x:c r="I379" t="str">
        <x:v>MFG013</x:v>
      </x:c>
      <x:c r="J379" t="str">
        <x:v>Manufacturer 013</x:v>
      </x:c>
      <x:c r="K379" t="str">
        <x:v>SUP009</x:v>
      </x:c>
      <x:c r="L379" t="str">
        <x:v>Supplier 009</x:v>
      </x:c>
      <x:c r="M379" t="str">
        <x:v>REG-889461</x:v>
      </x:c>
      <x:c r="N379" t="str">
        <x:v>Generic Ingredient 121</x:v>
      </x:c>
      <x:c r="O379" t="str">
        <x:v>Pharmacy Only</x:v>
      </x:c>
      <x:c r="P379" t="n">
        <x:v>9</x:v>
      </x:c>
      <x:c r="Q379" t="n">
        <x:v>15</x:v>
      </x:c>
      <x:c r="R379" t="n">
        <x:v>0</x:v>
      </x:c>
      <x:c r="S379" s="12" t="n">
        <x:f>E379*Q379</x:f>
        <x:v>1342.65</x:v>
      </x:c>
      <x:c r="T379" s="12" t="n">
        <x:f>ROUND(S379*F379+0.000000001,2)</x:f>
        <x:v>523.63</x:v>
      </x:c>
      <x:c r="U379" s="12" t="n">
        <x:f>E379*R379</x:f>
        <x:v>0</x:v>
      </x:c>
      <x:c r="V379" t="str">
        <x:f>IF(AND(C379="Active",Q379=0),"Active Zero Sales","Not Zero Sales")</x:f>
        <x:v>Not Zero Sales</x:v>
      </x:c>
      <x:c r="W379" s="12" t="n">
        <x:f>IF(V379="Active Zero Sales",U379,0)</x:f>
        <x:v>0</x:v>
      </x:c>
      <x:c r="X379" t="str">
        <x:f>IF(E379&lt;25,"Low &lt; 25",IF(E379&lt;100,"Medium 25-99",IF(E379&lt;300,"High 100-299","Premium 300+")))</x:f>
        <x:v>Medium 25-99</x:v>
      </x:c>
      <x:c r="Y379" t="n">
        <x:f>IF(C379="Active",1,0)</x:f>
        <x:v>0</x:v>
      </x:c>
    </x:row>
    <x:row r="380">
      <x:c r="A380" t="str">
        <x:v>SKU00379</x:v>
      </x:c>
      <x:c r="B380" t="str">
        <x:v>Sample Product 00379</x:v>
      </x:c>
      <x:c r="C380" t="str">
        <x:v>Blocked</x:v>
      </x:c>
      <x:c r="D380" t="str">
        <x:v>2026-01</x:v>
      </x:c>
      <x:c r="E380" s="12" t="n">
        <x:v>29.74</x:v>
      </x:c>
      <x:c r="F380" s="10" t="n">
        <x:v>0.229</x:v>
      </x:c>
      <x:c r="G380" t="str">
        <x:v>Medical Devices</x:v>
      </x:c>
      <x:c r="H380" t="str">
        <x:v>First Aid</x:v>
      </x:c>
      <x:c r="I380" t="str">
        <x:v>MFG002</x:v>
      </x:c>
      <x:c r="J380" t="str">
        <x:v>Manufacturer 002</x:v>
      </x:c>
      <x:c r="K380" t="str">
        <x:v>SUP002</x:v>
      </x:c>
      <x:c r="L380" t="str">
        <x:v>Supplier 002</x:v>
      </x:c>
      <x:c r="M380" t="str">
        <x:v>REG-270674</x:v>
      </x:c>
      <x:c r="N380" t="str">
        <x:v>Generic Ingredient 086</x:v>
      </x:c>
      <x:c r="O380" t="str">
        <x:v>Pharmacy Only</x:v>
      </x:c>
      <x:c r="P380" t="n">
        <x:v>28</x:v>
      </x:c>
      <x:c r="Q380" t="n">
        <x:v>19</x:v>
      </x:c>
      <x:c r="R380" t="n">
        <x:v>0</x:v>
      </x:c>
      <x:c r="S380" s="12" t="n">
        <x:f>E380*Q380</x:f>
        <x:v>565.06</x:v>
      </x:c>
      <x:c r="T380" s="12" t="n">
        <x:f>ROUND(S380*F380+0.000000001,2)</x:f>
        <x:v>129.4</x:v>
      </x:c>
      <x:c r="U380" s="12" t="n">
        <x:f>E380*R380</x:f>
        <x:v>0</x:v>
      </x:c>
      <x:c r="V380" t="str">
        <x:f>IF(AND(C380="Active",Q380=0),"Active Zero Sales","Not Zero Sales")</x:f>
        <x:v>Not Zero Sales</x:v>
      </x:c>
      <x:c r="W380" s="12" t="n">
        <x:f>IF(V380="Active Zero Sales",U380,0)</x:f>
        <x:v>0</x:v>
      </x:c>
      <x:c r="X380" t="str">
        <x:f>IF(E380&lt;25,"Low &lt; 25",IF(E380&lt;100,"Medium 25-99",IF(E380&lt;300,"High 100-299","Premium 300+")))</x:f>
        <x:v>Medium 25-99</x:v>
      </x:c>
      <x:c r="Y380" t="n">
        <x:f>IF(C380="Active",1,0)</x:f>
        <x:v>0</x:v>
      </x:c>
    </x:row>
    <x:row r="381">
      <x:c r="A381" t="str">
        <x:v>SKU00380</x:v>
      </x:c>
      <x:c r="B381" t="str">
        <x:v>Sample Product 00380</x:v>
      </x:c>
      <x:c r="C381" t="str">
        <x:v>Active</x:v>
      </x:c>
      <x:c r="D381" t="str">
        <x:v>2026-06</x:v>
      </x:c>
      <x:c r="E381" s="12" t="n">
        <x:v>58.86</x:v>
      </x:c>
      <x:c r="F381" s="10" t="n">
        <x:v>0.31</x:v>
      </x:c>
      <x:c r="G381" t="str">
        <x:v>Personal Care</x:v>
      </x:c>
      <x:c r="H381" t="str">
        <x:v>Skin Care</x:v>
      </x:c>
      <x:c r="I381" t="str">
        <x:v>MFG010</x:v>
      </x:c>
      <x:c r="J381" t="str">
        <x:v>Manufacturer 010</x:v>
      </x:c>
      <x:c r="K381" t="str">
        <x:v>SUP003</x:v>
      </x:c>
      <x:c r="L381" t="str">
        <x:v>Supplier 003</x:v>
      </x:c>
      <x:c r="M381" t="str">
        <x:v>REG-251935</x:v>
      </x:c>
      <x:c r="N381" t="str">
        <x:v>Generic Ingredient 050</x:v>
      </x:c>
      <x:c r="O381" t="str">
        <x:v>General Sale</x:v>
      </x:c>
      <x:c r="P381" t="n">
        <x:v>91</x:v>
      </x:c>
      <x:c r="Q381" t="n">
        <x:v>58</x:v>
      </x:c>
      <x:c r="R381" t="n">
        <x:v>19</x:v>
      </x:c>
      <x:c r="S381" s="12" t="n">
        <x:f>E381*Q381</x:f>
        <x:v>3413.88</x:v>
      </x:c>
      <x:c r="T381" s="12" t="n">
        <x:f>ROUND(S381*F381+0.000000001,2)</x:f>
        <x:v>1058.3</x:v>
      </x:c>
      <x:c r="U381" s="12" t="n">
        <x:f>E381*R381</x:f>
        <x:v>1118.34</x:v>
      </x:c>
      <x:c r="V381" t="str">
        <x:f>IF(AND(C381="Active",Q381=0),"Active Zero Sales","Not Zero Sales")</x:f>
        <x:v>Not Zero Sales</x:v>
      </x:c>
      <x:c r="W381" s="12" t="n">
        <x:f>IF(V381="Active Zero Sales",U381,0)</x:f>
        <x:v>0</x:v>
      </x:c>
      <x:c r="X381" t="str">
        <x:f>IF(E381&lt;25,"Low &lt; 25",IF(E381&lt;100,"Medium 25-99",IF(E381&lt;300,"High 100-299","Premium 300+")))</x:f>
        <x:v>Medium 25-99</x:v>
      </x:c>
      <x:c r="Y381" t="n">
        <x:f>IF(C381="Active",1,0)</x:f>
        <x:v>1</x:v>
      </x:c>
    </x:row>
    <x:row r="382">
      <x:c r="A382" t="str">
        <x:v>SKU00381</x:v>
      </x:c>
      <x:c r="B382" t="str">
        <x:v>Sample Product 00381</x:v>
      </x:c>
      <x:c r="C382" t="str">
        <x:v>Blocked</x:v>
      </x:c>
      <x:c r="D382" t="str">
        <x:v>2026-05</x:v>
      </x:c>
      <x:c r="E382" s="12" t="n">
        <x:v>591.42</x:v>
      </x:c>
      <x:c r="F382" s="10" t="n">
        <x:v>0.202</x:v>
      </x:c>
      <x:c r="G382" t="str">
        <x:v>Medical Devices</x:v>
      </x:c>
      <x:c r="H382" t="str">
        <x:v>Mobility Aids</x:v>
      </x:c>
      <x:c r="I382" t="str">
        <x:v>MFG002</x:v>
      </x:c>
      <x:c r="J382" t="str">
        <x:v>Manufacturer 002</x:v>
      </x:c>
      <x:c r="K382" t="str">
        <x:v>SUP011</x:v>
      </x:c>
      <x:c r="L382" t="str">
        <x:v>Supplier 011</x:v>
      </x:c>
      <x:c r="M382" t="str">
        <x:v>REG-954744</x:v>
      </x:c>
      <x:c r="N382" t="str">
        <x:v>Generic Ingredient 035</x:v>
      </x:c>
      <x:c r="O382" t="str">
        <x:v>General Sale</x:v>
      </x:c>
      <x:c r="P382" t="n">
        <x:v>0</x:v>
      </x:c>
      <x:c r="Q382" t="n">
        <x:v>0</x:v>
      </x:c>
      <x:c r="R382" t="n">
        <x:v>0</x:v>
      </x:c>
      <x:c r="S382" s="12" t="n">
        <x:f>E382*Q382</x:f>
        <x:v>0</x:v>
      </x:c>
      <x:c r="T382" s="12" t="n">
        <x:f>ROUND(S382*F382+0.000000001,2)</x:f>
        <x:v>0</x:v>
      </x:c>
      <x:c r="U382" s="12" t="n">
        <x:f>E382*R382</x:f>
        <x:v>0</x:v>
      </x:c>
      <x:c r="V382" t="str">
        <x:f>IF(AND(C382="Active",Q382=0),"Active Zero Sales","Not Zero Sales")</x:f>
        <x:v>Not Zero Sales</x:v>
      </x:c>
      <x:c r="W382" s="12" t="n">
        <x:f>IF(V382="Active Zero Sales",U382,0)</x:f>
        <x:v>0</x:v>
      </x:c>
      <x:c r="X382" t="str">
        <x:f>IF(E382&lt;25,"Low &lt; 25",IF(E382&lt;100,"Medium 25-99",IF(E382&lt;300,"High 100-299","Premium 300+")))</x:f>
        <x:v>Premium 300+</x:v>
      </x:c>
      <x:c r="Y382" t="n">
        <x:f>IF(C382="Active",1,0)</x:f>
        <x:v>0</x:v>
      </x:c>
    </x:row>
    <x:row r="383">
      <x:c r="A383" t="str">
        <x:v>SKU00382</x:v>
      </x:c>
      <x:c r="B383" t="str">
        <x:v>Sample Product 00382</x:v>
      </x:c>
      <x:c r="C383" t="str">
        <x:v>Active</x:v>
      </x:c>
      <x:c r="D383" t="str">
        <x:v>2026-05</x:v>
      </x:c>
      <x:c r="E383" s="12" t="n">
        <x:v>28.88</x:v>
      </x:c>
      <x:c r="F383" s="10" t="n">
        <x:v>0.238</x:v>
      </x:c>
      <x:c r="G383" t="str">
        <x:v>OTC &amp; Wellness</x:v>
      </x:c>
      <x:c r="H383" t="str">
        <x:v>Pain Relief</x:v>
      </x:c>
      <x:c r="I383" t="str">
        <x:v>MFG015</x:v>
      </x:c>
      <x:c r="J383" t="str">
        <x:v>Manufacturer 015</x:v>
      </x:c>
      <x:c r="K383" t="str">
        <x:v>SUP010</x:v>
      </x:c>
      <x:c r="L383" t="str">
        <x:v>Supplier 010</x:v>
      </x:c>
      <x:c r="M383" t="str">
        <x:v>REG-836293</x:v>
      </x:c>
      <x:c r="N383" t="str">
        <x:v>Generic Ingredient 172</x:v>
      </x:c>
      <x:c r="O383" t="str">
        <x:v>General Sale</x:v>
      </x:c>
      <x:c r="P383" t="n">
        <x:v>56</x:v>
      </x:c>
      <x:c r="Q383" t="n">
        <x:v>22</x:v>
      </x:c>
      <x:c r="R383" t="n">
        <x:v>10</x:v>
      </x:c>
      <x:c r="S383" s="12" t="n">
        <x:f>E383*Q383</x:f>
        <x:v>635.36</x:v>
      </x:c>
      <x:c r="T383" s="12" t="n">
        <x:f>ROUND(S383*F383+0.000000001,2)</x:f>
        <x:v>151.22</x:v>
      </x:c>
      <x:c r="U383" s="12" t="n">
        <x:f>E383*R383</x:f>
        <x:v>288.8</x:v>
      </x:c>
      <x:c r="V383" t="str">
        <x:f>IF(AND(C383="Active",Q383=0),"Active Zero Sales","Not Zero Sales")</x:f>
        <x:v>Not Zero Sales</x:v>
      </x:c>
      <x:c r="W383" s="12" t="n">
        <x:f>IF(V383="Active Zero Sales",U383,0)</x:f>
        <x:v>0</x:v>
      </x:c>
      <x:c r="X383" t="str">
        <x:f>IF(E383&lt;25,"Low &lt; 25",IF(E383&lt;100,"Medium 25-99",IF(E383&lt;300,"High 100-299","Premium 300+")))</x:f>
        <x:v>Medium 25-99</x:v>
      </x:c>
      <x:c r="Y383" t="n">
        <x:f>IF(C383="Active",1,0)</x:f>
        <x:v>1</x:v>
      </x:c>
    </x:row>
    <x:row r="384">
      <x:c r="A384" t="str">
        <x:v>SKU00383</x:v>
      </x:c>
      <x:c r="B384" t="str">
        <x:v>Sample Product 00383</x:v>
      </x:c>
      <x:c r="C384" t="str">
        <x:v>Blocked</x:v>
      </x:c>
      <x:c r="D384" t="str">
        <x:v>2026-02</x:v>
      </x:c>
      <x:c r="E384" s="12" t="n">
        <x:v>24.05</x:v>
      </x:c>
      <x:c r="F384" s="10" t="n">
        <x:v>0.408</x:v>
      </x:c>
      <x:c r="G384" t="str">
        <x:v>Personal Care</x:v>
      </x:c>
      <x:c r="H384" t="str">
        <x:v>Oral Care</x:v>
      </x:c>
      <x:c r="I384" t="str">
        <x:v>MFG008</x:v>
      </x:c>
      <x:c r="J384" t="str">
        <x:v>Manufacturer 008</x:v>
      </x:c>
      <x:c r="K384" t="str">
        <x:v>SUP024</x:v>
      </x:c>
      <x:c r="L384" t="str">
        <x:v>Supplier 024</x:v>
      </x:c>
      <x:c r="M384" t="str">
        <x:v>REG-244767</x:v>
      </x:c>
      <x:c r="N384" t="str">
        <x:v>Generic Ingredient 104</x:v>
      </x:c>
      <x:c r="O384" t="str">
        <x:v>General Sale</x:v>
      </x:c>
      <x:c r="P384" t="n">
        <x:v>0</x:v>
      </x:c>
      <x:c r="Q384" t="n">
        <x:v>0</x:v>
      </x:c>
      <x:c r="R384" t="n">
        <x:v>0</x:v>
      </x:c>
      <x:c r="S384" s="12" t="n">
        <x:f>E384*Q384</x:f>
        <x:v>0</x:v>
      </x:c>
      <x:c r="T384" s="12" t="n">
        <x:f>ROUND(S384*F384+0.000000001,2)</x:f>
        <x:v>0</x:v>
      </x:c>
      <x:c r="U384" s="12" t="n">
        <x:f>E384*R384</x:f>
        <x:v>0</x:v>
      </x:c>
      <x:c r="V384" t="str">
        <x:f>IF(AND(C384="Active",Q384=0),"Active Zero Sales","Not Zero Sales")</x:f>
        <x:v>Not Zero Sales</x:v>
      </x:c>
      <x:c r="W384" s="12" t="n">
        <x:f>IF(V384="Active Zero Sales",U384,0)</x:f>
        <x:v>0</x:v>
      </x:c>
      <x:c r="X384" t="str">
        <x:f>IF(E384&lt;25,"Low &lt; 25",IF(E384&lt;100,"Medium 25-99",IF(E384&lt;300,"High 100-299","Premium 300+")))</x:f>
        <x:v>Low &lt; 25</x:v>
      </x:c>
      <x:c r="Y384" t="n">
        <x:f>IF(C384="Active",1,0)</x:f>
        <x:v>0</x:v>
      </x:c>
    </x:row>
    <x:row r="385">
      <x:c r="A385" t="str">
        <x:v>SKU00384</x:v>
      </x:c>
      <x:c r="B385" t="str">
        <x:v>Sample Product 00384</x:v>
      </x:c>
      <x:c r="C385" t="str">
        <x:v>Active</x:v>
      </x:c>
      <x:c r="D385" t="str">
        <x:v>2026-06</x:v>
      </x:c>
      <x:c r="E385" s="12" t="n">
        <x:v>573.53</x:v>
      </x:c>
      <x:c r="F385" s="10" t="n">
        <x:v>0.196</x:v>
      </x:c>
      <x:c r="G385" t="str">
        <x:v>Medical Devices</x:v>
      </x:c>
      <x:c r="H385" t="str">
        <x:v>Mobility Aids</x:v>
      </x:c>
      <x:c r="I385" t="str">
        <x:v>MFG006</x:v>
      </x:c>
      <x:c r="J385" t="str">
        <x:v>Manufacturer 006</x:v>
      </x:c>
      <x:c r="K385" t="str">
        <x:v>SUP011</x:v>
      </x:c>
      <x:c r="L385" t="str">
        <x:v>Supplier 011</x:v>
      </x:c>
      <x:c r="M385" t="str">
        <x:v>REG-610417</x:v>
      </x:c>
      <x:c r="N385" t="str">
        <x:v>Generic Ingredient 147</x:v>
      </x:c>
      <x:c r="O385" t="str">
        <x:v>General Sale</x:v>
      </x:c>
      <x:c r="P385" t="n">
        <x:v>135</x:v>
      </x:c>
      <x:c r="Q385" t="n">
        <x:v>69</x:v>
      </x:c>
      <x:c r="R385" t="n">
        <x:v>28</x:v>
      </x:c>
      <x:c r="S385" s="12" t="n">
        <x:f>E385*Q385</x:f>
        <x:v>39573.57</x:v>
      </x:c>
      <x:c r="T385" s="12" t="n">
        <x:f>ROUND(S385*F385+0.000000001,2)</x:f>
        <x:v>7756.42</x:v>
      </x:c>
      <x:c r="U385" s="12" t="n">
        <x:f>E385*R385</x:f>
        <x:v>16058.84</x:v>
      </x:c>
      <x:c r="V385" t="str">
        <x:f>IF(AND(C385="Active",Q385=0),"Active Zero Sales","Not Zero Sales")</x:f>
        <x:v>Not Zero Sales</x:v>
      </x:c>
      <x:c r="W385" s="12" t="n">
        <x:f>IF(V385="Active Zero Sales",U385,0)</x:f>
        <x:v>0</x:v>
      </x:c>
      <x:c r="X385" t="str">
        <x:f>IF(E385&lt;25,"Low &lt; 25",IF(E385&lt;100,"Medium 25-99",IF(E385&lt;300,"High 100-299","Premium 300+")))</x:f>
        <x:v>Premium 300+</x:v>
      </x:c>
      <x:c r="Y385" t="n">
        <x:f>IF(C385="Active",1,0)</x:f>
        <x:v>1</x:v>
      </x:c>
    </x:row>
    <x:row r="386">
      <x:c r="A386" t="str">
        <x:v>SKU00385</x:v>
      </x:c>
      <x:c r="B386" t="str">
        <x:v>Sample Product 00385</x:v>
      </x:c>
      <x:c r="C386" t="str">
        <x:v>Active</x:v>
      </x:c>
      <x:c r="D386" t="str">
        <x:v>2026-01</x:v>
      </x:c>
      <x:c r="E386" s="12" t="n">
        <x:v>53.89</x:v>
      </x:c>
      <x:c r="F386" s="10" t="n">
        <x:v>0.201</x:v>
      </x:c>
      <x:c r="G386" t="str">
        <x:v>General Merchandise</x:v>
      </x:c>
      <x:c r="H386" t="str">
        <x:v>Baby Essentials</x:v>
      </x:c>
      <x:c r="I386" t="str">
        <x:v>MFG016</x:v>
      </x:c>
      <x:c r="J386" t="str">
        <x:v>Manufacturer 016</x:v>
      </x:c>
      <x:c r="K386" t="str">
        <x:v>SUP020</x:v>
      </x:c>
      <x:c r="L386" t="str">
        <x:v>Supplier 020</x:v>
      </x:c>
      <x:c r="M386" t="str">
        <x:v>REG-922756</x:v>
      </x:c>
      <x:c r="N386" t="str">
        <x:v>Generic Ingredient 044</x:v>
      </x:c>
      <x:c r="O386" t="str">
        <x:v>General Sale</x:v>
      </x:c>
      <x:c r="P386" t="n">
        <x:v>65</x:v>
      </x:c>
      <x:c r="Q386" t="n">
        <x:v>0</x:v>
      </x:c>
      <x:c r="R386" t="n">
        <x:v>63</x:v>
      </x:c>
      <x:c r="S386" s="12" t="n">
        <x:f>E386*Q386</x:f>
        <x:v>0</x:v>
      </x:c>
      <x:c r="T386" s="12" t="n">
        <x:f>ROUND(S386*F386+0.000000001,2)</x:f>
        <x:v>0</x:v>
      </x:c>
      <x:c r="U386" s="12" t="n">
        <x:f>E386*R386</x:f>
        <x:v>3395.07</x:v>
      </x:c>
      <x:c r="V386" t="str">
        <x:f>IF(AND(C386="Active",Q386=0),"Active Zero Sales","Not Zero Sales")</x:f>
        <x:v>Active Zero Sales</x:v>
      </x:c>
      <x:c r="W386" s="12" t="n">
        <x:f>IF(V386="Active Zero Sales",U386,0)</x:f>
        <x:v>3395.07</x:v>
      </x:c>
      <x:c r="X386" t="str">
        <x:f>IF(E386&lt;25,"Low &lt; 25",IF(E386&lt;100,"Medium 25-99",IF(E386&lt;300,"High 100-299","Premium 300+")))</x:f>
        <x:v>Medium 25-99</x:v>
      </x:c>
      <x:c r="Y386" t="n">
        <x:f>IF(C386="Active",1,0)</x:f>
        <x:v>1</x:v>
      </x:c>
    </x:row>
    <x:row r="387">
      <x:c r="A387" t="str">
        <x:v>SKU00386</x:v>
      </x:c>
      <x:c r="B387" t="str">
        <x:v>Sample Product 00386</x:v>
      </x:c>
      <x:c r="C387" t="str">
        <x:v>Active</x:v>
      </x:c>
      <x:c r="D387" t="str">
        <x:v>2026-03</x:v>
      </x:c>
      <x:c r="E387" s="12" t="n">
        <x:v>7.72</x:v>
      </x:c>
      <x:c r="F387" s="10" t="n">
        <x:v>0.249</x:v>
      </x:c>
      <x:c r="G387" t="str">
        <x:v>General Merchandise</x:v>
      </x:c>
      <x:c r="H387" t="str">
        <x:v>Travel Health</x:v>
      </x:c>
      <x:c r="I387" t="str">
        <x:v>MFG020</x:v>
      </x:c>
      <x:c r="J387" t="str">
        <x:v>Manufacturer 020</x:v>
      </x:c>
      <x:c r="K387" t="str">
        <x:v>SUP019</x:v>
      </x:c>
      <x:c r="L387" t="str">
        <x:v>Supplier 019</x:v>
      </x:c>
      <x:c r="M387" t="str">
        <x:v>REG-876851</x:v>
      </x:c>
      <x:c r="N387" t="str">
        <x:v>Generic Ingredient 125</x:v>
      </x:c>
      <x:c r="O387" t="str">
        <x:v>General Sale</x:v>
      </x:c>
      <x:c r="P387" t="n">
        <x:v>58</x:v>
      </x:c>
      <x:c r="Q387" t="n">
        <x:v>41</x:v>
      </x:c>
      <x:c r="R387" t="n">
        <x:v>7</x:v>
      </x:c>
      <x:c r="S387" s="12" t="n">
        <x:f>E387*Q387</x:f>
        <x:v>316.52</x:v>
      </x:c>
      <x:c r="T387" s="12" t="n">
        <x:f>ROUND(S387*F387+0.000000001,2)</x:f>
        <x:v>78.81</x:v>
      </x:c>
      <x:c r="U387" s="12" t="n">
        <x:f>E387*R387</x:f>
        <x:v>54.04</x:v>
      </x:c>
      <x:c r="V387" t="str">
        <x:f>IF(AND(C387="Active",Q387=0),"Active Zero Sales","Not Zero Sales")</x:f>
        <x:v>Not Zero Sales</x:v>
      </x:c>
      <x:c r="W387" s="12" t="n">
        <x:f>IF(V387="Active Zero Sales",U387,0)</x:f>
        <x:v>0</x:v>
      </x:c>
      <x:c r="X387" t="str">
        <x:f>IF(E387&lt;25,"Low &lt; 25",IF(E387&lt;100,"Medium 25-99",IF(E387&lt;300,"High 100-299","Premium 300+")))</x:f>
        <x:v>Low &lt; 25</x:v>
      </x:c>
      <x:c r="Y387" t="n">
        <x:f>IF(C387="Active",1,0)</x:f>
        <x:v>1</x:v>
      </x:c>
    </x:row>
    <x:row r="388">
      <x:c r="A388" t="str">
        <x:v>SKU00387</x:v>
      </x:c>
      <x:c r="B388" t="str">
        <x:v>Sample Product 00387</x:v>
      </x:c>
      <x:c r="C388" t="str">
        <x:v>Active</x:v>
      </x:c>
      <x:c r="D388" t="str">
        <x:v>2026-03</x:v>
      </x:c>
      <x:c r="E388" s="12" t="n">
        <x:v>47.16</x:v>
      </x:c>
      <x:c r="F388" s="10" t="n">
        <x:v>0.444</x:v>
      </x:c>
      <x:c r="G388" t="str">
        <x:v>OTC &amp; Wellness</x:v>
      </x:c>
      <x:c r="H388" t="str">
        <x:v>Digestive Care</x:v>
      </x:c>
      <x:c r="I388" t="str">
        <x:v>MFG014</x:v>
      </x:c>
      <x:c r="J388" t="str">
        <x:v>Manufacturer 014</x:v>
      </x:c>
      <x:c r="K388" t="str">
        <x:v>SUP013</x:v>
      </x:c>
      <x:c r="L388" t="str">
        <x:v>Supplier 013</x:v>
      </x:c>
      <x:c r="M388" t="str">
        <x:v>REG-139011</x:v>
      </x:c>
      <x:c r="N388" t="str">
        <x:v>Generic Ingredient 145</x:v>
      </x:c>
      <x:c r="O388" t="str">
        <x:v>General Sale</x:v>
      </x:c>
      <x:c r="P388" t="n">
        <x:v>101</x:v>
      </x:c>
      <x:c r="Q388" t="n">
        <x:v>0</x:v>
      </x:c>
      <x:c r="R388" t="n">
        <x:v>55</x:v>
      </x:c>
      <x:c r="S388" s="12" t="n">
        <x:f>E388*Q388</x:f>
        <x:v>0</x:v>
      </x:c>
      <x:c r="T388" s="12" t="n">
        <x:f>ROUND(S388*F388+0.000000001,2)</x:f>
        <x:v>0</x:v>
      </x:c>
      <x:c r="U388" s="12" t="n">
        <x:f>E388*R388</x:f>
        <x:v>2593.7999999999997</x:v>
      </x:c>
      <x:c r="V388" t="str">
        <x:f>IF(AND(C388="Active",Q388=0),"Active Zero Sales","Not Zero Sales")</x:f>
        <x:v>Active Zero Sales</x:v>
      </x:c>
      <x:c r="W388" s="12" t="n">
        <x:f>IF(V388="Active Zero Sales",U388,0)</x:f>
        <x:v>2593.7999999999997</x:v>
      </x:c>
      <x:c r="X388" t="str">
        <x:f>IF(E388&lt;25,"Low &lt; 25",IF(E388&lt;100,"Medium 25-99",IF(E388&lt;300,"High 100-299","Premium 300+")))</x:f>
        <x:v>Medium 25-99</x:v>
      </x:c>
      <x:c r="Y388" t="n">
        <x:f>IF(C388="Active",1,0)</x:f>
        <x:v>1</x:v>
      </x:c>
    </x:row>
    <x:row r="389">
      <x:c r="A389" t="str">
        <x:v>SKU00388</x:v>
      </x:c>
      <x:c r="B389" t="str">
        <x:v>Sample Product 00388</x:v>
      </x:c>
      <x:c r="C389" t="str">
        <x:v>Blocked</x:v>
      </x:c>
      <x:c r="D389" t="str">
        <x:v>2026-03</x:v>
      </x:c>
      <x:c r="E389" s="12" t="n">
        <x:v>9.46</x:v>
      </x:c>
      <x:c r="F389" s="10" t="n">
        <x:v>0.331</x:v>
      </x:c>
      <x:c r="G389" t="str">
        <x:v>Nutrition</x:v>
      </x:c>
      <x:c r="H389" t="str">
        <x:v>Sports Nutrition</x:v>
      </x:c>
      <x:c r="I389" t="str">
        <x:v>MFG016</x:v>
      </x:c>
      <x:c r="J389" t="str">
        <x:v>Manufacturer 016</x:v>
      </x:c>
      <x:c r="K389" t="str">
        <x:v>SUP004</x:v>
      </x:c>
      <x:c r="L389" t="str">
        <x:v>Supplier 004</x:v>
      </x:c>
      <x:c r="M389" t="str">
        <x:v>REG-399710</x:v>
      </x:c>
      <x:c r="N389" t="str">
        <x:v>Generic Ingredient 012</x:v>
      </x:c>
      <x:c r="O389" t="str">
        <x:v>General Sale</x:v>
      </x:c>
      <x:c r="P389" t="n">
        <x:v>2</x:v>
      </x:c>
      <x:c r="Q389" t="n">
        <x:v>0</x:v>
      </x:c>
      <x:c r="R389" t="n">
        <x:v>0</x:v>
      </x:c>
      <x:c r="S389" s="12" t="n">
        <x:f>E389*Q389</x:f>
        <x:v>0</x:v>
      </x:c>
      <x:c r="T389" s="12" t="n">
        <x:f>ROUND(S389*F389+0.000000001,2)</x:f>
        <x:v>0</x:v>
      </x:c>
      <x:c r="U389" s="12" t="n">
        <x:f>E389*R389</x:f>
        <x:v>0</x:v>
      </x:c>
      <x:c r="V389" t="str">
        <x:f>IF(AND(C389="Active",Q389=0),"Active Zero Sales","Not Zero Sales")</x:f>
        <x:v>Not Zero Sales</x:v>
      </x:c>
      <x:c r="W389" s="12" t="n">
        <x:f>IF(V389="Active Zero Sales",U389,0)</x:f>
        <x:v>0</x:v>
      </x:c>
      <x:c r="X389" t="str">
        <x:f>IF(E389&lt;25,"Low &lt; 25",IF(E389&lt;100,"Medium 25-99",IF(E389&lt;300,"High 100-299","Premium 300+")))</x:f>
        <x:v>Low &lt; 25</x:v>
      </x:c>
      <x:c r="Y389" t="n">
        <x:f>IF(C389="Active",1,0)</x:f>
        <x:v>0</x:v>
      </x:c>
    </x:row>
    <x:row r="390">
      <x:c r="A390" t="str">
        <x:v>SKU00389</x:v>
      </x:c>
      <x:c r="B390" t="str">
        <x:v>Sample Product 00389</x:v>
      </x:c>
      <x:c r="C390" t="str">
        <x:v>Blocked</x:v>
      </x:c>
      <x:c r="D390" t="str">
        <x:v>2026-05</x:v>
      </x:c>
      <x:c r="E390" s="12" t="n">
        <x:v>237.42</x:v>
      </x:c>
      <x:c r="F390" s="10" t="n">
        <x:v>0.366</x:v>
      </x:c>
      <x:c r="G390" t="str">
        <x:v>Personal Care</x:v>
      </x:c>
      <x:c r="H390" t="str">
        <x:v>Oral Care</x:v>
      </x:c>
      <x:c r="I390" t="str">
        <x:v>MFG006</x:v>
      </x:c>
      <x:c r="J390" t="str">
        <x:v>Manufacturer 006</x:v>
      </x:c>
      <x:c r="K390" t="str">
        <x:v>SUP015</x:v>
      </x:c>
      <x:c r="L390" t="str">
        <x:v>Supplier 015</x:v>
      </x:c>
      <x:c r="M390" t="str">
        <x:v>REG-358399</x:v>
      </x:c>
      <x:c r="N390" t="str">
        <x:v>Generic Ingredient 125</x:v>
      </x:c>
      <x:c r="O390" t="str">
        <x:v>General Sale</x:v>
      </x:c>
      <x:c r="P390" t="n">
        <x:v>28</x:v>
      </x:c>
      <x:c r="Q390" t="n">
        <x:v>0</x:v>
      </x:c>
      <x:c r="R390" t="n">
        <x:v>0</x:v>
      </x:c>
      <x:c r="S390" s="12" t="n">
        <x:f>E390*Q390</x:f>
        <x:v>0</x:v>
      </x:c>
      <x:c r="T390" s="12" t="n">
        <x:f>ROUND(S390*F390+0.000000001,2)</x:f>
        <x:v>0</x:v>
      </x:c>
      <x:c r="U390" s="12" t="n">
        <x:f>E390*R390</x:f>
        <x:v>0</x:v>
      </x:c>
      <x:c r="V390" t="str">
        <x:f>IF(AND(C390="Active",Q390=0),"Active Zero Sales","Not Zero Sales")</x:f>
        <x:v>Not Zero Sales</x:v>
      </x:c>
      <x:c r="W390" s="12" t="n">
        <x:f>IF(V390="Active Zero Sales",U390,0)</x:f>
        <x:v>0</x:v>
      </x:c>
      <x:c r="X390" t="str">
        <x:f>IF(E390&lt;25,"Low &lt; 25",IF(E390&lt;100,"Medium 25-99",IF(E390&lt;300,"High 100-299","Premium 300+")))</x:f>
        <x:v>High 100-299</x:v>
      </x:c>
      <x:c r="Y390" t="n">
        <x:f>IF(C390="Active",1,0)</x:f>
        <x:v>0</x:v>
      </x:c>
    </x:row>
    <x:row r="391">
      <x:c r="A391" t="str">
        <x:v>SKU00390</x:v>
      </x:c>
      <x:c r="B391" t="str">
        <x:v>Sample Product 00390</x:v>
      </x:c>
      <x:c r="C391" t="str">
        <x:v>Active</x:v>
      </x:c>
      <x:c r="D391" t="str">
        <x:v>2026-03</x:v>
      </x:c>
      <x:c r="E391" s="12" t="n">
        <x:v>58.84</x:v>
      </x:c>
      <x:c r="F391" s="10" t="n">
        <x:v>0.426</x:v>
      </x:c>
      <x:c r="G391" t="str">
        <x:v>Nutrition</x:v>
      </x:c>
      <x:c r="H391" t="str">
        <x:v>Sports Nutrition</x:v>
      </x:c>
      <x:c r="I391" t="str">
        <x:v>MFG019</x:v>
      </x:c>
      <x:c r="J391" t="str">
        <x:v>Manufacturer 019</x:v>
      </x:c>
      <x:c r="K391" t="str">
        <x:v>SUP009</x:v>
      </x:c>
      <x:c r="L391" t="str">
        <x:v>Supplier 009</x:v>
      </x:c>
      <x:c r="M391" t="str">
        <x:v>REG-143951</x:v>
      </x:c>
      <x:c r="N391" t="str">
        <x:v>Generic Ingredient 013</x:v>
      </x:c>
      <x:c r="O391" t="str">
        <x:v>General Sale</x:v>
      </x:c>
      <x:c r="P391" t="n">
        <x:v>94</x:v>
      </x:c>
      <x:c r="Q391" t="n">
        <x:v>0</x:v>
      </x:c>
      <x:c r="R391" t="n">
        <x:v>53</x:v>
      </x:c>
      <x:c r="S391" s="12" t="n">
        <x:f>E391*Q391</x:f>
        <x:v>0</x:v>
      </x:c>
      <x:c r="T391" s="12" t="n">
        <x:f>ROUND(S391*F391+0.000000001,2)</x:f>
        <x:v>0</x:v>
      </x:c>
      <x:c r="U391" s="12" t="n">
        <x:f>E391*R391</x:f>
        <x:v>3118.52</x:v>
      </x:c>
      <x:c r="V391" t="str">
        <x:f>IF(AND(C391="Active",Q391=0),"Active Zero Sales","Not Zero Sales")</x:f>
        <x:v>Active Zero Sales</x:v>
      </x:c>
      <x:c r="W391" s="12" t="n">
        <x:f>IF(V391="Active Zero Sales",U391,0)</x:f>
        <x:v>3118.52</x:v>
      </x:c>
      <x:c r="X391" t="str">
        <x:f>IF(E391&lt;25,"Low &lt; 25",IF(E391&lt;100,"Medium 25-99",IF(E391&lt;300,"High 100-299","Premium 300+")))</x:f>
        <x:v>Medium 25-99</x:v>
      </x:c>
      <x:c r="Y391" t="n">
        <x:f>IF(C391="Active",1,0)</x:f>
        <x:v>1</x:v>
      </x:c>
    </x:row>
    <x:row r="392">
      <x:c r="A392" t="str">
        <x:v>SKU00391</x:v>
      </x:c>
      <x:c r="B392" t="str">
        <x:v>Sample Product 00391</x:v>
      </x:c>
      <x:c r="C392" t="str">
        <x:v>Active</x:v>
      </x:c>
      <x:c r="D392" t="str">
        <x:v>2026-04</x:v>
      </x:c>
      <x:c r="E392" s="12" t="n">
        <x:v>70.69</x:v>
      </x:c>
      <x:c r="F392" s="10" t="n">
        <x:v>0.298</x:v>
      </x:c>
      <x:c r="G392" t="str">
        <x:v>Medical Devices</x:v>
      </x:c>
      <x:c r="H392" t="str">
        <x:v>Home Diagnostics</x:v>
      </x:c>
      <x:c r="I392" t="str">
        <x:v>MFG007</x:v>
      </x:c>
      <x:c r="J392" t="str">
        <x:v>Manufacturer 007</x:v>
      </x:c>
      <x:c r="K392" t="str">
        <x:v>SUP003</x:v>
      </x:c>
      <x:c r="L392" t="str">
        <x:v>Supplier 003</x:v>
      </x:c>
      <x:c r="M392" t="str">
        <x:v>REG-654469</x:v>
      </x:c>
      <x:c r="N392" t="str">
        <x:v>Generic Ingredient 114</x:v>
      </x:c>
      <x:c r="O392" t="str">
        <x:v>General Sale</x:v>
      </x:c>
      <x:c r="P392" t="n">
        <x:v>87</x:v>
      </x:c>
      <x:c r="Q392" t="n">
        <x:v>42</x:v>
      </x:c>
      <x:c r="R392" t="n">
        <x:v>24</x:v>
      </x:c>
      <x:c r="S392" s="12" t="n">
        <x:f>E392*Q392</x:f>
        <x:v>2968.98</x:v>
      </x:c>
      <x:c r="T392" s="12" t="n">
        <x:f>ROUND(S392*F392+0.000000001,2)</x:f>
        <x:v>884.76</x:v>
      </x:c>
      <x:c r="U392" s="12" t="n">
        <x:f>E392*R392</x:f>
        <x:v>1696.56</x:v>
      </x:c>
      <x:c r="V392" t="str">
        <x:f>IF(AND(C392="Active",Q392=0),"Active Zero Sales","Not Zero Sales")</x:f>
        <x:v>Not Zero Sales</x:v>
      </x:c>
      <x:c r="W392" s="12" t="n">
        <x:f>IF(V392="Active Zero Sales",U392,0)</x:f>
        <x:v>0</x:v>
      </x:c>
      <x:c r="X392" t="str">
        <x:f>IF(E392&lt;25,"Low &lt; 25",IF(E392&lt;100,"Medium 25-99",IF(E392&lt;300,"High 100-299","Premium 300+")))</x:f>
        <x:v>Medium 25-99</x:v>
      </x:c>
      <x:c r="Y392" t="n">
        <x:f>IF(C392="Active",1,0)</x:f>
        <x:v>1</x:v>
      </x:c>
    </x:row>
    <x:row r="393">
      <x:c r="A393" t="str">
        <x:v>SKU00392</x:v>
      </x:c>
      <x:c r="B393" t="str">
        <x:v>Sample Product 00392</x:v>
      </x:c>
      <x:c r="C393" t="str">
        <x:v>Blocked</x:v>
      </x:c>
      <x:c r="D393" t="str">
        <x:v>2026-02</x:v>
      </x:c>
      <x:c r="E393" s="12" t="n">
        <x:v>70.33</x:v>
      </x:c>
      <x:c r="F393" s="10" t="n">
        <x:v>0.354</x:v>
      </x:c>
      <x:c r="G393" t="str">
        <x:v>OTC &amp; Wellness</x:v>
      </x:c>
      <x:c r="H393" t="str">
        <x:v>Digestive Care</x:v>
      </x:c>
      <x:c r="I393" t="str">
        <x:v>MFG019</x:v>
      </x:c>
      <x:c r="J393" t="str">
        <x:v>Manufacturer 019</x:v>
      </x:c>
      <x:c r="K393" t="str">
        <x:v>SUP026</x:v>
      </x:c>
      <x:c r="L393" t="str">
        <x:v>Supplier 026</x:v>
      </x:c>
      <x:c r="M393" t="str">
        <x:v>REG-978934</x:v>
      </x:c>
      <x:c r="N393" t="str">
        <x:v>Generic Ingredient 131</x:v>
      </x:c>
      <x:c r="O393" t="str">
        <x:v>General Sale</x:v>
      </x:c>
      <x:c r="P393" t="n">
        <x:v>23</x:v>
      </x:c>
      <x:c r="Q393" t="n">
        <x:v>0</x:v>
      </x:c>
      <x:c r="R393" t="n">
        <x:v>7</x:v>
      </x:c>
      <x:c r="S393" s="12" t="n">
        <x:f>E393*Q393</x:f>
        <x:v>0</x:v>
      </x:c>
      <x:c r="T393" s="12" t="n">
        <x:f>ROUND(S393*F393+0.000000001,2)</x:f>
        <x:v>0</x:v>
      </x:c>
      <x:c r="U393" s="12" t="n">
        <x:f>E393*R393</x:f>
        <x:v>492.31</x:v>
      </x:c>
      <x:c r="V393" t="str">
        <x:f>IF(AND(C393="Active",Q393=0),"Active Zero Sales","Not Zero Sales")</x:f>
        <x:v>Not Zero Sales</x:v>
      </x:c>
      <x:c r="W393" s="12" t="n">
        <x:f>IF(V393="Active Zero Sales",U393,0)</x:f>
        <x:v>0</x:v>
      </x:c>
      <x:c r="X393" t="str">
        <x:f>IF(E393&lt;25,"Low &lt; 25",IF(E393&lt;100,"Medium 25-99",IF(E393&lt;300,"High 100-299","Premium 300+")))</x:f>
        <x:v>Medium 25-99</x:v>
      </x:c>
      <x:c r="Y393" t="n">
        <x:f>IF(C393="Active",1,0)</x:f>
        <x:v>0</x:v>
      </x:c>
    </x:row>
    <x:row r="394">
      <x:c r="A394" t="str">
        <x:v>SKU00393</x:v>
      </x:c>
      <x:c r="B394" t="str">
        <x:v>Sample Product 00393</x:v>
      </x:c>
      <x:c r="C394" t="str">
        <x:v>Blocked</x:v>
      </x:c>
      <x:c r="D394" t="str">
        <x:v>2026-04</x:v>
      </x:c>
      <x:c r="E394" s="12" t="n">
        <x:v>211.9</x:v>
      </x:c>
      <x:c r="F394" s="10" t="n">
        <x:v>0.35</x:v>
      </x:c>
      <x:c r="G394" t="str">
        <x:v>General Merchandise</x:v>
      </x:c>
      <x:c r="H394" t="str">
        <x:v>Seasonal Care</x:v>
      </x:c>
      <x:c r="I394" t="str">
        <x:v>MFG007</x:v>
      </x:c>
      <x:c r="J394" t="str">
        <x:v>Manufacturer 007</x:v>
      </x:c>
      <x:c r="K394" t="str">
        <x:v>SUP030</x:v>
      </x:c>
      <x:c r="L394" t="str">
        <x:v>Supplier 030</x:v>
      </x:c>
      <x:c r="M394" t="str">
        <x:v>REG-858666</x:v>
      </x:c>
      <x:c r="N394" t="str">
        <x:v>Generic Ingredient 093</x:v>
      </x:c>
      <x:c r="O394" t="str">
        <x:v>Pharmacy Only</x:v>
      </x:c>
      <x:c r="P394" t="n">
        <x:v>33</x:v>
      </x:c>
      <x:c r="Q394" t="n">
        <x:v>0</x:v>
      </x:c>
      <x:c r="R394" t="n">
        <x:v>9</x:v>
      </x:c>
      <x:c r="S394" s="12" t="n">
        <x:f>E394*Q394</x:f>
        <x:v>0</x:v>
      </x:c>
      <x:c r="T394" s="12" t="n">
        <x:f>ROUND(S394*F394+0.000000001,2)</x:f>
        <x:v>0</x:v>
      </x:c>
      <x:c r="U394" s="12" t="n">
        <x:f>E394*R394</x:f>
        <x:v>1907.1000000000001</x:v>
      </x:c>
      <x:c r="V394" t="str">
        <x:f>IF(AND(C394="Active",Q394=0),"Active Zero Sales","Not Zero Sales")</x:f>
        <x:v>Not Zero Sales</x:v>
      </x:c>
      <x:c r="W394" s="12" t="n">
        <x:f>IF(V394="Active Zero Sales",U394,0)</x:f>
        <x:v>0</x:v>
      </x:c>
      <x:c r="X394" t="str">
        <x:f>IF(E394&lt;25,"Low &lt; 25",IF(E394&lt;100,"Medium 25-99",IF(E394&lt;300,"High 100-299","Premium 300+")))</x:f>
        <x:v>High 100-299</x:v>
      </x:c>
      <x:c r="Y394" t="n">
        <x:f>IF(C394="Active",1,0)</x:f>
        <x:v>0</x:v>
      </x:c>
    </x:row>
    <x:row r="395">
      <x:c r="A395" t="str">
        <x:v>SKU00394</x:v>
      </x:c>
      <x:c r="B395" t="str">
        <x:v>Sample Product 00394</x:v>
      </x:c>
      <x:c r="C395" t="str">
        <x:v>Active</x:v>
      </x:c>
      <x:c r="D395" t="str">
        <x:v>2026-04</x:v>
      </x:c>
      <x:c r="E395" s="12" t="n">
        <x:v>647.95</x:v>
      </x:c>
      <x:c r="F395" s="10" t="n">
        <x:v>0.35</x:v>
      </x:c>
      <x:c r="G395" t="str">
        <x:v>Personal Care</x:v>
      </x:c>
      <x:c r="H395" t="str">
        <x:v>Oral Care</x:v>
      </x:c>
      <x:c r="I395" t="str">
        <x:v>MFG015</x:v>
      </x:c>
      <x:c r="J395" t="str">
        <x:v>Manufacturer 015</x:v>
      </x:c>
      <x:c r="K395" t="str">
        <x:v>SUP002</x:v>
      </x:c>
      <x:c r="L395" t="str">
        <x:v>Supplier 002</x:v>
      </x:c>
      <x:c r="M395" t="str">
        <x:v>REG-859110</x:v>
      </x:c>
      <x:c r="N395" t="str">
        <x:v>Generic Ingredient 119</x:v>
      </x:c>
      <x:c r="O395" t="str">
        <x:v>General Sale</x:v>
      </x:c>
      <x:c r="P395" t="n">
        <x:v>157</x:v>
      </x:c>
      <x:c r="Q395" t="n">
        <x:v>97</x:v>
      </x:c>
      <x:c r="R395" t="n">
        <x:v>50</x:v>
      </x:c>
      <x:c r="S395" s="12" t="n">
        <x:f>E395*Q395</x:f>
        <x:v>62851.15</x:v>
      </x:c>
      <x:c r="T395" s="12" t="n">
        <x:f>ROUND(S395*F395+0.000000001,2)</x:f>
        <x:v>21997.9</x:v>
      </x:c>
      <x:c r="U395" s="12" t="n">
        <x:f>E395*R395</x:f>
        <x:v>32397.500000000004</x:v>
      </x:c>
      <x:c r="V395" t="str">
        <x:f>IF(AND(C395="Active",Q395=0),"Active Zero Sales","Not Zero Sales")</x:f>
        <x:v>Not Zero Sales</x:v>
      </x:c>
      <x:c r="W395" s="12" t="n">
        <x:f>IF(V395="Active Zero Sales",U395,0)</x:f>
        <x:v>0</x:v>
      </x:c>
      <x:c r="X395" t="str">
        <x:f>IF(E395&lt;25,"Low &lt; 25",IF(E395&lt;100,"Medium 25-99",IF(E395&lt;300,"High 100-299","Premium 300+")))</x:f>
        <x:v>Premium 300+</x:v>
      </x:c>
      <x:c r="Y395" t="n">
        <x:f>IF(C395="Active",1,0)</x:f>
        <x:v>1</x:v>
      </x:c>
    </x:row>
    <x:row r="396">
      <x:c r="A396" t="str">
        <x:v>SKU00395</x:v>
      </x:c>
      <x:c r="B396" t="str">
        <x:v>Sample Product 00395</x:v>
      </x:c>
      <x:c r="C396" t="str">
        <x:v>Active</x:v>
      </x:c>
      <x:c r="D396" t="str">
        <x:v>2026-01</x:v>
      </x:c>
      <x:c r="E396" s="12" t="n">
        <x:v>95.35</x:v>
      </x:c>
      <x:c r="F396" s="10" t="n">
        <x:v>0.396</x:v>
      </x:c>
      <x:c r="G396" t="str">
        <x:v>Medical Devices</x:v>
      </x:c>
      <x:c r="H396" t="str">
        <x:v>First Aid</x:v>
      </x:c>
      <x:c r="I396" t="str">
        <x:v>MFG008</x:v>
      </x:c>
      <x:c r="J396" t="str">
        <x:v>Manufacturer 008</x:v>
      </x:c>
      <x:c r="K396" t="str">
        <x:v>SUP020</x:v>
      </x:c>
      <x:c r="L396" t="str">
        <x:v>Supplier 020</x:v>
      </x:c>
      <x:c r="M396" t="str">
        <x:v>REG-117422</x:v>
      </x:c>
      <x:c r="N396" t="str">
        <x:v>Generic Ingredient 067</x:v>
      </x:c>
      <x:c r="O396" t="str">
        <x:v>Pharmacy Only</x:v>
      </x:c>
      <x:c r="P396" t="n">
        <x:v>49</x:v>
      </x:c>
      <x:c r="Q396" t="n">
        <x:v>21</x:v>
      </x:c>
      <x:c r="R396" t="n">
        <x:v>30</x:v>
      </x:c>
      <x:c r="S396" s="12" t="n">
        <x:f>E396*Q396</x:f>
        <x:v>2002.35</x:v>
      </x:c>
      <x:c r="T396" s="12" t="n">
        <x:f>ROUND(S396*F396+0.000000001,2)</x:f>
        <x:v>792.93</x:v>
      </x:c>
      <x:c r="U396" s="12" t="n">
        <x:f>E396*R396</x:f>
        <x:v>2860.5</x:v>
      </x:c>
      <x:c r="V396" t="str">
        <x:f>IF(AND(C396="Active",Q396=0),"Active Zero Sales","Not Zero Sales")</x:f>
        <x:v>Not Zero Sales</x:v>
      </x:c>
      <x:c r="W396" s="12" t="n">
        <x:f>IF(V396="Active Zero Sales",U396,0)</x:f>
        <x:v>0</x:v>
      </x:c>
      <x:c r="X396" t="str">
        <x:f>IF(E396&lt;25,"Low &lt; 25",IF(E396&lt;100,"Medium 25-99",IF(E396&lt;300,"High 100-299","Premium 300+")))</x:f>
        <x:v>Medium 25-99</x:v>
      </x:c>
      <x:c r="Y396" t="n">
        <x:f>IF(C396="Active",1,0)</x:f>
        <x:v>1</x:v>
      </x:c>
    </x:row>
    <x:row r="397">
      <x:c r="A397" t="str">
        <x:v>SKU00396</x:v>
      </x:c>
      <x:c r="B397" t="str">
        <x:v>Sample Product 00396</x:v>
      </x:c>
      <x:c r="C397" t="str">
        <x:v>Active</x:v>
      </x:c>
      <x:c r="D397" t="str">
        <x:v>2026-05</x:v>
      </x:c>
      <x:c r="E397" s="12" t="n">
        <x:v>6.26</x:v>
      </x:c>
      <x:c r="F397" s="10" t="n">
        <x:v>0.333</x:v>
      </x:c>
      <x:c r="G397" t="str">
        <x:v>OTC &amp; Wellness</x:v>
      </x:c>
      <x:c r="H397" t="str">
        <x:v>Digestive Care</x:v>
      </x:c>
      <x:c r="I397" t="str">
        <x:v>MFG011</x:v>
      </x:c>
      <x:c r="J397" t="str">
        <x:v>Manufacturer 011</x:v>
      </x:c>
      <x:c r="K397" t="str">
        <x:v>SUP016</x:v>
      </x:c>
      <x:c r="L397" t="str">
        <x:v>Supplier 016</x:v>
      </x:c>
      <x:c r="M397" t="str">
        <x:v>REG-638247</x:v>
      </x:c>
      <x:c r="N397" t="str">
        <x:v>Generic Ingredient 032</x:v>
      </x:c>
      <x:c r="O397" t="str">
        <x:v>General Sale</x:v>
      </x:c>
      <x:c r="P397" t="n">
        <x:v>44</x:v>
      </x:c>
      <x:c r="Q397" t="n">
        <x:v>0</x:v>
      </x:c>
      <x:c r="R397" t="n">
        <x:v>15</x:v>
      </x:c>
      <x:c r="S397" s="12" t="n">
        <x:f>E397*Q397</x:f>
        <x:v>0</x:v>
      </x:c>
      <x:c r="T397" s="12" t="n">
        <x:f>ROUND(S397*F397+0.000000001,2)</x:f>
        <x:v>0</x:v>
      </x:c>
      <x:c r="U397" s="12" t="n">
        <x:f>E397*R397</x:f>
        <x:v>93.89999999999999</x:v>
      </x:c>
      <x:c r="V397" t="str">
        <x:f>IF(AND(C397="Active",Q397=0),"Active Zero Sales","Not Zero Sales")</x:f>
        <x:v>Active Zero Sales</x:v>
      </x:c>
      <x:c r="W397" s="12" t="n">
        <x:f>IF(V397="Active Zero Sales",U397,0)</x:f>
        <x:v>93.89999999999999</x:v>
      </x:c>
      <x:c r="X397" t="str">
        <x:f>IF(E397&lt;25,"Low &lt; 25",IF(E397&lt;100,"Medium 25-99",IF(E397&lt;300,"High 100-299","Premium 300+")))</x:f>
        <x:v>Low &lt; 25</x:v>
      </x:c>
      <x:c r="Y397" t="n">
        <x:f>IF(C397="Active",1,0)</x:f>
        <x:v>1</x:v>
      </x:c>
    </x:row>
    <x:row r="398">
      <x:c r="A398" t="str">
        <x:v>SKU00397</x:v>
      </x:c>
      <x:c r="B398" t="str">
        <x:v>Sample Product 00397</x:v>
      </x:c>
      <x:c r="C398" t="str">
        <x:v>Active</x:v>
      </x:c>
      <x:c r="D398" t="str">
        <x:v>2026-02</x:v>
      </x:c>
      <x:c r="E398" s="12" t="n">
        <x:v>348.24</x:v>
      </x:c>
      <x:c r="F398" s="10" t="n">
        <x:v>0.275</x:v>
      </x:c>
      <x:c r="G398" t="str">
        <x:v>OTC &amp; Wellness</x:v>
      </x:c>
      <x:c r="H398" t="str">
        <x:v>Digestive Care</x:v>
      </x:c>
      <x:c r="I398" t="str">
        <x:v>MFG008</x:v>
      </x:c>
      <x:c r="J398" t="str">
        <x:v>Manufacturer 008</x:v>
      </x:c>
      <x:c r="K398" t="str">
        <x:v>SUP008</x:v>
      </x:c>
      <x:c r="L398" t="str">
        <x:v>Supplier 008</x:v>
      </x:c>
      <x:c r="M398" t="str">
        <x:v>REG-479134</x:v>
      </x:c>
      <x:c r="N398" t="str">
        <x:v>Generic Ingredient 023</x:v>
      </x:c>
      <x:c r="O398" t="str">
        <x:v>Pharmacy Only</x:v>
      </x:c>
      <x:c r="P398" t="n">
        <x:v>82</x:v>
      </x:c>
      <x:c r="Q398" t="n">
        <x:v>0</x:v>
      </x:c>
      <x:c r="R398" t="n">
        <x:v>64</x:v>
      </x:c>
      <x:c r="S398" s="12" t="n">
        <x:f>E398*Q398</x:f>
        <x:v>0</x:v>
      </x:c>
      <x:c r="T398" s="12" t="n">
        <x:f>ROUND(S398*F398+0.000000001,2)</x:f>
        <x:v>0</x:v>
      </x:c>
      <x:c r="U398" s="12" t="n">
        <x:f>E398*R398</x:f>
        <x:v>22287.36</x:v>
      </x:c>
      <x:c r="V398" t="str">
        <x:f>IF(AND(C398="Active",Q398=0),"Active Zero Sales","Not Zero Sales")</x:f>
        <x:v>Active Zero Sales</x:v>
      </x:c>
      <x:c r="W398" s="12" t="n">
        <x:f>IF(V398="Active Zero Sales",U398,0)</x:f>
        <x:v>22287.36</x:v>
      </x:c>
      <x:c r="X398" t="str">
        <x:f>IF(E398&lt;25,"Low &lt; 25",IF(E398&lt;100,"Medium 25-99",IF(E398&lt;300,"High 100-299","Premium 300+")))</x:f>
        <x:v>Premium 300+</x:v>
      </x:c>
      <x:c r="Y398" t="n">
        <x:f>IF(C398="Active",1,0)</x:f>
        <x:v>1</x:v>
      </x:c>
    </x:row>
    <x:row r="399">
      <x:c r="A399" t="str">
        <x:v>SKU00398</x:v>
      </x:c>
      <x:c r="B399" t="str">
        <x:v>Sample Product 00398</x:v>
      </x:c>
      <x:c r="C399" t="str">
        <x:v>Active</x:v>
      </x:c>
      <x:c r="D399" t="str">
        <x:v>2026-02</x:v>
      </x:c>
      <x:c r="E399" s="12" t="n">
        <x:v>93.81</x:v>
      </x:c>
      <x:c r="F399" s="10" t="n">
        <x:v>0.39</x:v>
      </x:c>
      <x:c r="G399" t="str">
        <x:v>General Merchandise</x:v>
      </x:c>
      <x:c r="H399" t="str">
        <x:v>Seasonal Care</x:v>
      </x:c>
      <x:c r="I399" t="str">
        <x:v>MFG019</x:v>
      </x:c>
      <x:c r="J399" t="str">
        <x:v>Manufacturer 019</x:v>
      </x:c>
      <x:c r="K399" t="str">
        <x:v>SUP018</x:v>
      </x:c>
      <x:c r="L399" t="str">
        <x:v>Supplier 018</x:v>
      </x:c>
      <x:c r="M399" t="str">
        <x:v>REG-174357</x:v>
      </x:c>
      <x:c r="N399" t="str">
        <x:v>Generic Ingredient 045</x:v>
      </x:c>
      <x:c r="O399" t="str">
        <x:v>General Sale</x:v>
      </x:c>
      <x:c r="P399" t="n">
        <x:v>47</x:v>
      </x:c>
      <x:c r="Q399" t="n">
        <x:v>0</x:v>
      </x:c>
      <x:c r="R399" t="n">
        <x:v>24</x:v>
      </x:c>
      <x:c r="S399" s="12" t="n">
        <x:f>E399*Q399</x:f>
        <x:v>0</x:v>
      </x:c>
      <x:c r="T399" s="12" t="n">
        <x:f>ROUND(S399*F399+0.000000001,2)</x:f>
        <x:v>0</x:v>
      </x:c>
      <x:c r="U399" s="12" t="n">
        <x:f>E399*R399</x:f>
        <x:v>2251.44</x:v>
      </x:c>
      <x:c r="V399" t="str">
        <x:f>IF(AND(C399="Active",Q399=0),"Active Zero Sales","Not Zero Sales")</x:f>
        <x:v>Active Zero Sales</x:v>
      </x:c>
      <x:c r="W399" s="12" t="n">
        <x:f>IF(V399="Active Zero Sales",U399,0)</x:f>
        <x:v>2251.44</x:v>
      </x:c>
      <x:c r="X399" t="str">
        <x:f>IF(E399&lt;25,"Low &lt; 25",IF(E399&lt;100,"Medium 25-99",IF(E399&lt;300,"High 100-299","Premium 300+")))</x:f>
        <x:v>Medium 25-99</x:v>
      </x:c>
      <x:c r="Y399" t="n">
        <x:f>IF(C399="Active",1,0)</x:f>
        <x:v>1</x:v>
      </x:c>
    </x:row>
    <x:row r="400">
      <x:c r="A400" t="str">
        <x:v>SKU00399</x:v>
      </x:c>
      <x:c r="B400" t="str">
        <x:v>Sample Product 00399</x:v>
      </x:c>
      <x:c r="C400" t="str">
        <x:v>Active</x:v>
      </x:c>
      <x:c r="D400" t="str">
        <x:v>2026-04</x:v>
      </x:c>
      <x:c r="E400" s="12" t="n">
        <x:v>28.33</x:v>
      </x:c>
      <x:c r="F400" s="10" t="n">
        <x:v>0.424</x:v>
      </x:c>
      <x:c r="G400" t="str">
        <x:v>OTC &amp; Wellness</x:v>
      </x:c>
      <x:c r="H400" t="str">
        <x:v>Cold &amp; Allergy</x:v>
      </x:c>
      <x:c r="I400" t="str">
        <x:v>MFG017</x:v>
      </x:c>
      <x:c r="J400" t="str">
        <x:v>Manufacturer 017</x:v>
      </x:c>
      <x:c r="K400" t="str">
        <x:v>SUP027</x:v>
      </x:c>
      <x:c r="L400" t="str">
        <x:v>Supplier 027</x:v>
      </x:c>
      <x:c r="M400" t="str">
        <x:v>REG-607052</x:v>
      </x:c>
      <x:c r="N400" t="str">
        <x:v>Generic Ingredient 090</x:v>
      </x:c>
      <x:c r="O400" t="str">
        <x:v>General Sale</x:v>
      </x:c>
      <x:c r="P400" t="n">
        <x:v>209</x:v>
      </x:c>
      <x:c r="Q400" t="n">
        <x:v>148</x:v>
      </x:c>
      <x:c r="R400" t="n">
        <x:v>57</x:v>
      </x:c>
      <x:c r="S400" s="12" t="n">
        <x:f>E400*Q400</x:f>
        <x:v>4192.84</x:v>
      </x:c>
      <x:c r="T400" s="12" t="n">
        <x:f>ROUND(S400*F400+0.000000001,2)</x:f>
        <x:v>1777.76</x:v>
      </x:c>
      <x:c r="U400" s="12" t="n">
        <x:f>E400*R400</x:f>
        <x:v>1614.81</x:v>
      </x:c>
      <x:c r="V400" t="str">
        <x:f>IF(AND(C400="Active",Q400=0),"Active Zero Sales","Not Zero Sales")</x:f>
        <x:v>Not Zero Sales</x:v>
      </x:c>
      <x:c r="W400" s="12" t="n">
        <x:f>IF(V400="Active Zero Sales",U400,0)</x:f>
        <x:v>0</x:v>
      </x:c>
      <x:c r="X400" t="str">
        <x:f>IF(E400&lt;25,"Low &lt; 25",IF(E400&lt;100,"Medium 25-99",IF(E400&lt;300,"High 100-299","Premium 300+")))</x:f>
        <x:v>Medium 25-99</x:v>
      </x:c>
      <x:c r="Y400" t="n">
        <x:f>IF(C400="Active",1,0)</x:f>
        <x:v>1</x:v>
      </x:c>
    </x:row>
    <x:row r="401">
      <x:c r="A401" t="str">
        <x:v>SKU00400</x:v>
      </x:c>
      <x:c r="B401" t="str">
        <x:v>Sample Product 00400</x:v>
      </x:c>
      <x:c r="C401" t="str">
        <x:v>Active</x:v>
      </x:c>
      <x:c r="D401" t="str">
        <x:v>2026-01</x:v>
      </x:c>
      <x:c r="E401" s="12" t="n">
        <x:v>114.78</x:v>
      </x:c>
      <x:c r="F401" s="10" t="n">
        <x:v>0.396</x:v>
      </x:c>
      <x:c r="G401" t="str">
        <x:v>Personal Care</x:v>
      </x:c>
      <x:c r="H401" t="str">
        <x:v>Hygiene</x:v>
      </x:c>
      <x:c r="I401" t="str">
        <x:v>MFG012</x:v>
      </x:c>
      <x:c r="J401" t="str">
        <x:v>Manufacturer 012</x:v>
      </x:c>
      <x:c r="K401" t="str">
        <x:v>SUP006</x:v>
      </x:c>
      <x:c r="L401" t="str">
        <x:v>Supplier 006</x:v>
      </x:c>
      <x:c r="M401" t="str">
        <x:v>REG-612464</x:v>
      </x:c>
      <x:c r="N401" t="str">
        <x:v>Generic Ingredient 064</x:v>
      </x:c>
      <x:c r="O401" t="str">
        <x:v>Pharmacy Only</x:v>
      </x:c>
      <x:c r="P401" t="n">
        <x:v>37</x:v>
      </x:c>
      <x:c r="Q401" t="n">
        <x:v>21</x:v>
      </x:c>
      <x:c r="R401" t="n">
        <x:v>16</x:v>
      </x:c>
      <x:c r="S401" s="12" t="n">
        <x:f>E401*Q401</x:f>
        <x:v>2410.38</x:v>
      </x:c>
      <x:c r="T401" s="12" t="n">
        <x:f>ROUND(S401*F401+0.000000001,2)</x:f>
        <x:v>954.51</x:v>
      </x:c>
      <x:c r="U401" s="12" t="n">
        <x:f>E401*R401</x:f>
        <x:v>1836.48</x:v>
      </x:c>
      <x:c r="V401" t="str">
        <x:f>IF(AND(C401="Active",Q401=0),"Active Zero Sales","Not Zero Sales")</x:f>
        <x:v>Not Zero Sales</x:v>
      </x:c>
      <x:c r="W401" s="12" t="n">
        <x:f>IF(V401="Active Zero Sales",U401,0)</x:f>
        <x:v>0</x:v>
      </x:c>
      <x:c r="X401" t="str">
        <x:f>IF(E401&lt;25,"Low &lt; 25",IF(E401&lt;100,"Medium 25-99",IF(E401&lt;300,"High 100-299","Premium 300+")))</x:f>
        <x:v>High 100-299</x:v>
      </x:c>
      <x:c r="Y401" t="n">
        <x:f>IF(C401="Active",1,0)</x:f>
        <x:v>1</x:v>
      </x:c>
    </x:row>
    <x:row r="402">
      <x:c r="A402" t="str">
        <x:v>SKU00401</x:v>
      </x:c>
      <x:c r="B402" t="str">
        <x:v>Sample Product 00401</x:v>
      </x:c>
      <x:c r="C402" t="str">
        <x:v>Blocked</x:v>
      </x:c>
      <x:c r="D402" t="str">
        <x:v>2026-05</x:v>
      </x:c>
      <x:c r="E402" s="12" t="n">
        <x:v>55</x:v>
      </x:c>
      <x:c r="F402" s="10" t="n">
        <x:v>0.319</x:v>
      </x:c>
      <x:c r="G402" t="str">
        <x:v>General Merchandise</x:v>
      </x:c>
      <x:c r="H402" t="str">
        <x:v>Baby Essentials</x:v>
      </x:c>
      <x:c r="I402" t="str">
        <x:v>MFG015</x:v>
      </x:c>
      <x:c r="J402" t="str">
        <x:v>Manufacturer 015</x:v>
      </x:c>
      <x:c r="K402" t="str">
        <x:v>SUP015</x:v>
      </x:c>
      <x:c r="L402" t="str">
        <x:v>Supplier 015</x:v>
      </x:c>
      <x:c r="M402" t="str">
        <x:v>REG-764839</x:v>
      </x:c>
      <x:c r="N402" t="str">
        <x:v>Generic Ingredient 105</x:v>
      </x:c>
      <x:c r="O402" t="str">
        <x:v>General Sale</x:v>
      </x:c>
      <x:c r="P402" t="n">
        <x:v>39</x:v>
      </x:c>
      <x:c r="Q402" t="n">
        <x:v>3</x:v>
      </x:c>
      <x:c r="R402" t="n">
        <x:v>16</x:v>
      </x:c>
      <x:c r="S402" s="12" t="n">
        <x:f>E402*Q402</x:f>
        <x:v>165</x:v>
      </x:c>
      <x:c r="T402" s="12" t="n">
        <x:f>ROUND(S402*F402+0.000000001,2)</x:f>
        <x:v>52.64</x:v>
      </x:c>
      <x:c r="U402" s="12" t="n">
        <x:f>E402*R402</x:f>
        <x:v>880</x:v>
      </x:c>
      <x:c r="V402" t="str">
        <x:f>IF(AND(C402="Active",Q402=0),"Active Zero Sales","Not Zero Sales")</x:f>
        <x:v>Not Zero Sales</x:v>
      </x:c>
      <x:c r="W402" s="12" t="n">
        <x:f>IF(V402="Active Zero Sales",U402,0)</x:f>
        <x:v>0</x:v>
      </x:c>
      <x:c r="X402" t="str">
        <x:f>IF(E402&lt;25,"Low &lt; 25",IF(E402&lt;100,"Medium 25-99",IF(E402&lt;300,"High 100-299","Premium 300+")))</x:f>
        <x:v>Medium 25-99</x:v>
      </x:c>
      <x:c r="Y402" t="n">
        <x:f>IF(C402="Active",1,0)</x:f>
        <x:v>0</x:v>
      </x:c>
    </x:row>
    <x:row r="403">
      <x:c r="A403" t="str">
        <x:v>SKU00402</x:v>
      </x:c>
      <x:c r="B403" t="str">
        <x:v>Sample Product 00402</x:v>
      </x:c>
      <x:c r="C403" t="str">
        <x:v>Active</x:v>
      </x:c>
      <x:c r="D403" t="str">
        <x:v>2026-03</x:v>
      </x:c>
      <x:c r="E403" s="12" t="n">
        <x:v>13.38</x:v>
      </x:c>
      <x:c r="F403" s="10" t="n">
        <x:v>0.176</x:v>
      </x:c>
      <x:c r="G403" t="str">
        <x:v>Medical Devices</x:v>
      </x:c>
      <x:c r="H403" t="str">
        <x:v>First Aid</x:v>
      </x:c>
      <x:c r="I403" t="str">
        <x:v>MFG005</x:v>
      </x:c>
      <x:c r="J403" t="str">
        <x:v>Manufacturer 005</x:v>
      </x:c>
      <x:c r="K403" t="str">
        <x:v>SUP019</x:v>
      </x:c>
      <x:c r="L403" t="str">
        <x:v>Supplier 019</x:v>
      </x:c>
      <x:c r="M403" t="str">
        <x:v>REG-414972</x:v>
      </x:c>
      <x:c r="N403" t="str">
        <x:v>Generic Ingredient 114</x:v>
      </x:c>
      <x:c r="O403" t="str">
        <x:v>General Sale</x:v>
      </x:c>
      <x:c r="P403" t="n">
        <x:v>124</x:v>
      </x:c>
      <x:c r="Q403" t="n">
        <x:v>70</x:v>
      </x:c>
      <x:c r="R403" t="n">
        <x:v>27</x:v>
      </x:c>
      <x:c r="S403" s="12" t="n">
        <x:f>E403*Q403</x:f>
        <x:v>936.6</x:v>
      </x:c>
      <x:c r="T403" s="12" t="n">
        <x:f>ROUND(S403*F403+0.000000001,2)</x:f>
        <x:v>164.84</x:v>
      </x:c>
      <x:c r="U403" s="12" t="n">
        <x:f>E403*R403</x:f>
        <x:v>361.26000000000005</x:v>
      </x:c>
      <x:c r="V403" t="str">
        <x:f>IF(AND(C403="Active",Q403=0),"Active Zero Sales","Not Zero Sales")</x:f>
        <x:v>Not Zero Sales</x:v>
      </x:c>
      <x:c r="W403" s="12" t="n">
        <x:f>IF(V403="Active Zero Sales",U403,0)</x:f>
        <x:v>0</x:v>
      </x:c>
      <x:c r="X403" t="str">
        <x:f>IF(E403&lt;25,"Low &lt; 25",IF(E403&lt;100,"Medium 25-99",IF(E403&lt;300,"High 100-299","Premium 300+")))</x:f>
        <x:v>Low &lt; 25</x:v>
      </x:c>
      <x:c r="Y403" t="n">
        <x:f>IF(C403="Active",1,0)</x:f>
        <x:v>1</x:v>
      </x:c>
    </x:row>
    <x:row r="404">
      <x:c r="A404" t="str">
        <x:v>SKU00403</x:v>
      </x:c>
      <x:c r="B404" t="str">
        <x:v>Sample Product 00403</x:v>
      </x:c>
      <x:c r="C404" t="str">
        <x:v>Active</x:v>
      </x:c>
      <x:c r="D404" t="str">
        <x:v>2026-02</x:v>
      </x:c>
      <x:c r="E404" s="12" t="n">
        <x:v>7.96</x:v>
      </x:c>
      <x:c r="F404" s="10" t="n">
        <x:v>0.291</x:v>
      </x:c>
      <x:c r="G404" t="str">
        <x:v>Medical Devices</x:v>
      </x:c>
      <x:c r="H404" t="str">
        <x:v>Monitoring Supplies</x:v>
      </x:c>
      <x:c r="I404" t="str">
        <x:v>MFG005</x:v>
      </x:c>
      <x:c r="J404" t="str">
        <x:v>Manufacturer 005</x:v>
      </x:c>
      <x:c r="K404" t="str">
        <x:v>SUP002</x:v>
      </x:c>
      <x:c r="L404" t="str">
        <x:v>Supplier 002</x:v>
      </x:c>
      <x:c r="M404" t="str">
        <x:v>REG-331992</x:v>
      </x:c>
      <x:c r="N404" t="str">
        <x:v>Generic Ingredient 081</x:v>
      </x:c>
      <x:c r="O404" t="str">
        <x:v>General Sale</x:v>
      </x:c>
      <x:c r="P404" t="n">
        <x:v>52</x:v>
      </x:c>
      <x:c r="Q404" t="n">
        <x:v>5</x:v>
      </x:c>
      <x:c r="R404" t="n">
        <x:v>24</x:v>
      </x:c>
      <x:c r="S404" s="12" t="n">
        <x:f>E404*Q404</x:f>
        <x:v>39.8</x:v>
      </x:c>
      <x:c r="T404" s="12" t="n">
        <x:f>ROUND(S404*F404+0.000000001,2)</x:f>
        <x:v>11.58</x:v>
      </x:c>
      <x:c r="U404" s="12" t="n">
        <x:f>E404*R404</x:f>
        <x:v>191.04</x:v>
      </x:c>
      <x:c r="V404" t="str">
        <x:f>IF(AND(C404="Active",Q404=0),"Active Zero Sales","Not Zero Sales")</x:f>
        <x:v>Not Zero Sales</x:v>
      </x:c>
      <x:c r="W404" s="12" t="n">
        <x:f>IF(V404="Active Zero Sales",U404,0)</x:f>
        <x:v>0</x:v>
      </x:c>
      <x:c r="X404" t="str">
        <x:f>IF(E404&lt;25,"Low &lt; 25",IF(E404&lt;100,"Medium 25-99",IF(E404&lt;300,"High 100-299","Premium 300+")))</x:f>
        <x:v>Low &lt; 25</x:v>
      </x:c>
      <x:c r="Y404" t="n">
        <x:f>IF(C404="Active",1,0)</x:f>
        <x:v>1</x:v>
      </x:c>
    </x:row>
    <x:row r="405">
      <x:c r="A405" t="str">
        <x:v>SKU00404</x:v>
      </x:c>
      <x:c r="B405" t="str">
        <x:v>Sample Product 00404</x:v>
      </x:c>
      <x:c r="C405" t="str">
        <x:v>Active</x:v>
      </x:c>
      <x:c r="D405" t="str">
        <x:v>2026-05</x:v>
      </x:c>
      <x:c r="E405" s="12" t="n">
        <x:v>10.09</x:v>
      </x:c>
      <x:c r="F405" s="10" t="n">
        <x:v>0.365</x:v>
      </x:c>
      <x:c r="G405" t="str">
        <x:v>Nutrition</x:v>
      </x:c>
      <x:c r="H405" t="str">
        <x:v>Healthy Snacks</x:v>
      </x:c>
      <x:c r="I405" t="str">
        <x:v>MFG015</x:v>
      </x:c>
      <x:c r="J405" t="str">
        <x:v>Manufacturer 015</x:v>
      </x:c>
      <x:c r="K405" t="str">
        <x:v>SUP023</x:v>
      </x:c>
      <x:c r="L405" t="str">
        <x:v>Supplier 023</x:v>
      </x:c>
      <x:c r="M405" t="str">
        <x:v>REG-489540</x:v>
      </x:c>
      <x:c r="N405" t="str">
        <x:v>Generic Ingredient 075</x:v>
      </x:c>
      <x:c r="O405" t="str">
        <x:v>General Sale</x:v>
      </x:c>
      <x:c r="P405" t="n">
        <x:v>26</x:v>
      </x:c>
      <x:c r="Q405" t="n">
        <x:v>29</x:v>
      </x:c>
      <x:c r="R405" t="n">
        <x:v>0</x:v>
      </x:c>
      <x:c r="S405" s="12" t="n">
        <x:f>E405*Q405</x:f>
        <x:v>292.61</x:v>
      </x:c>
      <x:c r="T405" s="12" t="n">
        <x:f>ROUND(S405*F405+0.000000001,2)</x:f>
        <x:v>106.8</x:v>
      </x:c>
      <x:c r="U405" s="12" t="n">
        <x:f>E405*R405</x:f>
        <x:v>0</x:v>
      </x:c>
      <x:c r="V405" t="str">
        <x:f>IF(AND(C405="Active",Q405=0),"Active Zero Sales","Not Zero Sales")</x:f>
        <x:v>Not Zero Sales</x:v>
      </x:c>
      <x:c r="W405" s="12" t="n">
        <x:f>IF(V405="Active Zero Sales",U405,0)</x:f>
        <x:v>0</x:v>
      </x:c>
      <x:c r="X405" t="str">
        <x:f>IF(E405&lt;25,"Low &lt; 25",IF(E405&lt;100,"Medium 25-99",IF(E405&lt;300,"High 100-299","Premium 300+")))</x:f>
        <x:v>Low &lt; 25</x:v>
      </x:c>
      <x:c r="Y405" t="n">
        <x:f>IF(C405="Active",1,0)</x:f>
        <x:v>1</x:v>
      </x:c>
    </x:row>
    <x:row r="406">
      <x:c r="A406" t="str">
        <x:v>SKU00405</x:v>
      </x:c>
      <x:c r="B406" t="str">
        <x:v>Sample Product 00405</x:v>
      </x:c>
      <x:c r="C406" t="str">
        <x:v>Active</x:v>
      </x:c>
      <x:c r="D406" t="str">
        <x:v>2026-05</x:v>
      </x:c>
      <x:c r="E406" s="12" t="n">
        <x:v>18.93</x:v>
      </x:c>
      <x:c r="F406" s="10" t="n">
        <x:v>0.229</x:v>
      </x:c>
      <x:c r="G406" t="str">
        <x:v>Medical Devices</x:v>
      </x:c>
      <x:c r="H406" t="str">
        <x:v>Monitoring Supplies</x:v>
      </x:c>
      <x:c r="I406" t="str">
        <x:v>MFG003</x:v>
      </x:c>
      <x:c r="J406" t="str">
        <x:v>Manufacturer 003</x:v>
      </x:c>
      <x:c r="K406" t="str">
        <x:v>SUP010</x:v>
      </x:c>
      <x:c r="L406" t="str">
        <x:v>Supplier 010</x:v>
      </x:c>
      <x:c r="M406" t="str">
        <x:v>REG-379369</x:v>
      </x:c>
      <x:c r="N406" t="str">
        <x:v>Generic Ingredient 041</x:v>
      </x:c>
      <x:c r="O406" t="str">
        <x:v>General Sale</x:v>
      </x:c>
      <x:c r="P406" t="n">
        <x:v>44</x:v>
      </x:c>
      <x:c r="Q406" t="n">
        <x:v>2</x:v>
      </x:c>
      <x:c r="R406" t="n">
        <x:v>11</x:v>
      </x:c>
      <x:c r="S406" s="12" t="n">
        <x:f>E406*Q406</x:f>
        <x:v>37.86</x:v>
      </x:c>
      <x:c r="T406" s="12" t="n">
        <x:f>ROUND(S406*F406+0.000000001,2)</x:f>
        <x:v>8.67</x:v>
      </x:c>
      <x:c r="U406" s="12" t="n">
        <x:f>E406*R406</x:f>
        <x:v>208.23</x:v>
      </x:c>
      <x:c r="V406" t="str">
        <x:f>IF(AND(C406="Active",Q406=0),"Active Zero Sales","Not Zero Sales")</x:f>
        <x:v>Not Zero Sales</x:v>
      </x:c>
      <x:c r="W406" s="12" t="n">
        <x:f>IF(V406="Active Zero Sales",U406,0)</x:f>
        <x:v>0</x:v>
      </x:c>
      <x:c r="X406" t="str">
        <x:f>IF(E406&lt;25,"Low &lt; 25",IF(E406&lt;100,"Medium 25-99",IF(E406&lt;300,"High 100-299","Premium 300+")))</x:f>
        <x:v>Low &lt; 25</x:v>
      </x:c>
      <x:c r="Y406" t="n">
        <x:f>IF(C406="Active",1,0)</x:f>
        <x:v>1</x:v>
      </x:c>
    </x:row>
    <x:row r="407">
      <x:c r="A407" t="str">
        <x:v>SKU00406</x:v>
      </x:c>
      <x:c r="B407" t="str">
        <x:v>Sample Product 00406</x:v>
      </x:c>
      <x:c r="C407" t="str">
        <x:v>Active</x:v>
      </x:c>
      <x:c r="D407" t="str">
        <x:v>2026-05</x:v>
      </x:c>
      <x:c r="E407" s="12" t="n">
        <x:v>277.61</x:v>
      </x:c>
      <x:c r="F407" s="10" t="n">
        <x:v>0.337</x:v>
      </x:c>
      <x:c r="G407" t="str">
        <x:v>Nutrition</x:v>
      </x:c>
      <x:c r="H407" t="str">
        <x:v>Sports Nutrition</x:v>
      </x:c>
      <x:c r="I407" t="str">
        <x:v>MFG009</x:v>
      </x:c>
      <x:c r="J407" t="str">
        <x:v>Manufacturer 009</x:v>
      </x:c>
      <x:c r="K407" t="str">
        <x:v>SUP018</x:v>
      </x:c>
      <x:c r="L407" t="str">
        <x:v>Supplier 018</x:v>
      </x:c>
      <x:c r="M407" t="str">
        <x:v>REG-515171</x:v>
      </x:c>
      <x:c r="N407" t="str">
        <x:v>Generic Ingredient 096</x:v>
      </x:c>
      <x:c r="O407" t="str">
        <x:v>General Sale</x:v>
      </x:c>
      <x:c r="P407" t="n">
        <x:v>71</x:v>
      </x:c>
      <x:c r="Q407" t="n">
        <x:v>16</x:v>
      </x:c>
      <x:c r="R407" t="n">
        <x:v>11</x:v>
      </x:c>
      <x:c r="S407" s="12" t="n">
        <x:f>E407*Q407</x:f>
        <x:v>4441.76</x:v>
      </x:c>
      <x:c r="T407" s="12" t="n">
        <x:f>ROUND(S407*F407+0.000000001,2)</x:f>
        <x:v>1496.87</x:v>
      </x:c>
      <x:c r="U407" s="12" t="n">
        <x:f>E407*R407</x:f>
        <x:v>3053.71</x:v>
      </x:c>
      <x:c r="V407" t="str">
        <x:f>IF(AND(C407="Active",Q407=0),"Active Zero Sales","Not Zero Sales")</x:f>
        <x:v>Not Zero Sales</x:v>
      </x:c>
      <x:c r="W407" s="12" t="n">
        <x:f>IF(V407="Active Zero Sales",U407,0)</x:f>
        <x:v>0</x:v>
      </x:c>
      <x:c r="X407" t="str">
        <x:f>IF(E407&lt;25,"Low &lt; 25",IF(E407&lt;100,"Medium 25-99",IF(E407&lt;300,"High 100-299","Premium 300+")))</x:f>
        <x:v>High 100-299</x:v>
      </x:c>
      <x:c r="Y407" t="n">
        <x:f>IF(C407="Active",1,0)</x:f>
        <x:v>1</x:v>
      </x:c>
    </x:row>
    <x:row r="408">
      <x:c r="A408" t="str">
        <x:v>SKU00407</x:v>
      </x:c>
      <x:c r="B408" t="str">
        <x:v>Sample Product 00407</x:v>
      </x:c>
      <x:c r="C408" t="str">
        <x:v>Active</x:v>
      </x:c>
      <x:c r="D408" t="str">
        <x:v>2026-06</x:v>
      </x:c>
      <x:c r="E408" s="12" t="n">
        <x:v>64.04</x:v>
      </x:c>
      <x:c r="F408" s="10" t="n">
        <x:v>0.444</x:v>
      </x:c>
      <x:c r="G408" t="str">
        <x:v>Nutrition</x:v>
      </x:c>
      <x:c r="H408" t="str">
        <x:v>Healthy Snacks</x:v>
      </x:c>
      <x:c r="I408" t="str">
        <x:v>MFG007</x:v>
      </x:c>
      <x:c r="J408" t="str">
        <x:v>Manufacturer 007</x:v>
      </x:c>
      <x:c r="K408" t="str">
        <x:v>SUP009</x:v>
      </x:c>
      <x:c r="L408" t="str">
        <x:v>Supplier 009</x:v>
      </x:c>
      <x:c r="M408" t="str">
        <x:v>REG-900506</x:v>
      </x:c>
      <x:c r="N408" t="str">
        <x:v>Generic Ingredient 105</x:v>
      </x:c>
      <x:c r="O408" t="str">
        <x:v>General Sale</x:v>
      </x:c>
      <x:c r="P408" t="n">
        <x:v>61</x:v>
      </x:c>
      <x:c r="Q408" t="n">
        <x:v>28</x:v>
      </x:c>
      <x:c r="R408" t="n">
        <x:v>0</x:v>
      </x:c>
      <x:c r="S408" s="12" t="n">
        <x:f>E408*Q408</x:f>
        <x:v>1793.1200000000001</x:v>
      </x:c>
      <x:c r="T408" s="12" t="n">
        <x:f>ROUND(S408*F408+0.000000001,2)</x:f>
        <x:v>796.15</x:v>
      </x:c>
      <x:c r="U408" s="12" t="n">
        <x:f>E408*R408</x:f>
        <x:v>0</x:v>
      </x:c>
      <x:c r="V408" t="str">
        <x:f>IF(AND(C408="Active",Q408=0),"Active Zero Sales","Not Zero Sales")</x:f>
        <x:v>Not Zero Sales</x:v>
      </x:c>
      <x:c r="W408" s="12" t="n">
        <x:f>IF(V408="Active Zero Sales",U408,0)</x:f>
        <x:v>0</x:v>
      </x:c>
      <x:c r="X408" t="str">
        <x:f>IF(E408&lt;25,"Low &lt; 25",IF(E408&lt;100,"Medium 25-99",IF(E408&lt;300,"High 100-299","Premium 300+")))</x:f>
        <x:v>Medium 25-99</x:v>
      </x:c>
      <x:c r="Y408" t="n">
        <x:f>IF(C408="Active",1,0)</x:f>
        <x:v>1</x:v>
      </x:c>
    </x:row>
    <x:row r="409">
      <x:c r="A409" t="str">
        <x:v>SKU00408</x:v>
      </x:c>
      <x:c r="B409" t="str">
        <x:v>Sample Product 00408</x:v>
      </x:c>
      <x:c r="C409" t="str">
        <x:v>Active</x:v>
      </x:c>
      <x:c r="D409" t="str">
        <x:v>2026-02</x:v>
      </x:c>
      <x:c r="E409" s="12" t="n">
        <x:v>28.01</x:v>
      </x:c>
      <x:c r="F409" s="10" t="n">
        <x:v>0.375</x:v>
      </x:c>
      <x:c r="G409" t="str">
        <x:v>OTC &amp; Wellness</x:v>
      </x:c>
      <x:c r="H409" t="str">
        <x:v>Digestive Care</x:v>
      </x:c>
      <x:c r="I409" t="str">
        <x:v>MFG009</x:v>
      </x:c>
      <x:c r="J409" t="str">
        <x:v>Manufacturer 009</x:v>
      </x:c>
      <x:c r="K409" t="str">
        <x:v>SUP019</x:v>
      </x:c>
      <x:c r="L409" t="str">
        <x:v>Supplier 019</x:v>
      </x:c>
      <x:c r="M409" t="str">
        <x:v>REG-759930</x:v>
      </x:c>
      <x:c r="N409" t="str">
        <x:v>Generic Ingredient 061</x:v>
      </x:c>
      <x:c r="O409" t="str">
        <x:v>General Sale</x:v>
      </x:c>
      <x:c r="P409" t="n">
        <x:v>30</x:v>
      </x:c>
      <x:c r="Q409" t="n">
        <x:v>25</x:v>
      </x:c>
      <x:c r="R409" t="n">
        <x:v>11</x:v>
      </x:c>
      <x:c r="S409" s="12" t="n">
        <x:f>E409*Q409</x:f>
        <x:v>700.25</x:v>
      </x:c>
      <x:c r="T409" s="12" t="n">
        <x:f>ROUND(S409*F409+0.000000001,2)</x:f>
        <x:v>262.59</x:v>
      </x:c>
      <x:c r="U409" s="12" t="n">
        <x:f>E409*R409</x:f>
        <x:v>308.11</x:v>
      </x:c>
      <x:c r="V409" t="str">
        <x:f>IF(AND(C409="Active",Q409=0),"Active Zero Sales","Not Zero Sales")</x:f>
        <x:v>Not Zero Sales</x:v>
      </x:c>
      <x:c r="W409" s="12" t="n">
        <x:f>IF(V409="Active Zero Sales",U409,0)</x:f>
        <x:v>0</x:v>
      </x:c>
      <x:c r="X409" t="str">
        <x:f>IF(E409&lt;25,"Low &lt; 25",IF(E409&lt;100,"Medium 25-99",IF(E409&lt;300,"High 100-299","Premium 300+")))</x:f>
        <x:v>Medium 25-99</x:v>
      </x:c>
      <x:c r="Y409" t="n">
        <x:f>IF(C409="Active",1,0)</x:f>
        <x:v>1</x:v>
      </x:c>
    </x:row>
    <x:row r="410">
      <x:c r="A410" t="str">
        <x:v>SKU00409</x:v>
      </x:c>
      <x:c r="B410" t="str">
        <x:v>Sample Product 00409</x:v>
      </x:c>
      <x:c r="C410" t="str">
        <x:v>Active</x:v>
      </x:c>
      <x:c r="D410" t="str">
        <x:v>2026-01</x:v>
      </x:c>
      <x:c r="E410" s="12" t="n">
        <x:v>9.68</x:v>
      </x:c>
      <x:c r="F410" s="10" t="n">
        <x:v>0.316</x:v>
      </x:c>
      <x:c r="G410" t="str">
        <x:v>OTC &amp; Wellness</x:v>
      </x:c>
      <x:c r="H410" t="str">
        <x:v>Vitamins</x:v>
      </x:c>
      <x:c r="I410" t="str">
        <x:v>MFG012</x:v>
      </x:c>
      <x:c r="J410" t="str">
        <x:v>Manufacturer 012</x:v>
      </x:c>
      <x:c r="K410" t="str">
        <x:v>SUP006</x:v>
      </x:c>
      <x:c r="L410" t="str">
        <x:v>Supplier 006</x:v>
      </x:c>
      <x:c r="M410" t="str">
        <x:v>REG-582562</x:v>
      </x:c>
      <x:c r="N410" t="str">
        <x:v>Generic Ingredient 004</x:v>
      </x:c>
      <x:c r="O410" t="str">
        <x:v>Pharmacy Only</x:v>
      </x:c>
      <x:c r="P410" t="n">
        <x:v>75</x:v>
      </x:c>
      <x:c r="Q410" t="n">
        <x:v>42</x:v>
      </x:c>
      <x:c r="R410" t="n">
        <x:v>11</x:v>
      </x:c>
      <x:c r="S410" s="12" t="n">
        <x:f>E410*Q410</x:f>
        <x:v>406.56</x:v>
      </x:c>
      <x:c r="T410" s="12" t="n">
        <x:f>ROUND(S410*F410+0.000000001,2)</x:f>
        <x:v>128.47</x:v>
      </x:c>
      <x:c r="U410" s="12" t="n">
        <x:f>E410*R410</x:f>
        <x:v>106.47999999999999</x:v>
      </x:c>
      <x:c r="V410" t="str">
        <x:f>IF(AND(C410="Active",Q410=0),"Active Zero Sales","Not Zero Sales")</x:f>
        <x:v>Not Zero Sales</x:v>
      </x:c>
      <x:c r="W410" s="12" t="n">
        <x:f>IF(V410="Active Zero Sales",U410,0)</x:f>
        <x:v>0</x:v>
      </x:c>
      <x:c r="X410" t="str">
        <x:f>IF(E410&lt;25,"Low &lt; 25",IF(E410&lt;100,"Medium 25-99",IF(E410&lt;300,"High 100-299","Premium 300+")))</x:f>
        <x:v>Low &lt; 25</x:v>
      </x:c>
      <x:c r="Y410" t="n">
        <x:f>IF(C410="Active",1,0)</x:f>
        <x:v>1</x:v>
      </x:c>
    </x:row>
    <x:row r="411">
      <x:c r="A411" t="str">
        <x:v>SKU00410</x:v>
      </x:c>
      <x:c r="B411" t="str">
        <x:v>Sample Product 00410</x:v>
      </x:c>
      <x:c r="C411" t="str">
        <x:v>Blocked</x:v>
      </x:c>
      <x:c r="D411" t="str">
        <x:v>2026-02</x:v>
      </x:c>
      <x:c r="E411" s="12" t="n">
        <x:v>85.99</x:v>
      </x:c>
      <x:c r="F411" s="10" t="n">
        <x:v>0.429</x:v>
      </x:c>
      <x:c r="G411" t="str">
        <x:v>Personal Care</x:v>
      </x:c>
      <x:c r="H411" t="str">
        <x:v>Skin Care</x:v>
      </x:c>
      <x:c r="I411" t="str">
        <x:v>MFG010</x:v>
      </x:c>
      <x:c r="J411" t="str">
        <x:v>Manufacturer 010</x:v>
      </x:c>
      <x:c r="K411" t="str">
        <x:v>SUP015</x:v>
      </x:c>
      <x:c r="L411" t="str">
        <x:v>Supplier 015</x:v>
      </x:c>
      <x:c r="M411" t="str">
        <x:v>REG-536819</x:v>
      </x:c>
      <x:c r="N411" t="str">
        <x:v>Generic Ingredient 114</x:v>
      </x:c>
      <x:c r="O411" t="str">
        <x:v>Pharmacy Only</x:v>
      </x:c>
      <x:c r="P411" t="n">
        <x:v>21</x:v>
      </x:c>
      <x:c r="Q411" t="n">
        <x:v>0</x:v>
      </x:c>
      <x:c r="R411" t="n">
        <x:v>0</x:v>
      </x:c>
      <x:c r="S411" s="12" t="n">
        <x:f>E411*Q411</x:f>
        <x:v>0</x:v>
      </x:c>
      <x:c r="T411" s="12" t="n">
        <x:f>ROUND(S411*F411+0.000000001,2)</x:f>
        <x:v>0</x:v>
      </x:c>
      <x:c r="U411" s="12" t="n">
        <x:f>E411*R411</x:f>
        <x:v>0</x:v>
      </x:c>
      <x:c r="V411" t="str">
        <x:f>IF(AND(C411="Active",Q411=0),"Active Zero Sales","Not Zero Sales")</x:f>
        <x:v>Not Zero Sales</x:v>
      </x:c>
      <x:c r="W411" s="12" t="n">
        <x:f>IF(V411="Active Zero Sales",U411,0)</x:f>
        <x:v>0</x:v>
      </x:c>
      <x:c r="X411" t="str">
        <x:f>IF(E411&lt;25,"Low &lt; 25",IF(E411&lt;100,"Medium 25-99",IF(E411&lt;300,"High 100-299","Premium 300+")))</x:f>
        <x:v>Medium 25-99</x:v>
      </x:c>
      <x:c r="Y411" t="n">
        <x:f>IF(C411="Active",1,0)</x:f>
        <x:v>0</x:v>
      </x:c>
    </x:row>
    <x:row r="412">
      <x:c r="A412" t="str">
        <x:v>SKU00411</x:v>
      </x:c>
      <x:c r="B412" t="str">
        <x:v>Sample Product 00411</x:v>
      </x:c>
      <x:c r="C412" t="str">
        <x:v>Active</x:v>
      </x:c>
      <x:c r="D412" t="str">
        <x:v>2026-03</x:v>
      </x:c>
      <x:c r="E412" s="12" t="n">
        <x:v>10.94</x:v>
      </x:c>
      <x:c r="F412" s="10" t="n">
        <x:v>0.392</x:v>
      </x:c>
      <x:c r="G412" t="str">
        <x:v>Personal Care</x:v>
      </x:c>
      <x:c r="H412" t="str">
        <x:v>Hair Care</x:v>
      </x:c>
      <x:c r="I412" t="str">
        <x:v>MFG015</x:v>
      </x:c>
      <x:c r="J412" t="str">
        <x:v>Manufacturer 015</x:v>
      </x:c>
      <x:c r="K412" t="str">
        <x:v>SUP015</x:v>
      </x:c>
      <x:c r="L412" t="str">
        <x:v>Supplier 015</x:v>
      </x:c>
      <x:c r="M412" t="str">
        <x:v>REG-859255</x:v>
      </x:c>
      <x:c r="N412" t="str">
        <x:v>Generic Ingredient 153</x:v>
      </x:c>
      <x:c r="O412" t="str">
        <x:v>General Sale</x:v>
      </x:c>
      <x:c r="P412" t="n">
        <x:v>22</x:v>
      </x:c>
      <x:c r="Q412" t="n">
        <x:v>15</x:v>
      </x:c>
      <x:c r="R412" t="n">
        <x:v>4</x:v>
      </x:c>
      <x:c r="S412" s="12" t="n">
        <x:f>E412*Q412</x:f>
        <x:v>164.1</x:v>
      </x:c>
      <x:c r="T412" s="12" t="n">
        <x:f>ROUND(S412*F412+0.000000001,2)</x:f>
        <x:v>64.33</x:v>
      </x:c>
      <x:c r="U412" s="12" t="n">
        <x:f>E412*R412</x:f>
        <x:v>43.76</x:v>
      </x:c>
      <x:c r="V412" t="str">
        <x:f>IF(AND(C412="Active",Q412=0),"Active Zero Sales","Not Zero Sales")</x:f>
        <x:v>Not Zero Sales</x:v>
      </x:c>
      <x:c r="W412" s="12" t="n">
        <x:f>IF(V412="Active Zero Sales",U412,0)</x:f>
        <x:v>0</x:v>
      </x:c>
      <x:c r="X412" t="str">
        <x:f>IF(E412&lt;25,"Low &lt; 25",IF(E412&lt;100,"Medium 25-99",IF(E412&lt;300,"High 100-299","Premium 300+")))</x:f>
        <x:v>Low &lt; 25</x:v>
      </x:c>
      <x:c r="Y412" t="n">
        <x:f>IF(C412="Active",1,0)</x:f>
        <x:v>1</x:v>
      </x:c>
    </x:row>
    <x:row r="413">
      <x:c r="A413" t="str">
        <x:v>SKU00412</x:v>
      </x:c>
      <x:c r="B413" t="str">
        <x:v>Sample Product 00412</x:v>
      </x:c>
      <x:c r="C413" t="str">
        <x:v>Active</x:v>
      </x:c>
      <x:c r="D413" t="str">
        <x:v>2026-01</x:v>
      </x:c>
      <x:c r="E413" s="12" t="n">
        <x:v>88.73</x:v>
      </x:c>
      <x:c r="F413" s="10" t="n">
        <x:v>0.216</x:v>
      </x:c>
      <x:c r="G413" t="str">
        <x:v>Nutrition</x:v>
      </x:c>
      <x:c r="H413" t="str">
        <x:v>Healthy Snacks</x:v>
      </x:c>
      <x:c r="I413" t="str">
        <x:v>MFG007</x:v>
      </x:c>
      <x:c r="J413" t="str">
        <x:v>Manufacturer 007</x:v>
      </x:c>
      <x:c r="K413" t="str">
        <x:v>SUP016</x:v>
      </x:c>
      <x:c r="L413" t="str">
        <x:v>Supplier 016</x:v>
      </x:c>
      <x:c r="M413" t="str">
        <x:v>REG-903928</x:v>
      </x:c>
      <x:c r="N413" t="str">
        <x:v>Generic Ingredient 079</x:v>
      </x:c>
      <x:c r="O413" t="str">
        <x:v>General Sale</x:v>
      </x:c>
      <x:c r="P413" t="n">
        <x:v>54</x:v>
      </x:c>
      <x:c r="Q413" t="n">
        <x:v>46</x:v>
      </x:c>
      <x:c r="R413" t="n">
        <x:v>0</x:v>
      </x:c>
      <x:c r="S413" s="12" t="n">
        <x:f>E413*Q413</x:f>
        <x:v>4081.5800000000004</x:v>
      </x:c>
      <x:c r="T413" s="12" t="n">
        <x:f>ROUND(S413*F413+0.000000001,2)</x:f>
        <x:v>881.62</x:v>
      </x:c>
      <x:c r="U413" s="12" t="n">
        <x:f>E413*R413</x:f>
        <x:v>0</x:v>
      </x:c>
      <x:c r="V413" t="str">
        <x:f>IF(AND(C413="Active",Q413=0),"Active Zero Sales","Not Zero Sales")</x:f>
        <x:v>Not Zero Sales</x:v>
      </x:c>
      <x:c r="W413" s="12" t="n">
        <x:f>IF(V413="Active Zero Sales",U413,0)</x:f>
        <x:v>0</x:v>
      </x:c>
      <x:c r="X413" t="str">
        <x:f>IF(E413&lt;25,"Low &lt; 25",IF(E413&lt;100,"Medium 25-99",IF(E413&lt;300,"High 100-299","Premium 300+")))</x:f>
        <x:v>Medium 25-99</x:v>
      </x:c>
      <x:c r="Y413" t="n">
        <x:f>IF(C413="Active",1,0)</x:f>
        <x:v>1</x:v>
      </x:c>
    </x:row>
    <x:row r="414">
      <x:c r="A414" t="str">
        <x:v>SKU00413</x:v>
      </x:c>
      <x:c r="B414" t="str">
        <x:v>Sample Product 00413</x:v>
      </x:c>
      <x:c r="C414" t="str">
        <x:v>Active</x:v>
      </x:c>
      <x:c r="D414" t="str">
        <x:v>2026-04</x:v>
      </x:c>
      <x:c r="E414" s="12" t="n">
        <x:v>78.95</x:v>
      </x:c>
      <x:c r="F414" s="10" t="n">
        <x:v>0.286</x:v>
      </x:c>
      <x:c r="G414" t="str">
        <x:v>OTC &amp; Wellness</x:v>
      </x:c>
      <x:c r="H414" t="str">
        <x:v>Digestive Care</x:v>
      </x:c>
      <x:c r="I414" t="str">
        <x:v>MFG006</x:v>
      </x:c>
      <x:c r="J414" t="str">
        <x:v>Manufacturer 006</x:v>
      </x:c>
      <x:c r="K414" t="str">
        <x:v>SUP013</x:v>
      </x:c>
      <x:c r="L414" t="str">
        <x:v>Supplier 013</x:v>
      </x:c>
      <x:c r="M414" t="str">
        <x:v>REG-676606</x:v>
      </x:c>
      <x:c r="N414" t="str">
        <x:v>Generic Ingredient 089</x:v>
      </x:c>
      <x:c r="O414" t="str">
        <x:v>Pharmacy Only</x:v>
      </x:c>
      <x:c r="P414" t="n">
        <x:v>30</x:v>
      </x:c>
      <x:c r="Q414" t="n">
        <x:v>34</x:v>
      </x:c>
      <x:c r="R414" t="n">
        <x:v>6</x:v>
      </x:c>
      <x:c r="S414" s="12" t="n">
        <x:f>E414*Q414</x:f>
        <x:v>2684.3</x:v>
      </x:c>
      <x:c r="T414" s="12" t="n">
        <x:f>ROUND(S414*F414+0.000000001,2)</x:f>
        <x:v>767.71</x:v>
      </x:c>
      <x:c r="U414" s="12" t="n">
        <x:f>E414*R414</x:f>
        <x:v>473.70000000000005</x:v>
      </x:c>
      <x:c r="V414" t="str">
        <x:f>IF(AND(C414="Active",Q414=0),"Active Zero Sales","Not Zero Sales")</x:f>
        <x:v>Not Zero Sales</x:v>
      </x:c>
      <x:c r="W414" s="12" t="n">
        <x:f>IF(V414="Active Zero Sales",U414,0)</x:f>
        <x:v>0</x:v>
      </x:c>
      <x:c r="X414" t="str">
        <x:f>IF(E414&lt;25,"Low &lt; 25",IF(E414&lt;100,"Medium 25-99",IF(E414&lt;300,"High 100-299","Premium 300+")))</x:f>
        <x:v>Medium 25-99</x:v>
      </x:c>
      <x:c r="Y414" t="n">
        <x:f>IF(C414="Active",1,0)</x:f>
        <x:v>1</x:v>
      </x:c>
    </x:row>
    <x:row r="415">
      <x:c r="A415" t="str">
        <x:v>SKU00414</x:v>
      </x:c>
      <x:c r="B415" t="str">
        <x:v>Sample Product 00414</x:v>
      </x:c>
      <x:c r="C415" t="str">
        <x:v>Active</x:v>
      </x:c>
      <x:c r="D415" t="str">
        <x:v>2026-05</x:v>
      </x:c>
      <x:c r="E415" s="12" t="n">
        <x:v>199.99</x:v>
      </x:c>
      <x:c r="F415" s="10" t="n">
        <x:v>0.34</x:v>
      </x:c>
      <x:c r="G415" t="str">
        <x:v>OTC &amp; Wellness</x:v>
      </x:c>
      <x:c r="H415" t="str">
        <x:v>Digestive Care</x:v>
      </x:c>
      <x:c r="I415" t="str">
        <x:v>MFG007</x:v>
      </x:c>
      <x:c r="J415" t="str">
        <x:v>Manufacturer 007</x:v>
      </x:c>
      <x:c r="K415" t="str">
        <x:v>SUP029</x:v>
      </x:c>
      <x:c r="L415" t="str">
        <x:v>Supplier 029</x:v>
      </x:c>
      <x:c r="M415" t="str">
        <x:v>REG-263102</x:v>
      </x:c>
      <x:c r="N415" t="str">
        <x:v>Generic Ingredient 047</x:v>
      </x:c>
      <x:c r="O415" t="str">
        <x:v>Pharmacy Only</x:v>
      </x:c>
      <x:c r="P415" t="n">
        <x:v>40</x:v>
      </x:c>
      <x:c r="Q415" t="n">
        <x:v>15</x:v>
      </x:c>
      <x:c r="R415" t="n">
        <x:v>12</x:v>
      </x:c>
      <x:c r="S415" s="12" t="n">
        <x:f>E415*Q415</x:f>
        <x:v>2999.8500000000004</x:v>
      </x:c>
      <x:c r="T415" s="12" t="n">
        <x:f>ROUND(S415*F415+0.000000001,2)</x:f>
        <x:v>1019.95</x:v>
      </x:c>
      <x:c r="U415" s="12" t="n">
        <x:f>E415*R415</x:f>
        <x:v>2399.88</x:v>
      </x:c>
      <x:c r="V415" t="str">
        <x:f>IF(AND(C415="Active",Q415=0),"Active Zero Sales","Not Zero Sales")</x:f>
        <x:v>Not Zero Sales</x:v>
      </x:c>
      <x:c r="W415" s="12" t="n">
        <x:f>IF(V415="Active Zero Sales",U415,0)</x:f>
        <x:v>0</x:v>
      </x:c>
      <x:c r="X415" t="str">
        <x:f>IF(E415&lt;25,"Low &lt; 25",IF(E415&lt;100,"Medium 25-99",IF(E415&lt;300,"High 100-299","Premium 300+")))</x:f>
        <x:v>High 100-299</x:v>
      </x:c>
      <x:c r="Y415" t="n">
        <x:f>IF(C415="Active",1,0)</x:f>
        <x:v>1</x:v>
      </x:c>
    </x:row>
    <x:row r="416">
      <x:c r="A416" t="str">
        <x:v>SKU00415</x:v>
      </x:c>
      <x:c r="B416" t="str">
        <x:v>Sample Product 00415</x:v>
      </x:c>
      <x:c r="C416" t="str">
        <x:v>Active</x:v>
      </x:c>
      <x:c r="D416" t="str">
        <x:v>2026-01</x:v>
      </x:c>
      <x:c r="E416" s="12" t="n">
        <x:v>139.93</x:v>
      </x:c>
      <x:c r="F416" s="10" t="n">
        <x:v>0.316</x:v>
      </x:c>
      <x:c r="G416" t="str">
        <x:v>Nutrition</x:v>
      </x:c>
      <x:c r="H416" t="str">
        <x:v>Adult Nutrition</x:v>
      </x:c>
      <x:c r="I416" t="str">
        <x:v>MFG017</x:v>
      </x:c>
      <x:c r="J416" t="str">
        <x:v>Manufacturer 017</x:v>
      </x:c>
      <x:c r="K416" t="str">
        <x:v>SUP009</x:v>
      </x:c>
      <x:c r="L416" t="str">
        <x:v>Supplier 009</x:v>
      </x:c>
      <x:c r="M416" t="str">
        <x:v>REG-665320</x:v>
      </x:c>
      <x:c r="N416" t="str">
        <x:v>Generic Ingredient 127</x:v>
      </x:c>
      <x:c r="O416" t="str">
        <x:v>Pharmacy Only</x:v>
      </x:c>
      <x:c r="P416" t="n">
        <x:v>22</x:v>
      </x:c>
      <x:c r="Q416" t="n">
        <x:v>12</x:v>
      </x:c>
      <x:c r="R416" t="n">
        <x:v>3</x:v>
      </x:c>
      <x:c r="S416" s="12" t="n">
        <x:f>E416*Q416</x:f>
        <x:v>1679.16</x:v>
      </x:c>
      <x:c r="T416" s="12" t="n">
        <x:f>ROUND(S416*F416+0.000000001,2)</x:f>
        <x:v>530.61</x:v>
      </x:c>
      <x:c r="U416" s="12" t="n">
        <x:f>E416*R416</x:f>
        <x:v>419.79</x:v>
      </x:c>
      <x:c r="V416" t="str">
        <x:f>IF(AND(C416="Active",Q416=0),"Active Zero Sales","Not Zero Sales")</x:f>
        <x:v>Not Zero Sales</x:v>
      </x:c>
      <x:c r="W416" s="12" t="n">
        <x:f>IF(V416="Active Zero Sales",U416,0)</x:f>
        <x:v>0</x:v>
      </x:c>
      <x:c r="X416" t="str">
        <x:f>IF(E416&lt;25,"Low &lt; 25",IF(E416&lt;100,"Medium 25-99",IF(E416&lt;300,"High 100-299","Premium 300+")))</x:f>
        <x:v>High 100-299</x:v>
      </x:c>
      <x:c r="Y416" t="n">
        <x:f>IF(C416="Active",1,0)</x:f>
        <x:v>1</x:v>
      </x:c>
    </x:row>
    <x:row r="417">
      <x:c r="A417" t="str">
        <x:v>SKU00416</x:v>
      </x:c>
      <x:c r="B417" t="str">
        <x:v>Sample Product 00416</x:v>
      </x:c>
      <x:c r="C417" t="str">
        <x:v>Active</x:v>
      </x:c>
      <x:c r="D417" t="str">
        <x:v>2026-04</x:v>
      </x:c>
      <x:c r="E417" s="12" t="n">
        <x:v>6.4</x:v>
      </x:c>
      <x:c r="F417" s="10" t="n">
        <x:v>0.328</x:v>
      </x:c>
      <x:c r="G417" t="str">
        <x:v>Personal Care</x:v>
      </x:c>
      <x:c r="H417" t="str">
        <x:v>Skin Care</x:v>
      </x:c>
      <x:c r="I417" t="str">
        <x:v>MFG010</x:v>
      </x:c>
      <x:c r="J417" t="str">
        <x:v>Manufacturer 010</x:v>
      </x:c>
      <x:c r="K417" t="str">
        <x:v>SUP026</x:v>
      </x:c>
      <x:c r="L417" t="str">
        <x:v>Supplier 026</x:v>
      </x:c>
      <x:c r="M417" t="str">
        <x:v>REG-164764</x:v>
      </x:c>
      <x:c r="N417" t="str">
        <x:v>Generic Ingredient 036</x:v>
      </x:c>
      <x:c r="O417" t="str">
        <x:v>General Sale</x:v>
      </x:c>
      <x:c r="P417" t="n">
        <x:v>14</x:v>
      </x:c>
      <x:c r="Q417" t="n">
        <x:v>22</x:v>
      </x:c>
      <x:c r="R417" t="n">
        <x:v>0</x:v>
      </x:c>
      <x:c r="S417" s="12" t="n">
        <x:f>E417*Q417</x:f>
        <x:v>140.8</x:v>
      </x:c>
      <x:c r="T417" s="12" t="n">
        <x:f>ROUND(S417*F417+0.000000001,2)</x:f>
        <x:v>46.18</x:v>
      </x:c>
      <x:c r="U417" s="12" t="n">
        <x:f>E417*R417</x:f>
        <x:v>0</x:v>
      </x:c>
      <x:c r="V417" t="str">
        <x:f>IF(AND(C417="Active",Q417=0),"Active Zero Sales","Not Zero Sales")</x:f>
        <x:v>Not Zero Sales</x:v>
      </x:c>
      <x:c r="W417" s="12" t="n">
        <x:f>IF(V417="Active Zero Sales",U417,0)</x:f>
        <x:v>0</x:v>
      </x:c>
      <x:c r="X417" t="str">
        <x:f>IF(E417&lt;25,"Low &lt; 25",IF(E417&lt;100,"Medium 25-99",IF(E417&lt;300,"High 100-299","Premium 300+")))</x:f>
        <x:v>Low &lt; 25</x:v>
      </x:c>
      <x:c r="Y417" t="n">
        <x:f>IF(C417="Active",1,0)</x:f>
        <x:v>1</x:v>
      </x:c>
    </x:row>
    <x:row r="418">
      <x:c r="A418" t="str">
        <x:v>SKU00417</x:v>
      </x:c>
      <x:c r="B418" t="str">
        <x:v>Sample Product 00417</x:v>
      </x:c>
      <x:c r="C418" t="str">
        <x:v>Active</x:v>
      </x:c>
      <x:c r="D418" t="str">
        <x:v>2026-03</x:v>
      </x:c>
      <x:c r="E418" s="12" t="n">
        <x:v>72.37</x:v>
      </x:c>
      <x:c r="F418" s="10" t="n">
        <x:v>0.329</x:v>
      </x:c>
      <x:c r="G418" t="str">
        <x:v>General Merchandise</x:v>
      </x:c>
      <x:c r="H418" t="str">
        <x:v>Seasonal Care</x:v>
      </x:c>
      <x:c r="I418" t="str">
        <x:v>MFG014</x:v>
      </x:c>
      <x:c r="J418" t="str">
        <x:v>Manufacturer 014</x:v>
      </x:c>
      <x:c r="K418" t="str">
        <x:v>SUP030</x:v>
      </x:c>
      <x:c r="L418" t="str">
        <x:v>Supplier 030</x:v>
      </x:c>
      <x:c r="M418" t="str">
        <x:v>REG-261343</x:v>
      </x:c>
      <x:c r="N418" t="str">
        <x:v>Generic Ingredient 006</x:v>
      </x:c>
      <x:c r="O418" t="str">
        <x:v>General Sale</x:v>
      </x:c>
      <x:c r="P418" t="n">
        <x:v>67</x:v>
      </x:c>
      <x:c r="Q418" t="n">
        <x:v>0</x:v>
      </x:c>
      <x:c r="R418" t="n">
        <x:v>34</x:v>
      </x:c>
      <x:c r="S418" s="12" t="n">
        <x:f>E418*Q418</x:f>
        <x:v>0</x:v>
      </x:c>
      <x:c r="T418" s="12" t="n">
        <x:f>ROUND(S418*F418+0.000000001,2)</x:f>
        <x:v>0</x:v>
      </x:c>
      <x:c r="U418" s="12" t="n">
        <x:f>E418*R418</x:f>
        <x:v>2460.58</x:v>
      </x:c>
      <x:c r="V418" t="str">
        <x:f>IF(AND(C418="Active",Q418=0),"Active Zero Sales","Not Zero Sales")</x:f>
        <x:v>Active Zero Sales</x:v>
      </x:c>
      <x:c r="W418" s="12" t="n">
        <x:f>IF(V418="Active Zero Sales",U418,0)</x:f>
        <x:v>2460.58</x:v>
      </x:c>
      <x:c r="X418" t="str">
        <x:f>IF(E418&lt;25,"Low &lt; 25",IF(E418&lt;100,"Medium 25-99",IF(E418&lt;300,"High 100-299","Premium 300+")))</x:f>
        <x:v>Medium 25-99</x:v>
      </x:c>
      <x:c r="Y418" t="n">
        <x:f>IF(C418="Active",1,0)</x:f>
        <x:v>1</x:v>
      </x:c>
    </x:row>
    <x:row r="419">
      <x:c r="A419" t="str">
        <x:v>SKU00418</x:v>
      </x:c>
      <x:c r="B419" t="str">
        <x:v>Sample Product 00418</x:v>
      </x:c>
      <x:c r="C419" t="str">
        <x:v>Active</x:v>
      </x:c>
      <x:c r="D419" t="str">
        <x:v>2026-01</x:v>
      </x:c>
      <x:c r="E419" s="12" t="n">
        <x:v>105.7</x:v>
      </x:c>
      <x:c r="F419" s="10" t="n">
        <x:v>0.419</x:v>
      </x:c>
      <x:c r="G419" t="str">
        <x:v>General Merchandise</x:v>
      </x:c>
      <x:c r="H419" t="str">
        <x:v>Travel Health</x:v>
      </x:c>
      <x:c r="I419" t="str">
        <x:v>MFG002</x:v>
      </x:c>
      <x:c r="J419" t="str">
        <x:v>Manufacturer 002</x:v>
      </x:c>
      <x:c r="K419" t="str">
        <x:v>SUP019</x:v>
      </x:c>
      <x:c r="L419" t="str">
        <x:v>Supplier 019</x:v>
      </x:c>
      <x:c r="M419" t="str">
        <x:v>REG-904399</x:v>
      </x:c>
      <x:c r="N419" t="str">
        <x:v>Generic Ingredient 119</x:v>
      </x:c>
      <x:c r="O419" t="str">
        <x:v>General Sale</x:v>
      </x:c>
      <x:c r="P419" t="n">
        <x:v>54</x:v>
      </x:c>
      <x:c r="Q419" t="n">
        <x:v>0</x:v>
      </x:c>
      <x:c r="R419" t="n">
        <x:v>47</x:v>
      </x:c>
      <x:c r="S419" s="12" t="n">
        <x:f>E419*Q419</x:f>
        <x:v>0</x:v>
      </x:c>
      <x:c r="T419" s="12" t="n">
        <x:f>ROUND(S419*F419+0.000000001,2)</x:f>
        <x:v>0</x:v>
      </x:c>
      <x:c r="U419" s="12" t="n">
        <x:f>E419*R419</x:f>
        <x:v>4967.900000000001</x:v>
      </x:c>
      <x:c r="V419" t="str">
        <x:f>IF(AND(C419="Active",Q419=0),"Active Zero Sales","Not Zero Sales")</x:f>
        <x:v>Active Zero Sales</x:v>
      </x:c>
      <x:c r="W419" s="12" t="n">
        <x:f>IF(V419="Active Zero Sales",U419,0)</x:f>
        <x:v>4967.900000000001</x:v>
      </x:c>
      <x:c r="X419" t="str">
        <x:f>IF(E419&lt;25,"Low &lt; 25",IF(E419&lt;100,"Medium 25-99",IF(E419&lt;300,"High 100-299","Premium 300+")))</x:f>
        <x:v>High 100-299</x:v>
      </x:c>
      <x:c r="Y419" t="n">
        <x:f>IF(C419="Active",1,0)</x:f>
        <x:v>1</x:v>
      </x:c>
    </x:row>
    <x:row r="420">
      <x:c r="A420" t="str">
        <x:v>SKU00419</x:v>
      </x:c>
      <x:c r="B420" t="str">
        <x:v>Sample Product 00419</x:v>
      </x:c>
      <x:c r="C420" t="str">
        <x:v>Active</x:v>
      </x:c>
      <x:c r="D420" t="str">
        <x:v>2026-01</x:v>
      </x:c>
      <x:c r="E420" s="12" t="n">
        <x:v>216.03</x:v>
      </x:c>
      <x:c r="F420" s="10" t="n">
        <x:v>0.454</x:v>
      </x:c>
      <x:c r="G420" t="str">
        <x:v>Personal Care</x:v>
      </x:c>
      <x:c r="H420" t="str">
        <x:v>Hygiene</x:v>
      </x:c>
      <x:c r="I420" t="str">
        <x:v>MFG006</x:v>
      </x:c>
      <x:c r="J420" t="str">
        <x:v>Manufacturer 006</x:v>
      </x:c>
      <x:c r="K420" t="str">
        <x:v>SUP024</x:v>
      </x:c>
      <x:c r="L420" t="str">
        <x:v>Supplier 024</x:v>
      </x:c>
      <x:c r="M420" t="str">
        <x:v>REG-197811</x:v>
      </x:c>
      <x:c r="N420" t="str">
        <x:v>Generic Ingredient 077</x:v>
      </x:c>
      <x:c r="O420" t="str">
        <x:v>General Sale</x:v>
      </x:c>
      <x:c r="P420" t="n">
        <x:v>51</x:v>
      </x:c>
      <x:c r="Q420" t="n">
        <x:v>25</x:v>
      </x:c>
      <x:c r="R420" t="n">
        <x:v>21</x:v>
      </x:c>
      <x:c r="S420" s="12" t="n">
        <x:f>E420*Q420</x:f>
        <x:v>5400.75</x:v>
      </x:c>
      <x:c r="T420" s="12" t="n">
        <x:f>ROUND(S420*F420+0.000000001,2)</x:f>
        <x:v>2451.94</x:v>
      </x:c>
      <x:c r="U420" s="12" t="n">
        <x:f>E420*R420</x:f>
        <x:v>4536.63</x:v>
      </x:c>
      <x:c r="V420" t="str">
        <x:f>IF(AND(C420="Active",Q420=0),"Active Zero Sales","Not Zero Sales")</x:f>
        <x:v>Not Zero Sales</x:v>
      </x:c>
      <x:c r="W420" s="12" t="n">
        <x:f>IF(V420="Active Zero Sales",U420,0)</x:f>
        <x:v>0</x:v>
      </x:c>
      <x:c r="X420" t="str">
        <x:f>IF(E420&lt;25,"Low &lt; 25",IF(E420&lt;100,"Medium 25-99",IF(E420&lt;300,"High 100-299","Premium 300+")))</x:f>
        <x:v>High 100-299</x:v>
      </x:c>
      <x:c r="Y420" t="n">
        <x:f>IF(C420="Active",1,0)</x:f>
        <x:v>1</x:v>
      </x:c>
    </x:row>
    <x:row r="421">
      <x:c r="A421" t="str">
        <x:v>SKU00420</x:v>
      </x:c>
      <x:c r="B421" t="str">
        <x:v>Sample Product 00420</x:v>
      </x:c>
      <x:c r="C421" t="str">
        <x:v>Active</x:v>
      </x:c>
      <x:c r="D421" t="str">
        <x:v>2026-06</x:v>
      </x:c>
      <x:c r="E421" s="12" t="n">
        <x:v>23.29</x:v>
      </x:c>
      <x:c r="F421" s="10" t="n">
        <x:v>0.199</x:v>
      </x:c>
      <x:c r="G421" t="str">
        <x:v>Medical Devices</x:v>
      </x:c>
      <x:c r="H421" t="str">
        <x:v>Monitoring Supplies</x:v>
      </x:c>
      <x:c r="I421" t="str">
        <x:v>MFG004</x:v>
      </x:c>
      <x:c r="J421" t="str">
        <x:v>Manufacturer 004</x:v>
      </x:c>
      <x:c r="K421" t="str">
        <x:v>SUP021</x:v>
      </x:c>
      <x:c r="L421" t="str">
        <x:v>Supplier 021</x:v>
      </x:c>
      <x:c r="M421" t="str">
        <x:v>REG-481399</x:v>
      </x:c>
      <x:c r="N421" t="str">
        <x:v>Generic Ingredient 179</x:v>
      </x:c>
      <x:c r="O421" t="str">
        <x:v>General Sale</x:v>
      </x:c>
      <x:c r="P421" t="n">
        <x:v>35</x:v>
      </x:c>
      <x:c r="Q421" t="n">
        <x:v>24</x:v>
      </x:c>
      <x:c r="R421" t="n">
        <x:v>8</x:v>
      </x:c>
      <x:c r="S421" s="12" t="n">
        <x:f>E421*Q421</x:f>
        <x:v>558.96</x:v>
      </x:c>
      <x:c r="T421" s="12" t="n">
        <x:f>ROUND(S421*F421+0.000000001,2)</x:f>
        <x:v>111.23</x:v>
      </x:c>
      <x:c r="U421" s="12" t="n">
        <x:f>E421*R421</x:f>
        <x:v>186.32</x:v>
      </x:c>
      <x:c r="V421" t="str">
        <x:f>IF(AND(C421="Active",Q421=0),"Active Zero Sales","Not Zero Sales")</x:f>
        <x:v>Not Zero Sales</x:v>
      </x:c>
      <x:c r="W421" s="12" t="n">
        <x:f>IF(V421="Active Zero Sales",U421,0)</x:f>
        <x:v>0</x:v>
      </x:c>
      <x:c r="X421" t="str">
        <x:f>IF(E421&lt;25,"Low &lt; 25",IF(E421&lt;100,"Medium 25-99",IF(E421&lt;300,"High 100-299","Premium 300+")))</x:f>
        <x:v>Low &lt; 25</x:v>
      </x:c>
      <x:c r="Y421" t="n">
        <x:f>IF(C421="Active",1,0)</x:f>
        <x:v>1</x:v>
      </x:c>
    </x:row>
    <x:row r="422">
      <x:c r="A422" t="str">
        <x:v>SKU00421</x:v>
      </x:c>
      <x:c r="B422" t="str">
        <x:v>Sample Product 00421</x:v>
      </x:c>
      <x:c r="C422" t="str">
        <x:v>Blocked</x:v>
      </x:c>
      <x:c r="D422" t="str">
        <x:v>2026-04</x:v>
      </x:c>
      <x:c r="E422" s="12" t="n">
        <x:v>89.41</x:v>
      </x:c>
      <x:c r="F422" s="10" t="n">
        <x:v>0.288</x:v>
      </x:c>
      <x:c r="G422" t="str">
        <x:v>General Merchandise</x:v>
      </x:c>
      <x:c r="H422" t="str">
        <x:v>Seasonal Care</x:v>
      </x:c>
      <x:c r="I422" t="str">
        <x:v>MFG012</x:v>
      </x:c>
      <x:c r="J422" t="str">
        <x:v>Manufacturer 012</x:v>
      </x:c>
      <x:c r="K422" t="str">
        <x:v>SUP009</x:v>
      </x:c>
      <x:c r="L422" t="str">
        <x:v>Supplier 009</x:v>
      </x:c>
      <x:c r="M422" t="str">
        <x:v>REG-245185</x:v>
      </x:c>
      <x:c r="N422" t="str">
        <x:v>Generic Ingredient 179</x:v>
      </x:c>
      <x:c r="O422" t="str">
        <x:v>Pharmacy Only</x:v>
      </x:c>
      <x:c r="P422" t="n">
        <x:v>47</x:v>
      </x:c>
      <x:c r="Q422" t="n">
        <x:v>24</x:v>
      </x:c>
      <x:c r="R422" t="n">
        <x:v>0</x:v>
      </x:c>
      <x:c r="S422" s="12" t="n">
        <x:f>E422*Q422</x:f>
        <x:v>2145.84</x:v>
      </x:c>
      <x:c r="T422" s="12" t="n">
        <x:f>ROUND(S422*F422+0.000000001,2)</x:f>
        <x:v>618</x:v>
      </x:c>
      <x:c r="U422" s="12" t="n">
        <x:f>E422*R422</x:f>
        <x:v>0</x:v>
      </x:c>
      <x:c r="V422" t="str">
        <x:f>IF(AND(C422="Active",Q422=0),"Active Zero Sales","Not Zero Sales")</x:f>
        <x:v>Not Zero Sales</x:v>
      </x:c>
      <x:c r="W422" s="12" t="n">
        <x:f>IF(V422="Active Zero Sales",U422,0)</x:f>
        <x:v>0</x:v>
      </x:c>
      <x:c r="X422" t="str">
        <x:f>IF(E422&lt;25,"Low &lt; 25",IF(E422&lt;100,"Medium 25-99",IF(E422&lt;300,"High 100-299","Premium 300+")))</x:f>
        <x:v>Medium 25-99</x:v>
      </x:c>
      <x:c r="Y422" t="n">
        <x:f>IF(C422="Active",1,0)</x:f>
        <x:v>0</x:v>
      </x:c>
    </x:row>
    <x:row r="423">
      <x:c r="A423" t="str">
        <x:v>SKU00422</x:v>
      </x:c>
      <x:c r="B423" t="str">
        <x:v>Sample Product 00422</x:v>
      </x:c>
      <x:c r="C423" t="str">
        <x:v>Blocked</x:v>
      </x:c>
      <x:c r="D423" t="str">
        <x:v>2026-04</x:v>
      </x:c>
      <x:c r="E423" s="12" t="n">
        <x:v>30.18</x:v>
      </x:c>
      <x:c r="F423" s="10" t="n">
        <x:v>0.512</x:v>
      </x:c>
      <x:c r="G423" t="str">
        <x:v>OTC &amp; Wellness</x:v>
      </x:c>
      <x:c r="H423" t="str">
        <x:v>Pain Relief</x:v>
      </x:c>
      <x:c r="I423" t="str">
        <x:v>MFG020</x:v>
      </x:c>
      <x:c r="J423" t="str">
        <x:v>Manufacturer 020</x:v>
      </x:c>
      <x:c r="K423" t="str">
        <x:v>SUP020</x:v>
      </x:c>
      <x:c r="L423" t="str">
        <x:v>Supplier 020</x:v>
      </x:c>
      <x:c r="M423" t="str">
        <x:v>REG-498559</x:v>
      </x:c>
      <x:c r="N423" t="str">
        <x:v>Generic Ingredient 100</x:v>
      </x:c>
      <x:c r="O423" t="str">
        <x:v>Pharmacy Only</x:v>
      </x:c>
      <x:c r="P423" t="n">
        <x:v>2</x:v>
      </x:c>
      <x:c r="Q423" t="n">
        <x:v>0</x:v>
      </x:c>
      <x:c r="R423" t="n">
        <x:v>0</x:v>
      </x:c>
      <x:c r="S423" s="12" t="n">
        <x:f>E423*Q423</x:f>
        <x:v>0</x:v>
      </x:c>
      <x:c r="T423" s="12" t="n">
        <x:f>ROUND(S423*F423+0.000000001,2)</x:f>
        <x:v>0</x:v>
      </x:c>
      <x:c r="U423" s="12" t="n">
        <x:f>E423*R423</x:f>
        <x:v>0</x:v>
      </x:c>
      <x:c r="V423" t="str">
        <x:f>IF(AND(C423="Active",Q423=0),"Active Zero Sales","Not Zero Sales")</x:f>
        <x:v>Not Zero Sales</x:v>
      </x:c>
      <x:c r="W423" s="12" t="n">
        <x:f>IF(V423="Active Zero Sales",U423,0)</x:f>
        <x:v>0</x:v>
      </x:c>
      <x:c r="X423" t="str">
        <x:f>IF(E423&lt;25,"Low &lt; 25",IF(E423&lt;100,"Medium 25-99",IF(E423&lt;300,"High 100-299","Premium 300+")))</x:f>
        <x:v>Medium 25-99</x:v>
      </x:c>
      <x:c r="Y423" t="n">
        <x:f>IF(C423="Active",1,0)</x:f>
        <x:v>0</x:v>
      </x:c>
    </x:row>
    <x:row r="424">
      <x:c r="A424" t="str">
        <x:v>SKU00423</x:v>
      </x:c>
      <x:c r="B424" t="str">
        <x:v>Sample Product 00423</x:v>
      </x:c>
      <x:c r="C424" t="str">
        <x:v>Active</x:v>
      </x:c>
      <x:c r="D424" t="str">
        <x:v>2026-03</x:v>
      </x:c>
      <x:c r="E424" s="12" t="n">
        <x:v>155.86</x:v>
      </x:c>
      <x:c r="F424" s="10" t="n">
        <x:v>0.247</x:v>
      </x:c>
      <x:c r="G424" t="str">
        <x:v>Medical Devices</x:v>
      </x:c>
      <x:c r="H424" t="str">
        <x:v>Mobility Aids</x:v>
      </x:c>
      <x:c r="I424" t="str">
        <x:v>MFG008</x:v>
      </x:c>
      <x:c r="J424" t="str">
        <x:v>Manufacturer 008</x:v>
      </x:c>
      <x:c r="K424" t="str">
        <x:v>SUP011</x:v>
      </x:c>
      <x:c r="L424" t="str">
        <x:v>Supplier 011</x:v>
      </x:c>
      <x:c r="M424" t="str">
        <x:v>REG-833804</x:v>
      </x:c>
      <x:c r="N424" t="str">
        <x:v>Generic Ingredient 114</x:v>
      </x:c>
      <x:c r="O424" t="str">
        <x:v>Pharmacy Only</x:v>
      </x:c>
      <x:c r="P424" t="n">
        <x:v>54</x:v>
      </x:c>
      <x:c r="Q424" t="n">
        <x:v>0</x:v>
      </x:c>
      <x:c r="R424" t="n">
        <x:v>39</x:v>
      </x:c>
      <x:c r="S424" s="12" t="n">
        <x:f>E424*Q424</x:f>
        <x:v>0</x:v>
      </x:c>
      <x:c r="T424" s="12" t="n">
        <x:f>ROUND(S424*F424+0.000000001,2)</x:f>
        <x:v>0</x:v>
      </x:c>
      <x:c r="U424" s="12" t="n">
        <x:f>E424*R424</x:f>
        <x:v>6078.540000000001</x:v>
      </x:c>
      <x:c r="V424" t="str">
        <x:f>IF(AND(C424="Active",Q424=0),"Active Zero Sales","Not Zero Sales")</x:f>
        <x:v>Active Zero Sales</x:v>
      </x:c>
      <x:c r="W424" s="12" t="n">
        <x:f>IF(V424="Active Zero Sales",U424,0)</x:f>
        <x:v>6078.540000000001</x:v>
      </x:c>
      <x:c r="X424" t="str">
        <x:f>IF(E424&lt;25,"Low &lt; 25",IF(E424&lt;100,"Medium 25-99",IF(E424&lt;300,"High 100-299","Premium 300+")))</x:f>
        <x:v>High 100-299</x:v>
      </x:c>
      <x:c r="Y424" t="n">
        <x:f>IF(C424="Active",1,0)</x:f>
        <x:v>1</x:v>
      </x:c>
    </x:row>
    <x:row r="425">
      <x:c r="A425" t="str">
        <x:v>SKU00424</x:v>
      </x:c>
      <x:c r="B425" t="str">
        <x:v>Sample Product 00424</x:v>
      </x:c>
      <x:c r="C425" t="str">
        <x:v>Active</x:v>
      </x:c>
      <x:c r="D425" t="str">
        <x:v>2026-01</x:v>
      </x:c>
      <x:c r="E425" s="12" t="n">
        <x:v>18.1</x:v>
      </x:c>
      <x:c r="F425" s="10" t="n">
        <x:v>0.282</x:v>
      </x:c>
      <x:c r="G425" t="str">
        <x:v>Nutrition</x:v>
      </x:c>
      <x:c r="H425" t="str">
        <x:v>Hydration</x:v>
      </x:c>
      <x:c r="I425" t="str">
        <x:v>MFG006</x:v>
      </x:c>
      <x:c r="J425" t="str">
        <x:v>Manufacturer 006</x:v>
      </x:c>
      <x:c r="K425" t="str">
        <x:v>SUP023</x:v>
      </x:c>
      <x:c r="L425" t="str">
        <x:v>Supplier 023</x:v>
      </x:c>
      <x:c r="M425" t="str">
        <x:v>REG-731495</x:v>
      </x:c>
      <x:c r="N425" t="str">
        <x:v>Generic Ingredient 048</x:v>
      </x:c>
      <x:c r="O425" t="str">
        <x:v>General Sale</x:v>
      </x:c>
      <x:c r="P425" t="n">
        <x:v>31</x:v>
      </x:c>
      <x:c r="Q425" t="n">
        <x:v>25</x:v>
      </x:c>
      <x:c r="R425" t="n">
        <x:v>4</x:v>
      </x:c>
      <x:c r="S425" s="12" t="n">
        <x:f>E425*Q425</x:f>
        <x:v>452.50000000000006</x:v>
      </x:c>
      <x:c r="T425" s="12" t="n">
        <x:f>ROUND(S425*F425+0.000000001,2)</x:f>
        <x:v>127.61</x:v>
      </x:c>
      <x:c r="U425" s="12" t="n">
        <x:f>E425*R425</x:f>
        <x:v>72.4</x:v>
      </x:c>
      <x:c r="V425" t="str">
        <x:f>IF(AND(C425="Active",Q425=0),"Active Zero Sales","Not Zero Sales")</x:f>
        <x:v>Not Zero Sales</x:v>
      </x:c>
      <x:c r="W425" s="12" t="n">
        <x:f>IF(V425="Active Zero Sales",U425,0)</x:f>
        <x:v>0</x:v>
      </x:c>
      <x:c r="X425" t="str">
        <x:f>IF(E425&lt;25,"Low &lt; 25",IF(E425&lt;100,"Medium 25-99",IF(E425&lt;300,"High 100-299","Premium 300+")))</x:f>
        <x:v>Low &lt; 25</x:v>
      </x:c>
      <x:c r="Y425" t="n">
        <x:f>IF(C425="Active",1,0)</x:f>
        <x:v>1</x:v>
      </x:c>
    </x:row>
    <x:row r="426">
      <x:c r="A426" t="str">
        <x:v>SKU00425</x:v>
      </x:c>
      <x:c r="B426" t="str">
        <x:v>Sample Product 00425</x:v>
      </x:c>
      <x:c r="C426" t="str">
        <x:v>Blocked</x:v>
      </x:c>
      <x:c r="D426" t="str">
        <x:v>2026-01</x:v>
      </x:c>
      <x:c r="E426" s="12" t="n">
        <x:v>12.45</x:v>
      </x:c>
      <x:c r="F426" s="10" t="n">
        <x:v>0.405</x:v>
      </x:c>
      <x:c r="G426" t="str">
        <x:v>Personal Care</x:v>
      </x:c>
      <x:c r="H426" t="str">
        <x:v>Hygiene</x:v>
      </x:c>
      <x:c r="I426" t="str">
        <x:v>MFG007</x:v>
      </x:c>
      <x:c r="J426" t="str">
        <x:v>Manufacturer 007</x:v>
      </x:c>
      <x:c r="K426" t="str">
        <x:v>SUP028</x:v>
      </x:c>
      <x:c r="L426" t="str">
        <x:v>Supplier 028</x:v>
      </x:c>
      <x:c r="M426" t="str">
        <x:v>REG-893874</x:v>
      </x:c>
      <x:c r="N426" t="str">
        <x:v>Generic Ingredient 134</x:v>
      </x:c>
      <x:c r="O426" t="str">
        <x:v>General Sale</x:v>
      </x:c>
      <x:c r="P426" t="n">
        <x:v>0</x:v>
      </x:c>
      <x:c r="Q426" t="n">
        <x:v>0</x:v>
      </x:c>
      <x:c r="R426" t="n">
        <x:v>0</x:v>
      </x:c>
      <x:c r="S426" s="12" t="n">
        <x:f>E426*Q426</x:f>
        <x:v>0</x:v>
      </x:c>
      <x:c r="T426" s="12" t="n">
        <x:f>ROUND(S426*F426+0.000000001,2)</x:f>
        <x:v>0</x:v>
      </x:c>
      <x:c r="U426" s="12" t="n">
        <x:f>E426*R426</x:f>
        <x:v>0</x:v>
      </x:c>
      <x:c r="V426" t="str">
        <x:f>IF(AND(C426="Active",Q426=0),"Active Zero Sales","Not Zero Sales")</x:f>
        <x:v>Not Zero Sales</x:v>
      </x:c>
      <x:c r="W426" s="12" t="n">
        <x:f>IF(V426="Active Zero Sales",U426,0)</x:f>
        <x:v>0</x:v>
      </x:c>
      <x:c r="X426" t="str">
        <x:f>IF(E426&lt;25,"Low &lt; 25",IF(E426&lt;100,"Medium 25-99",IF(E426&lt;300,"High 100-299","Premium 300+")))</x:f>
        <x:v>Low &lt; 25</x:v>
      </x:c>
      <x:c r="Y426" t="n">
        <x:f>IF(C426="Active",1,0)</x:f>
        <x:v>0</x:v>
      </x:c>
    </x:row>
    <x:row r="427">
      <x:c r="A427" t="str">
        <x:v>SKU00426</x:v>
      </x:c>
      <x:c r="B427" t="str">
        <x:v>Sample Product 00426</x:v>
      </x:c>
      <x:c r="C427" t="str">
        <x:v>Active</x:v>
      </x:c>
      <x:c r="D427" t="str">
        <x:v>2026-01</x:v>
      </x:c>
      <x:c r="E427" s="12" t="n">
        <x:v>105.42</x:v>
      </x:c>
      <x:c r="F427" s="10" t="n">
        <x:v>0.317</x:v>
      </x:c>
      <x:c r="G427" t="str">
        <x:v>Nutrition</x:v>
      </x:c>
      <x:c r="H427" t="str">
        <x:v>Sports Nutrition</x:v>
      </x:c>
      <x:c r="I427" t="str">
        <x:v>MFG011</x:v>
      </x:c>
      <x:c r="J427" t="str">
        <x:v>Manufacturer 011</x:v>
      </x:c>
      <x:c r="K427" t="str">
        <x:v>SUP023</x:v>
      </x:c>
      <x:c r="L427" t="str">
        <x:v>Supplier 023</x:v>
      </x:c>
      <x:c r="M427" t="str">
        <x:v>REG-903311</x:v>
      </x:c>
      <x:c r="N427" t="str">
        <x:v>Generic Ingredient 009</x:v>
      </x:c>
      <x:c r="O427" t="str">
        <x:v>General Sale</x:v>
      </x:c>
      <x:c r="P427" t="n">
        <x:v>42</x:v>
      </x:c>
      <x:c r="Q427" t="n">
        <x:v>16</x:v>
      </x:c>
      <x:c r="R427" t="n">
        <x:v>0</x:v>
      </x:c>
      <x:c r="S427" s="12" t="n">
        <x:f>E427*Q427</x:f>
        <x:v>1686.72</x:v>
      </x:c>
      <x:c r="T427" s="12" t="n">
        <x:f>ROUND(S427*F427+0.000000001,2)</x:f>
        <x:v>534.69</x:v>
      </x:c>
      <x:c r="U427" s="12" t="n">
        <x:f>E427*R427</x:f>
        <x:v>0</x:v>
      </x:c>
      <x:c r="V427" t="str">
        <x:f>IF(AND(C427="Active",Q427=0),"Active Zero Sales","Not Zero Sales")</x:f>
        <x:v>Not Zero Sales</x:v>
      </x:c>
      <x:c r="W427" s="12" t="n">
        <x:f>IF(V427="Active Zero Sales",U427,0)</x:f>
        <x:v>0</x:v>
      </x:c>
      <x:c r="X427" t="str">
        <x:f>IF(E427&lt;25,"Low &lt; 25",IF(E427&lt;100,"Medium 25-99",IF(E427&lt;300,"High 100-299","Premium 300+")))</x:f>
        <x:v>High 100-299</x:v>
      </x:c>
      <x:c r="Y427" t="n">
        <x:f>IF(C427="Active",1,0)</x:f>
        <x:v>1</x:v>
      </x:c>
    </x:row>
    <x:row r="428">
      <x:c r="A428" t="str">
        <x:v>SKU00427</x:v>
      </x:c>
      <x:c r="B428" t="str">
        <x:v>Sample Product 00427</x:v>
      </x:c>
      <x:c r="C428" t="str">
        <x:v>Active</x:v>
      </x:c>
      <x:c r="D428" t="str">
        <x:v>2026-06</x:v>
      </x:c>
      <x:c r="E428" s="12" t="n">
        <x:v>40.33</x:v>
      </x:c>
      <x:c r="F428" s="10" t="n">
        <x:v>0.366</x:v>
      </x:c>
      <x:c r="G428" t="str">
        <x:v>Personal Care</x:v>
      </x:c>
      <x:c r="H428" t="str">
        <x:v>Oral Care</x:v>
      </x:c>
      <x:c r="I428" t="str">
        <x:v>MFG004</x:v>
      </x:c>
      <x:c r="J428" t="str">
        <x:v>Manufacturer 004</x:v>
      </x:c>
      <x:c r="K428" t="str">
        <x:v>SUP008</x:v>
      </x:c>
      <x:c r="L428" t="str">
        <x:v>Supplier 008</x:v>
      </x:c>
      <x:c r="M428" t="str">
        <x:v>REG-768097</x:v>
      </x:c>
      <x:c r="N428" t="str">
        <x:v>Generic Ingredient 061</x:v>
      </x:c>
      <x:c r="O428" t="str">
        <x:v>General Sale</x:v>
      </x:c>
      <x:c r="P428" t="n">
        <x:v>75</x:v>
      </x:c>
      <x:c r="Q428" t="n">
        <x:v>38</x:v>
      </x:c>
      <x:c r="R428" t="n">
        <x:v>11</x:v>
      </x:c>
      <x:c r="S428" s="12" t="n">
        <x:f>E428*Q428</x:f>
        <x:v>1532.54</x:v>
      </x:c>
      <x:c r="T428" s="12" t="n">
        <x:f>ROUND(S428*F428+0.000000001,2)</x:f>
        <x:v>560.91</x:v>
      </x:c>
      <x:c r="U428" s="12" t="n">
        <x:f>E428*R428</x:f>
        <x:v>443.63</x:v>
      </x:c>
      <x:c r="V428" t="str">
        <x:f>IF(AND(C428="Active",Q428=0),"Active Zero Sales","Not Zero Sales")</x:f>
        <x:v>Not Zero Sales</x:v>
      </x:c>
      <x:c r="W428" s="12" t="n">
        <x:f>IF(V428="Active Zero Sales",U428,0)</x:f>
        <x:v>0</x:v>
      </x:c>
      <x:c r="X428" t="str">
        <x:f>IF(E428&lt;25,"Low &lt; 25",IF(E428&lt;100,"Medium 25-99",IF(E428&lt;300,"High 100-299","Premium 300+")))</x:f>
        <x:v>Medium 25-99</x:v>
      </x:c>
      <x:c r="Y428" t="n">
        <x:f>IF(C428="Active",1,0)</x:f>
        <x:v>1</x:v>
      </x:c>
    </x:row>
    <x:row r="429">
      <x:c r="A429" t="str">
        <x:v>SKU00428</x:v>
      </x:c>
      <x:c r="B429" t="str">
        <x:v>Sample Product 00428</x:v>
      </x:c>
      <x:c r="C429" t="str">
        <x:v>Active</x:v>
      </x:c>
      <x:c r="D429" t="str">
        <x:v>2026-03</x:v>
      </x:c>
      <x:c r="E429" s="12" t="n">
        <x:v>467.62</x:v>
      </x:c>
      <x:c r="F429" s="10" t="n">
        <x:v>0.318</x:v>
      </x:c>
      <x:c r="G429" t="str">
        <x:v>OTC &amp; Wellness</x:v>
      </x:c>
      <x:c r="H429" t="str">
        <x:v>Vitamins</x:v>
      </x:c>
      <x:c r="I429" t="str">
        <x:v>MFG019</x:v>
      </x:c>
      <x:c r="J429" t="str">
        <x:v>Manufacturer 019</x:v>
      </x:c>
      <x:c r="K429" t="str">
        <x:v>SUP015</x:v>
      </x:c>
      <x:c r="L429" t="str">
        <x:v>Supplier 015</x:v>
      </x:c>
      <x:c r="M429" t="str">
        <x:v>REG-991548</x:v>
      </x:c>
      <x:c r="N429" t="str">
        <x:v>Generic Ingredient 034</x:v>
      </x:c>
      <x:c r="O429" t="str">
        <x:v>General Sale</x:v>
      </x:c>
      <x:c r="P429" t="n">
        <x:v>39</x:v>
      </x:c>
      <x:c r="Q429" t="n">
        <x:v>16</x:v>
      </x:c>
      <x:c r="R429" t="n">
        <x:v>3</x:v>
      </x:c>
      <x:c r="S429" s="12" t="n">
        <x:f>E429*Q429</x:f>
        <x:v>7481.92</x:v>
      </x:c>
      <x:c r="T429" s="12" t="n">
        <x:f>ROUND(S429*F429+0.000000001,2)</x:f>
        <x:v>2379.25</x:v>
      </x:c>
      <x:c r="U429" s="12" t="n">
        <x:f>E429*R429</x:f>
        <x:v>1402.8600000000001</x:v>
      </x:c>
      <x:c r="V429" t="str">
        <x:f>IF(AND(C429="Active",Q429=0),"Active Zero Sales","Not Zero Sales")</x:f>
        <x:v>Not Zero Sales</x:v>
      </x:c>
      <x:c r="W429" s="12" t="n">
        <x:f>IF(V429="Active Zero Sales",U429,0)</x:f>
        <x:v>0</x:v>
      </x:c>
      <x:c r="X429" t="str">
        <x:f>IF(E429&lt;25,"Low &lt; 25",IF(E429&lt;100,"Medium 25-99",IF(E429&lt;300,"High 100-299","Premium 300+")))</x:f>
        <x:v>Premium 300+</x:v>
      </x:c>
      <x:c r="Y429" t="n">
        <x:f>IF(C429="Active",1,0)</x:f>
        <x:v>1</x:v>
      </x:c>
    </x:row>
    <x:row r="430">
      <x:c r="A430" t="str">
        <x:v>SKU00429</x:v>
      </x:c>
      <x:c r="B430" t="str">
        <x:v>Sample Product 00429</x:v>
      </x:c>
      <x:c r="C430" t="str">
        <x:v>Active</x:v>
      </x:c>
      <x:c r="D430" t="str">
        <x:v>2026-02</x:v>
      </x:c>
      <x:c r="E430" s="12" t="n">
        <x:v>228.7</x:v>
      </x:c>
      <x:c r="F430" s="10" t="n">
        <x:v>0.392</x:v>
      </x:c>
      <x:c r="G430" t="str">
        <x:v>Personal Care</x:v>
      </x:c>
      <x:c r="H430" t="str">
        <x:v>Skin Care</x:v>
      </x:c>
      <x:c r="I430" t="str">
        <x:v>MFG013</x:v>
      </x:c>
      <x:c r="J430" t="str">
        <x:v>Manufacturer 013</x:v>
      </x:c>
      <x:c r="K430" t="str">
        <x:v>SUP012</x:v>
      </x:c>
      <x:c r="L430" t="str">
        <x:v>Supplier 012</x:v>
      </x:c>
      <x:c r="M430" t="str">
        <x:v>REG-261861</x:v>
      </x:c>
      <x:c r="N430" t="str">
        <x:v>Generic Ingredient 154</x:v>
      </x:c>
      <x:c r="O430" t="str">
        <x:v>Pharmacy Only</x:v>
      </x:c>
      <x:c r="P430" t="n">
        <x:v>67</x:v>
      </x:c>
      <x:c r="Q430" t="n">
        <x:v>48</x:v>
      </x:c>
      <x:c r="R430" t="n">
        <x:v>17</x:v>
      </x:c>
      <x:c r="S430" s="12" t="n">
        <x:f>E430*Q430</x:f>
        <x:v>10977.599999999999</x:v>
      </x:c>
      <x:c r="T430" s="12" t="n">
        <x:f>ROUND(S430*F430+0.000000001,2)</x:f>
        <x:v>4303.22</x:v>
      </x:c>
      <x:c r="U430" s="12" t="n">
        <x:f>E430*R430</x:f>
        <x:v>3887.8999999999996</x:v>
      </x:c>
      <x:c r="V430" t="str">
        <x:f>IF(AND(C430="Active",Q430=0),"Active Zero Sales","Not Zero Sales")</x:f>
        <x:v>Not Zero Sales</x:v>
      </x:c>
      <x:c r="W430" s="12" t="n">
        <x:f>IF(V430="Active Zero Sales",U430,0)</x:f>
        <x:v>0</x:v>
      </x:c>
      <x:c r="X430" t="str">
        <x:f>IF(E430&lt;25,"Low &lt; 25",IF(E430&lt;100,"Medium 25-99",IF(E430&lt;300,"High 100-299","Premium 300+")))</x:f>
        <x:v>High 100-299</x:v>
      </x:c>
      <x:c r="Y430" t="n">
        <x:f>IF(C430="Active",1,0)</x:f>
        <x:v>1</x:v>
      </x:c>
    </x:row>
    <x:row r="431">
      <x:c r="A431" t="str">
        <x:v>SKU00430</x:v>
      </x:c>
      <x:c r="B431" t="str">
        <x:v>Sample Product 00430</x:v>
      </x:c>
      <x:c r="C431" t="str">
        <x:v>Blocked</x:v>
      </x:c>
      <x:c r="D431" t="str">
        <x:v>2026-02</x:v>
      </x:c>
      <x:c r="E431" s="12" t="n">
        <x:v>13.36</x:v>
      </x:c>
      <x:c r="F431" s="10" t="n">
        <x:v>0.308</x:v>
      </x:c>
      <x:c r="G431" t="str">
        <x:v>OTC &amp; Wellness</x:v>
      </x:c>
      <x:c r="H431" t="str">
        <x:v>Pain Relief</x:v>
      </x:c>
      <x:c r="I431" t="str">
        <x:v>MFG014</x:v>
      </x:c>
      <x:c r="J431" t="str">
        <x:v>Manufacturer 014</x:v>
      </x:c>
      <x:c r="K431" t="str">
        <x:v>SUP030</x:v>
      </x:c>
      <x:c r="L431" t="str">
        <x:v>Supplier 030</x:v>
      </x:c>
      <x:c r="M431" t="str">
        <x:v>REG-952022</x:v>
      </x:c>
      <x:c r="N431" t="str">
        <x:v>Generic Ingredient 150</x:v>
      </x:c>
      <x:c r="O431" t="str">
        <x:v>General Sale</x:v>
      </x:c>
      <x:c r="P431" t="n">
        <x:v>10</x:v>
      </x:c>
      <x:c r="Q431" t="n">
        <x:v>0</x:v>
      </x:c>
      <x:c r="R431" t="n">
        <x:v>0</x:v>
      </x:c>
      <x:c r="S431" s="12" t="n">
        <x:f>E431*Q431</x:f>
        <x:v>0</x:v>
      </x:c>
      <x:c r="T431" s="12" t="n">
        <x:f>ROUND(S431*F431+0.000000001,2)</x:f>
        <x:v>0</x:v>
      </x:c>
      <x:c r="U431" s="12" t="n">
        <x:f>E431*R431</x:f>
        <x:v>0</x:v>
      </x:c>
      <x:c r="V431" t="str">
        <x:f>IF(AND(C431="Active",Q431=0),"Active Zero Sales","Not Zero Sales")</x:f>
        <x:v>Not Zero Sales</x:v>
      </x:c>
      <x:c r="W431" s="12" t="n">
        <x:f>IF(V431="Active Zero Sales",U431,0)</x:f>
        <x:v>0</x:v>
      </x:c>
      <x:c r="X431" t="str">
        <x:f>IF(E431&lt;25,"Low &lt; 25",IF(E431&lt;100,"Medium 25-99",IF(E431&lt;300,"High 100-299","Premium 300+")))</x:f>
        <x:v>Low &lt; 25</x:v>
      </x:c>
      <x:c r="Y431" t="n">
        <x:f>IF(C431="Active",1,0)</x:f>
        <x:v>0</x:v>
      </x:c>
    </x:row>
    <x:row r="432">
      <x:c r="A432" t="str">
        <x:v>SKU00431</x:v>
      </x:c>
      <x:c r="B432" t="str">
        <x:v>Sample Product 00431</x:v>
      </x:c>
      <x:c r="C432" t="str">
        <x:v>Active</x:v>
      </x:c>
      <x:c r="D432" t="str">
        <x:v>2026-06</x:v>
      </x:c>
      <x:c r="E432" s="12" t="n">
        <x:v>44.88</x:v>
      </x:c>
      <x:c r="F432" s="10" t="n">
        <x:v>0.27</x:v>
      </x:c>
      <x:c r="G432" t="str">
        <x:v>Medical Devices</x:v>
      </x:c>
      <x:c r="H432" t="str">
        <x:v>Monitoring Supplies</x:v>
      </x:c>
      <x:c r="I432" t="str">
        <x:v>MFG011</x:v>
      </x:c>
      <x:c r="J432" t="str">
        <x:v>Manufacturer 011</x:v>
      </x:c>
      <x:c r="K432" t="str">
        <x:v>SUP030</x:v>
      </x:c>
      <x:c r="L432" t="str">
        <x:v>Supplier 030</x:v>
      </x:c>
      <x:c r="M432" t="str">
        <x:v>REG-754604</x:v>
      </x:c>
      <x:c r="N432" t="str">
        <x:v>Generic Ingredient 027</x:v>
      </x:c>
      <x:c r="O432" t="str">
        <x:v>General Sale</x:v>
      </x:c>
      <x:c r="P432" t="n">
        <x:v>134</x:v>
      </x:c>
      <x:c r="Q432" t="n">
        <x:v>102</x:v>
      </x:c>
      <x:c r="R432" t="n">
        <x:v>37</x:v>
      </x:c>
      <x:c r="S432" s="12" t="n">
        <x:f>E432*Q432</x:f>
        <x:v>4577.76</x:v>
      </x:c>
      <x:c r="T432" s="12" t="n">
        <x:f>ROUND(S432*F432+0.000000001,2)</x:f>
        <x:v>1236</x:v>
      </x:c>
      <x:c r="U432" s="12" t="n">
        <x:f>E432*R432</x:f>
        <x:v>1660.5600000000002</x:v>
      </x:c>
      <x:c r="V432" t="str">
        <x:f>IF(AND(C432="Active",Q432=0),"Active Zero Sales","Not Zero Sales")</x:f>
        <x:v>Not Zero Sales</x:v>
      </x:c>
      <x:c r="W432" s="12" t="n">
        <x:f>IF(V432="Active Zero Sales",U432,0)</x:f>
        <x:v>0</x:v>
      </x:c>
      <x:c r="X432" t="str">
        <x:f>IF(E432&lt;25,"Low &lt; 25",IF(E432&lt;100,"Medium 25-99",IF(E432&lt;300,"High 100-299","Premium 300+")))</x:f>
        <x:v>Medium 25-99</x:v>
      </x:c>
      <x:c r="Y432" t="n">
        <x:f>IF(C432="Active",1,0)</x:f>
        <x:v>1</x:v>
      </x:c>
    </x:row>
    <x:row r="433">
      <x:c r="A433" t="str">
        <x:v>SKU00432</x:v>
      </x:c>
      <x:c r="B433" t="str">
        <x:v>Sample Product 00432</x:v>
      </x:c>
      <x:c r="C433" t="str">
        <x:v>Active</x:v>
      </x:c>
      <x:c r="D433" t="str">
        <x:v>2026-06</x:v>
      </x:c>
      <x:c r="E433" s="12" t="n">
        <x:v>47.81</x:v>
      </x:c>
      <x:c r="F433" s="10" t="n">
        <x:v>0.443</x:v>
      </x:c>
      <x:c r="G433" t="str">
        <x:v>General Merchandise</x:v>
      </x:c>
      <x:c r="H433" t="str">
        <x:v>Accessories</x:v>
      </x:c>
      <x:c r="I433" t="str">
        <x:v>MFG007</x:v>
      </x:c>
      <x:c r="J433" t="str">
        <x:v>Manufacturer 007</x:v>
      </x:c>
      <x:c r="K433" t="str">
        <x:v>SUP029</x:v>
      </x:c>
      <x:c r="L433" t="str">
        <x:v>Supplier 029</x:v>
      </x:c>
      <x:c r="M433" t="str">
        <x:v>REG-477017</x:v>
      </x:c>
      <x:c r="N433" t="str">
        <x:v>Generic Ingredient 154</x:v>
      </x:c>
      <x:c r="O433" t="str">
        <x:v>General Sale</x:v>
      </x:c>
      <x:c r="P433" t="n">
        <x:v>45</x:v>
      </x:c>
      <x:c r="Q433" t="n">
        <x:v>12</x:v>
      </x:c>
      <x:c r="R433" t="n">
        <x:v>0</x:v>
      </x:c>
      <x:c r="S433" s="12" t="n">
        <x:f>E433*Q433</x:f>
        <x:v>573.72</x:v>
      </x:c>
      <x:c r="T433" s="12" t="n">
        <x:f>ROUND(S433*F433+0.000000001,2)</x:f>
        <x:v>254.16</x:v>
      </x:c>
      <x:c r="U433" s="12" t="n">
        <x:f>E433*R433</x:f>
        <x:v>0</x:v>
      </x:c>
      <x:c r="V433" t="str">
        <x:f>IF(AND(C433="Active",Q433=0),"Active Zero Sales","Not Zero Sales")</x:f>
        <x:v>Not Zero Sales</x:v>
      </x:c>
      <x:c r="W433" s="12" t="n">
        <x:f>IF(V433="Active Zero Sales",U433,0)</x:f>
        <x:v>0</x:v>
      </x:c>
      <x:c r="X433" t="str">
        <x:f>IF(E433&lt;25,"Low &lt; 25",IF(E433&lt;100,"Medium 25-99",IF(E433&lt;300,"High 100-299","Premium 300+")))</x:f>
        <x:v>Medium 25-99</x:v>
      </x:c>
      <x:c r="Y433" t="n">
        <x:f>IF(C433="Active",1,0)</x:f>
        <x:v>1</x:v>
      </x:c>
    </x:row>
    <x:row r="434">
      <x:c r="A434" t="str">
        <x:v>SKU00433</x:v>
      </x:c>
      <x:c r="B434" t="str">
        <x:v>Sample Product 00433</x:v>
      </x:c>
      <x:c r="C434" t="str">
        <x:v>Blocked</x:v>
      </x:c>
      <x:c r="D434" t="str">
        <x:v>2026-04</x:v>
      </x:c>
      <x:c r="E434" s="12" t="n">
        <x:v>174.92</x:v>
      </x:c>
      <x:c r="F434" s="10" t="n">
        <x:v>0.365</x:v>
      </x:c>
      <x:c r="G434" t="str">
        <x:v>Personal Care</x:v>
      </x:c>
      <x:c r="H434" t="str">
        <x:v>Hygiene</x:v>
      </x:c>
      <x:c r="I434" t="str">
        <x:v>MFG009</x:v>
      </x:c>
      <x:c r="J434" t="str">
        <x:v>Manufacturer 009</x:v>
      </x:c>
      <x:c r="K434" t="str">
        <x:v>SUP008</x:v>
      </x:c>
      <x:c r="L434" t="str">
        <x:v>Supplier 008</x:v>
      </x:c>
      <x:c r="M434" t="str">
        <x:v>REG-642495</x:v>
      </x:c>
      <x:c r="N434" t="str">
        <x:v>Generic Ingredient 125</x:v>
      </x:c>
      <x:c r="O434" t="str">
        <x:v>General Sale</x:v>
      </x:c>
      <x:c r="P434" t="n">
        <x:v>16</x:v>
      </x:c>
      <x:c r="Q434" t="n">
        <x:v>0</x:v>
      </x:c>
      <x:c r="R434" t="n">
        <x:v>0</x:v>
      </x:c>
      <x:c r="S434" s="12" t="n">
        <x:f>E434*Q434</x:f>
        <x:v>0</x:v>
      </x:c>
      <x:c r="T434" s="12" t="n">
        <x:f>ROUND(S434*F434+0.000000001,2)</x:f>
        <x:v>0</x:v>
      </x:c>
      <x:c r="U434" s="12" t="n">
        <x:f>E434*R434</x:f>
        <x:v>0</x:v>
      </x:c>
      <x:c r="V434" t="str">
        <x:f>IF(AND(C434="Active",Q434=0),"Active Zero Sales","Not Zero Sales")</x:f>
        <x:v>Not Zero Sales</x:v>
      </x:c>
      <x:c r="W434" s="12" t="n">
        <x:f>IF(V434="Active Zero Sales",U434,0)</x:f>
        <x:v>0</x:v>
      </x:c>
      <x:c r="X434" t="str">
        <x:f>IF(E434&lt;25,"Low &lt; 25",IF(E434&lt;100,"Medium 25-99",IF(E434&lt;300,"High 100-299","Premium 300+")))</x:f>
        <x:v>High 100-299</x:v>
      </x:c>
      <x:c r="Y434" t="n">
        <x:f>IF(C434="Active",1,0)</x:f>
        <x:v>0</x:v>
      </x:c>
    </x:row>
    <x:row r="435">
      <x:c r="A435" t="str">
        <x:v>SKU00434</x:v>
      </x:c>
      <x:c r="B435" t="str">
        <x:v>Sample Product 00434</x:v>
      </x:c>
      <x:c r="C435" t="str">
        <x:v>Active</x:v>
      </x:c>
      <x:c r="D435" t="str">
        <x:v>2026-04</x:v>
      </x:c>
      <x:c r="E435" s="12" t="n">
        <x:v>98.37</x:v>
      </x:c>
      <x:c r="F435" s="10" t="n">
        <x:v>0.286</x:v>
      </x:c>
      <x:c r="G435" t="str">
        <x:v>Medical Devices</x:v>
      </x:c>
      <x:c r="H435" t="str">
        <x:v>Mobility Aids</x:v>
      </x:c>
      <x:c r="I435" t="str">
        <x:v>MFG007</x:v>
      </x:c>
      <x:c r="J435" t="str">
        <x:v>Manufacturer 007</x:v>
      </x:c>
      <x:c r="K435" t="str">
        <x:v>SUP011</x:v>
      </x:c>
      <x:c r="L435" t="str">
        <x:v>Supplier 011</x:v>
      </x:c>
      <x:c r="M435" t="str">
        <x:v>REG-278280</x:v>
      </x:c>
      <x:c r="N435" t="str">
        <x:v>Generic Ingredient 158</x:v>
      </x:c>
      <x:c r="O435" t="str">
        <x:v>General Sale</x:v>
      </x:c>
      <x:c r="P435" t="n">
        <x:v>49</x:v>
      </x:c>
      <x:c r="Q435" t="n">
        <x:v>0</x:v>
      </x:c>
      <x:c r="R435" t="n">
        <x:v>16</x:v>
      </x:c>
      <x:c r="S435" s="12" t="n">
        <x:f>E435*Q435</x:f>
        <x:v>0</x:v>
      </x:c>
      <x:c r="T435" s="12" t="n">
        <x:f>ROUND(S435*F435+0.000000001,2)</x:f>
        <x:v>0</x:v>
      </x:c>
      <x:c r="U435" s="12" t="n">
        <x:f>E435*R435</x:f>
        <x:v>1573.92</x:v>
      </x:c>
      <x:c r="V435" t="str">
        <x:f>IF(AND(C435="Active",Q435=0),"Active Zero Sales","Not Zero Sales")</x:f>
        <x:v>Active Zero Sales</x:v>
      </x:c>
      <x:c r="W435" s="12" t="n">
        <x:f>IF(V435="Active Zero Sales",U435,0)</x:f>
        <x:v>1573.92</x:v>
      </x:c>
      <x:c r="X435" t="str">
        <x:f>IF(E435&lt;25,"Low &lt; 25",IF(E435&lt;100,"Medium 25-99",IF(E435&lt;300,"High 100-299","Premium 300+")))</x:f>
        <x:v>Medium 25-99</x:v>
      </x:c>
      <x:c r="Y435" t="n">
        <x:f>IF(C435="Active",1,0)</x:f>
        <x:v>1</x:v>
      </x:c>
    </x:row>
    <x:row r="436">
      <x:c r="A436" t="str">
        <x:v>SKU00435</x:v>
      </x:c>
      <x:c r="B436" t="str">
        <x:v>Sample Product 00435</x:v>
      </x:c>
      <x:c r="C436" t="str">
        <x:v>Active</x:v>
      </x:c>
      <x:c r="D436" t="str">
        <x:v>2026-05</x:v>
      </x:c>
      <x:c r="E436" s="12" t="n">
        <x:v>6.63</x:v>
      </x:c>
      <x:c r="F436" s="10" t="n">
        <x:v>0.32</x:v>
      </x:c>
      <x:c r="G436" t="str">
        <x:v>Nutrition</x:v>
      </x:c>
      <x:c r="H436" t="str">
        <x:v>Hydration</x:v>
      </x:c>
      <x:c r="I436" t="str">
        <x:v>MFG013</x:v>
      </x:c>
      <x:c r="J436" t="str">
        <x:v>Manufacturer 013</x:v>
      </x:c>
      <x:c r="K436" t="str">
        <x:v>SUP018</x:v>
      </x:c>
      <x:c r="L436" t="str">
        <x:v>Supplier 018</x:v>
      </x:c>
      <x:c r="M436" t="str">
        <x:v>REG-312947</x:v>
      </x:c>
      <x:c r="N436" t="str">
        <x:v>Generic Ingredient 092</x:v>
      </x:c>
      <x:c r="O436" t="str">
        <x:v>General Sale</x:v>
      </x:c>
      <x:c r="P436" t="n">
        <x:v>71</x:v>
      </x:c>
      <x:c r="Q436" t="n">
        <x:v>54</x:v>
      </x:c>
      <x:c r="R436" t="n">
        <x:v>3</x:v>
      </x:c>
      <x:c r="S436" s="12" t="n">
        <x:f>E436*Q436</x:f>
        <x:v>358.02</x:v>
      </x:c>
      <x:c r="T436" s="12" t="n">
        <x:f>ROUND(S436*F436+0.000000001,2)</x:f>
        <x:v>114.57</x:v>
      </x:c>
      <x:c r="U436" s="12" t="n">
        <x:f>E436*R436</x:f>
        <x:v>19.89</x:v>
      </x:c>
      <x:c r="V436" t="str">
        <x:f>IF(AND(C436="Active",Q436=0),"Active Zero Sales","Not Zero Sales")</x:f>
        <x:v>Not Zero Sales</x:v>
      </x:c>
      <x:c r="W436" s="12" t="n">
        <x:f>IF(V436="Active Zero Sales",U436,0)</x:f>
        <x:v>0</x:v>
      </x:c>
      <x:c r="X436" t="str">
        <x:f>IF(E436&lt;25,"Low &lt; 25",IF(E436&lt;100,"Medium 25-99",IF(E436&lt;300,"High 100-299","Premium 300+")))</x:f>
        <x:v>Low &lt; 25</x:v>
      </x:c>
      <x:c r="Y436" t="n">
        <x:f>IF(C436="Active",1,0)</x:f>
        <x:v>1</x:v>
      </x:c>
    </x:row>
    <x:row r="437">
      <x:c r="A437" t="str">
        <x:v>SKU00436</x:v>
      </x:c>
      <x:c r="B437" t="str">
        <x:v>Sample Product 00436</x:v>
      </x:c>
      <x:c r="C437" t="str">
        <x:v>Active</x:v>
      </x:c>
      <x:c r="D437" t="str">
        <x:v>2026-03</x:v>
      </x:c>
      <x:c r="E437" s="12" t="n">
        <x:v>9.98</x:v>
      </x:c>
      <x:c r="F437" s="10" t="n">
        <x:v>0.47</x:v>
      </x:c>
      <x:c r="G437" t="str">
        <x:v>OTC &amp; Wellness</x:v>
      </x:c>
      <x:c r="H437" t="str">
        <x:v>Digestive Care</x:v>
      </x:c>
      <x:c r="I437" t="str">
        <x:v>MFG011</x:v>
      </x:c>
      <x:c r="J437" t="str">
        <x:v>Manufacturer 011</x:v>
      </x:c>
      <x:c r="K437" t="str">
        <x:v>SUP021</x:v>
      </x:c>
      <x:c r="L437" t="str">
        <x:v>Supplier 021</x:v>
      </x:c>
      <x:c r="M437" t="str">
        <x:v>REG-883793</x:v>
      </x:c>
      <x:c r="N437" t="str">
        <x:v>Generic Ingredient 099</x:v>
      </x:c>
      <x:c r="O437" t="str">
        <x:v>General Sale</x:v>
      </x:c>
      <x:c r="P437" t="n">
        <x:v>56</x:v>
      </x:c>
      <x:c r="Q437" t="n">
        <x:v>48</x:v>
      </x:c>
      <x:c r="R437" t="n">
        <x:v>3</x:v>
      </x:c>
      <x:c r="S437" s="12" t="n">
        <x:f>E437*Q437</x:f>
        <x:v>479.04</x:v>
      </x:c>
      <x:c r="T437" s="12" t="n">
        <x:f>ROUND(S437*F437+0.000000001,2)</x:f>
        <x:v>225.15</x:v>
      </x:c>
      <x:c r="U437" s="12" t="n">
        <x:f>E437*R437</x:f>
        <x:v>29.94</x:v>
      </x:c>
      <x:c r="V437" t="str">
        <x:f>IF(AND(C437="Active",Q437=0),"Active Zero Sales","Not Zero Sales")</x:f>
        <x:v>Not Zero Sales</x:v>
      </x:c>
      <x:c r="W437" s="12" t="n">
        <x:f>IF(V437="Active Zero Sales",U437,0)</x:f>
        <x:v>0</x:v>
      </x:c>
      <x:c r="X437" t="str">
        <x:f>IF(E437&lt;25,"Low &lt; 25",IF(E437&lt;100,"Medium 25-99",IF(E437&lt;300,"High 100-299","Premium 300+")))</x:f>
        <x:v>Low &lt; 25</x:v>
      </x:c>
      <x:c r="Y437" t="n">
        <x:f>IF(C437="Active",1,0)</x:f>
        <x:v>1</x:v>
      </x:c>
    </x:row>
    <x:row r="438">
      <x:c r="A438" t="str">
        <x:v>SKU00437</x:v>
      </x:c>
      <x:c r="B438" t="str">
        <x:v>Sample Product 00437</x:v>
      </x:c>
      <x:c r="C438" t="str">
        <x:v>Active</x:v>
      </x:c>
      <x:c r="D438" t="str">
        <x:v>2026-02</x:v>
      </x:c>
      <x:c r="E438" s="12" t="n">
        <x:v>248.32</x:v>
      </x:c>
      <x:c r="F438" s="10" t="n">
        <x:v>0.34</x:v>
      </x:c>
      <x:c r="G438" t="str">
        <x:v>General Merchandise</x:v>
      </x:c>
      <x:c r="H438" t="str">
        <x:v>Baby Essentials</x:v>
      </x:c>
      <x:c r="I438" t="str">
        <x:v>MFG017</x:v>
      </x:c>
      <x:c r="J438" t="str">
        <x:v>Manufacturer 017</x:v>
      </x:c>
      <x:c r="K438" t="str">
        <x:v>SUP030</x:v>
      </x:c>
      <x:c r="L438" t="str">
        <x:v>Supplier 030</x:v>
      </x:c>
      <x:c r="M438" t="str">
        <x:v>REG-274258</x:v>
      </x:c>
      <x:c r="N438" t="str">
        <x:v>Generic Ingredient 039</x:v>
      </x:c>
      <x:c r="O438" t="str">
        <x:v>Pharmacy Only</x:v>
      </x:c>
      <x:c r="P438" t="n">
        <x:v>91</x:v>
      </x:c>
      <x:c r="Q438" t="n">
        <x:v>41</x:v>
      </x:c>
      <x:c r="R438" t="n">
        <x:v>14</x:v>
      </x:c>
      <x:c r="S438" s="12" t="n">
        <x:f>E438*Q438</x:f>
        <x:v>10181.119999999999</x:v>
      </x:c>
      <x:c r="T438" s="12" t="n">
        <x:f>ROUND(S438*F438+0.000000001,2)</x:f>
        <x:v>3461.58</x:v>
      </x:c>
      <x:c r="U438" s="12" t="n">
        <x:f>E438*R438</x:f>
        <x:v>3476.48</x:v>
      </x:c>
      <x:c r="V438" t="str">
        <x:f>IF(AND(C438="Active",Q438=0),"Active Zero Sales","Not Zero Sales")</x:f>
        <x:v>Not Zero Sales</x:v>
      </x:c>
      <x:c r="W438" s="12" t="n">
        <x:f>IF(V438="Active Zero Sales",U438,0)</x:f>
        <x:v>0</x:v>
      </x:c>
      <x:c r="X438" t="str">
        <x:f>IF(E438&lt;25,"Low &lt; 25",IF(E438&lt;100,"Medium 25-99",IF(E438&lt;300,"High 100-299","Premium 300+")))</x:f>
        <x:v>High 100-299</x:v>
      </x:c>
      <x:c r="Y438" t="n">
        <x:f>IF(C438="Active",1,0)</x:f>
        <x:v>1</x:v>
      </x:c>
    </x:row>
    <x:row r="439">
      <x:c r="A439" t="str">
        <x:v>SKU00438</x:v>
      </x:c>
      <x:c r="B439" t="str">
        <x:v>Sample Product 00438</x:v>
      </x:c>
      <x:c r="C439" t="str">
        <x:v>Active</x:v>
      </x:c>
      <x:c r="D439" t="str">
        <x:v>2026-03</x:v>
      </x:c>
      <x:c r="E439" s="12" t="n">
        <x:v>9.82</x:v>
      </x:c>
      <x:c r="F439" s="10" t="n">
        <x:v>0.225</x:v>
      </x:c>
      <x:c r="G439" t="str">
        <x:v>OTC &amp; Wellness</x:v>
      </x:c>
      <x:c r="H439" t="str">
        <x:v>Vitamins</x:v>
      </x:c>
      <x:c r="I439" t="str">
        <x:v>MFG009</x:v>
      </x:c>
      <x:c r="J439" t="str">
        <x:v>Manufacturer 009</x:v>
      </x:c>
      <x:c r="K439" t="str">
        <x:v>SUP029</x:v>
      </x:c>
      <x:c r="L439" t="str">
        <x:v>Supplier 029</x:v>
      </x:c>
      <x:c r="M439" t="str">
        <x:v>REG-188492</x:v>
      </x:c>
      <x:c r="N439" t="str">
        <x:v>Generic Ingredient 052</x:v>
      </x:c>
      <x:c r="O439" t="str">
        <x:v>General Sale</x:v>
      </x:c>
      <x:c r="P439" t="n">
        <x:v>22</x:v>
      </x:c>
      <x:c r="Q439" t="n">
        <x:v>18</x:v>
      </x:c>
      <x:c r="R439" t="n">
        <x:v>0</x:v>
      </x:c>
      <x:c r="S439" s="12" t="n">
        <x:f>E439*Q439</x:f>
        <x:v>176.76</x:v>
      </x:c>
      <x:c r="T439" s="12" t="n">
        <x:f>ROUND(S439*F439+0.000000001,2)</x:f>
        <x:v>39.77</x:v>
      </x:c>
      <x:c r="U439" s="12" t="n">
        <x:f>E439*R439</x:f>
        <x:v>0</x:v>
      </x:c>
      <x:c r="V439" t="str">
        <x:f>IF(AND(C439="Active",Q439=0),"Active Zero Sales","Not Zero Sales")</x:f>
        <x:v>Not Zero Sales</x:v>
      </x:c>
      <x:c r="W439" s="12" t="n">
        <x:f>IF(V439="Active Zero Sales",U439,0)</x:f>
        <x:v>0</x:v>
      </x:c>
      <x:c r="X439" t="str">
        <x:f>IF(E439&lt;25,"Low &lt; 25",IF(E439&lt;100,"Medium 25-99",IF(E439&lt;300,"High 100-299","Premium 300+")))</x:f>
        <x:v>Low &lt; 25</x:v>
      </x:c>
      <x:c r="Y439" t="n">
        <x:f>IF(C439="Active",1,0)</x:f>
        <x:v>1</x:v>
      </x:c>
    </x:row>
    <x:row r="440">
      <x:c r="A440" t="str">
        <x:v>SKU00439</x:v>
      </x:c>
      <x:c r="B440" t="str">
        <x:v>Sample Product 00439</x:v>
      </x:c>
      <x:c r="C440" t="str">
        <x:v>Active</x:v>
      </x:c>
      <x:c r="D440" t="str">
        <x:v>2026-04</x:v>
      </x:c>
      <x:c r="E440" s="12" t="n">
        <x:v>76</x:v>
      </x:c>
      <x:c r="F440" s="10" t="n">
        <x:v>0.298</x:v>
      </x:c>
      <x:c r="G440" t="str">
        <x:v>General Merchandise</x:v>
      </x:c>
      <x:c r="H440" t="str">
        <x:v>Seasonal Care</x:v>
      </x:c>
      <x:c r="I440" t="str">
        <x:v>MFG015</x:v>
      </x:c>
      <x:c r="J440" t="str">
        <x:v>Manufacturer 015</x:v>
      </x:c>
      <x:c r="K440" t="str">
        <x:v>SUP020</x:v>
      </x:c>
      <x:c r="L440" t="str">
        <x:v>Supplier 020</x:v>
      </x:c>
      <x:c r="M440" t="str">
        <x:v>REG-925412</x:v>
      </x:c>
      <x:c r="N440" t="str">
        <x:v>Generic Ingredient 137</x:v>
      </x:c>
      <x:c r="O440" t="str">
        <x:v>Pharmacy Only</x:v>
      </x:c>
      <x:c r="P440" t="n">
        <x:v>43</x:v>
      </x:c>
      <x:c r="Q440" t="n">
        <x:v>0</x:v>
      </x:c>
      <x:c r="R440" t="n">
        <x:v>42</x:v>
      </x:c>
      <x:c r="S440" s="12" t="n">
        <x:f>E440*Q440</x:f>
        <x:v>0</x:v>
      </x:c>
      <x:c r="T440" s="12" t="n">
        <x:f>ROUND(S440*F440+0.000000001,2)</x:f>
        <x:v>0</x:v>
      </x:c>
      <x:c r="U440" s="12" t="n">
        <x:f>E440*R440</x:f>
        <x:v>3192</x:v>
      </x:c>
      <x:c r="V440" t="str">
        <x:f>IF(AND(C440="Active",Q440=0),"Active Zero Sales","Not Zero Sales")</x:f>
        <x:v>Active Zero Sales</x:v>
      </x:c>
      <x:c r="W440" s="12" t="n">
        <x:f>IF(V440="Active Zero Sales",U440,0)</x:f>
        <x:v>3192</x:v>
      </x:c>
      <x:c r="X440" t="str">
        <x:f>IF(E440&lt;25,"Low &lt; 25",IF(E440&lt;100,"Medium 25-99",IF(E440&lt;300,"High 100-299","Premium 300+")))</x:f>
        <x:v>Medium 25-99</x:v>
      </x:c>
      <x:c r="Y440" t="n">
        <x:f>IF(C440="Active",1,0)</x:f>
        <x:v>1</x:v>
      </x:c>
    </x:row>
    <x:row r="441">
      <x:c r="A441" t="str">
        <x:v>SKU00440</x:v>
      </x:c>
      <x:c r="B441" t="str">
        <x:v>Sample Product 00440</x:v>
      </x:c>
      <x:c r="C441" t="str">
        <x:v>Active</x:v>
      </x:c>
      <x:c r="D441" t="str">
        <x:v>2026-04</x:v>
      </x:c>
      <x:c r="E441" s="12" t="n">
        <x:v>4.03</x:v>
      </x:c>
      <x:c r="F441" s="10" t="n">
        <x:v>0.193</x:v>
      </x:c>
      <x:c r="G441" t="str">
        <x:v>Medical Devices</x:v>
      </x:c>
      <x:c r="H441" t="str">
        <x:v>First Aid</x:v>
      </x:c>
      <x:c r="I441" t="str">
        <x:v>MFG013</x:v>
      </x:c>
      <x:c r="J441" t="str">
        <x:v>Manufacturer 013</x:v>
      </x:c>
      <x:c r="K441" t="str">
        <x:v>SUP016</x:v>
      </x:c>
      <x:c r="L441" t="str">
        <x:v>Supplier 016</x:v>
      </x:c>
      <x:c r="M441" t="str">
        <x:v>REG-721594</x:v>
      </x:c>
      <x:c r="N441" t="str">
        <x:v>Generic Ingredient 170</x:v>
      </x:c>
      <x:c r="O441" t="str">
        <x:v>Pharmacy Only</x:v>
      </x:c>
      <x:c r="P441" t="n">
        <x:v>21</x:v>
      </x:c>
      <x:c r="Q441" t="n">
        <x:v>14</x:v>
      </x:c>
      <x:c r="R441" t="n">
        <x:v>0</x:v>
      </x:c>
      <x:c r="S441" s="12" t="n">
        <x:f>E441*Q441</x:f>
        <x:v>56.42</x:v>
      </x:c>
      <x:c r="T441" s="12" t="n">
        <x:f>ROUND(S441*F441+0.000000001,2)</x:f>
        <x:v>10.89</x:v>
      </x:c>
      <x:c r="U441" s="12" t="n">
        <x:f>E441*R441</x:f>
        <x:v>0</x:v>
      </x:c>
      <x:c r="V441" t="str">
        <x:f>IF(AND(C441="Active",Q441=0),"Active Zero Sales","Not Zero Sales")</x:f>
        <x:v>Not Zero Sales</x:v>
      </x:c>
      <x:c r="W441" s="12" t="n">
        <x:f>IF(V441="Active Zero Sales",U441,0)</x:f>
        <x:v>0</x:v>
      </x:c>
      <x:c r="X441" t="str">
        <x:f>IF(E441&lt;25,"Low &lt; 25",IF(E441&lt;100,"Medium 25-99",IF(E441&lt;300,"High 100-299","Premium 300+")))</x:f>
        <x:v>Low &lt; 25</x:v>
      </x:c>
      <x:c r="Y441" t="n">
        <x:f>IF(C441="Active",1,0)</x:f>
        <x:v>1</x:v>
      </x:c>
    </x:row>
    <x:row r="442">
      <x:c r="A442" t="str">
        <x:v>SKU00441</x:v>
      </x:c>
      <x:c r="B442" t="str">
        <x:v>Sample Product 00441</x:v>
      </x:c>
      <x:c r="C442" t="str">
        <x:v>Blocked</x:v>
      </x:c>
      <x:c r="D442" t="str">
        <x:v>2026-02</x:v>
      </x:c>
      <x:c r="E442" s="12" t="n">
        <x:v>33.48</x:v>
      </x:c>
      <x:c r="F442" s="10" t="n">
        <x:v>0.398</x:v>
      </x:c>
      <x:c r="G442" t="str">
        <x:v>Personal Care</x:v>
      </x:c>
      <x:c r="H442" t="str">
        <x:v>Hygiene</x:v>
      </x:c>
      <x:c r="I442" t="str">
        <x:v>MFG007</x:v>
      </x:c>
      <x:c r="J442" t="str">
        <x:v>Manufacturer 007</x:v>
      </x:c>
      <x:c r="K442" t="str">
        <x:v>SUP006</x:v>
      </x:c>
      <x:c r="L442" t="str">
        <x:v>Supplier 006</x:v>
      </x:c>
      <x:c r="M442" t="str">
        <x:v>REG-932741</x:v>
      </x:c>
      <x:c r="N442" t="str">
        <x:v>Generic Ingredient 114</x:v>
      </x:c>
      <x:c r="O442" t="str">
        <x:v>General Sale</x:v>
      </x:c>
      <x:c r="P442" t="n">
        <x:v>18</x:v>
      </x:c>
      <x:c r="Q442" t="n">
        <x:v>22</x:v>
      </x:c>
      <x:c r="R442" t="n">
        <x:v>0</x:v>
      </x:c>
      <x:c r="S442" s="12" t="n">
        <x:f>E442*Q442</x:f>
        <x:v>736.56</x:v>
      </x:c>
      <x:c r="T442" s="12" t="n">
        <x:f>ROUND(S442*F442+0.000000001,2)</x:f>
        <x:v>293.15</x:v>
      </x:c>
      <x:c r="U442" s="12" t="n">
        <x:f>E442*R442</x:f>
        <x:v>0</x:v>
      </x:c>
      <x:c r="V442" t="str">
        <x:f>IF(AND(C442="Active",Q442=0),"Active Zero Sales","Not Zero Sales")</x:f>
        <x:v>Not Zero Sales</x:v>
      </x:c>
      <x:c r="W442" s="12" t="n">
        <x:f>IF(V442="Active Zero Sales",U442,0)</x:f>
        <x:v>0</x:v>
      </x:c>
      <x:c r="X442" t="str">
        <x:f>IF(E442&lt;25,"Low &lt; 25",IF(E442&lt;100,"Medium 25-99",IF(E442&lt;300,"High 100-299","Premium 300+")))</x:f>
        <x:v>Medium 25-99</x:v>
      </x:c>
      <x:c r="Y442" t="n">
        <x:f>IF(C442="Active",1,0)</x:f>
        <x:v>0</x:v>
      </x:c>
    </x:row>
    <x:row r="443">
      <x:c r="A443" t="str">
        <x:v>SKU00442</x:v>
      </x:c>
      <x:c r="B443" t="str">
        <x:v>Sample Product 00442</x:v>
      </x:c>
      <x:c r="C443" t="str">
        <x:v>Active</x:v>
      </x:c>
      <x:c r="D443" t="str">
        <x:v>2026-03</x:v>
      </x:c>
      <x:c r="E443" s="12" t="n">
        <x:v>13.89</x:v>
      </x:c>
      <x:c r="F443" s="10" t="n">
        <x:v>0.362</x:v>
      </x:c>
      <x:c r="G443" t="str">
        <x:v>Personal Care</x:v>
      </x:c>
      <x:c r="H443" t="str">
        <x:v>Hair Care</x:v>
      </x:c>
      <x:c r="I443" t="str">
        <x:v>MFG010</x:v>
      </x:c>
      <x:c r="J443" t="str">
        <x:v>Manufacturer 010</x:v>
      </x:c>
      <x:c r="K443" t="str">
        <x:v>SUP006</x:v>
      </x:c>
      <x:c r="L443" t="str">
        <x:v>Supplier 006</x:v>
      </x:c>
      <x:c r="M443" t="str">
        <x:v>REG-866166</x:v>
      </x:c>
      <x:c r="N443" t="str">
        <x:v>Generic Ingredient 011</x:v>
      </x:c>
      <x:c r="O443" t="str">
        <x:v>General Sale</x:v>
      </x:c>
      <x:c r="P443" t="n">
        <x:v>10</x:v>
      </x:c>
      <x:c r="Q443" t="n">
        <x:v>8</x:v>
      </x:c>
      <x:c r="R443" t="n">
        <x:v>4</x:v>
      </x:c>
      <x:c r="S443" s="12" t="n">
        <x:f>E443*Q443</x:f>
        <x:v>111.12</x:v>
      </x:c>
      <x:c r="T443" s="12" t="n">
        <x:f>ROUND(S443*F443+0.000000001,2)</x:f>
        <x:v>40.23</x:v>
      </x:c>
      <x:c r="U443" s="12" t="n">
        <x:f>E443*R443</x:f>
        <x:v>55.56</x:v>
      </x:c>
      <x:c r="V443" t="str">
        <x:f>IF(AND(C443="Active",Q443=0),"Active Zero Sales","Not Zero Sales")</x:f>
        <x:v>Not Zero Sales</x:v>
      </x:c>
      <x:c r="W443" s="12" t="n">
        <x:f>IF(V443="Active Zero Sales",U443,0)</x:f>
        <x:v>0</x:v>
      </x:c>
      <x:c r="X443" t="str">
        <x:f>IF(E443&lt;25,"Low &lt; 25",IF(E443&lt;100,"Medium 25-99",IF(E443&lt;300,"High 100-299","Premium 300+")))</x:f>
        <x:v>Low &lt; 25</x:v>
      </x:c>
      <x:c r="Y443" t="n">
        <x:f>IF(C443="Active",1,0)</x:f>
        <x:v>1</x:v>
      </x:c>
    </x:row>
    <x:row r="444">
      <x:c r="A444" t="str">
        <x:v>SKU00443</x:v>
      </x:c>
      <x:c r="B444" t="str">
        <x:v>Sample Product 00443</x:v>
      </x:c>
      <x:c r="C444" t="str">
        <x:v>Active</x:v>
      </x:c>
      <x:c r="D444" t="str">
        <x:v>2026-01</x:v>
      </x:c>
      <x:c r="E444" s="12" t="n">
        <x:v>80.41</x:v>
      </x:c>
      <x:c r="F444" s="10" t="n">
        <x:v>0.291</x:v>
      </x:c>
      <x:c r="G444" t="str">
        <x:v>OTC &amp; Wellness</x:v>
      </x:c>
      <x:c r="H444" t="str">
        <x:v>Cold &amp; Allergy</x:v>
      </x:c>
      <x:c r="I444" t="str">
        <x:v>MFG002</x:v>
      </x:c>
      <x:c r="J444" t="str">
        <x:v>Manufacturer 002</x:v>
      </x:c>
      <x:c r="K444" t="str">
        <x:v>SUP012</x:v>
      </x:c>
      <x:c r="L444" t="str">
        <x:v>Supplier 012</x:v>
      </x:c>
      <x:c r="M444" t="str">
        <x:v>REG-424683</x:v>
      </x:c>
      <x:c r="N444" t="str">
        <x:v>Generic Ingredient 010</x:v>
      </x:c>
      <x:c r="O444" t="str">
        <x:v>General Sale</x:v>
      </x:c>
      <x:c r="P444" t="n">
        <x:v>45</x:v>
      </x:c>
      <x:c r="Q444" t="n">
        <x:v>16</x:v>
      </x:c>
      <x:c r="R444" t="n">
        <x:v>23</x:v>
      </x:c>
      <x:c r="S444" s="12" t="n">
        <x:f>E444*Q444</x:f>
        <x:v>1286.56</x:v>
      </x:c>
      <x:c r="T444" s="12" t="n">
        <x:f>ROUND(S444*F444+0.000000001,2)</x:f>
        <x:v>374.39</x:v>
      </x:c>
      <x:c r="U444" s="12" t="n">
        <x:f>E444*R444</x:f>
        <x:v>1849.4299999999998</x:v>
      </x:c>
      <x:c r="V444" t="str">
        <x:f>IF(AND(C444="Active",Q444=0),"Active Zero Sales","Not Zero Sales")</x:f>
        <x:v>Not Zero Sales</x:v>
      </x:c>
      <x:c r="W444" s="12" t="n">
        <x:f>IF(V444="Active Zero Sales",U444,0)</x:f>
        <x:v>0</x:v>
      </x:c>
      <x:c r="X444" t="str">
        <x:f>IF(E444&lt;25,"Low &lt; 25",IF(E444&lt;100,"Medium 25-99",IF(E444&lt;300,"High 100-299","Premium 300+")))</x:f>
        <x:v>Medium 25-99</x:v>
      </x:c>
      <x:c r="Y444" t="n">
        <x:f>IF(C444="Active",1,0)</x:f>
        <x:v>1</x:v>
      </x:c>
    </x:row>
    <x:row r="445">
      <x:c r="A445" t="str">
        <x:v>SKU00444</x:v>
      </x:c>
      <x:c r="B445" t="str">
        <x:v>Sample Product 00444</x:v>
      </x:c>
      <x:c r="C445" t="str">
        <x:v>Active</x:v>
      </x:c>
      <x:c r="D445" t="str">
        <x:v>2026-06</x:v>
      </x:c>
      <x:c r="E445" s="12" t="n">
        <x:v>56.91</x:v>
      </x:c>
      <x:c r="F445" s="10" t="n">
        <x:v>0.273</x:v>
      </x:c>
      <x:c r="G445" t="str">
        <x:v>OTC &amp; Wellness</x:v>
      </x:c>
      <x:c r="H445" t="str">
        <x:v>Vitamins</x:v>
      </x:c>
      <x:c r="I445" t="str">
        <x:v>MFG003</x:v>
      </x:c>
      <x:c r="J445" t="str">
        <x:v>Manufacturer 003</x:v>
      </x:c>
      <x:c r="K445" t="str">
        <x:v>SUP023</x:v>
      </x:c>
      <x:c r="L445" t="str">
        <x:v>Supplier 023</x:v>
      </x:c>
      <x:c r="M445" t="str">
        <x:v>REG-466552</x:v>
      </x:c>
      <x:c r="N445" t="str">
        <x:v>Generic Ingredient 076</x:v>
      </x:c>
      <x:c r="O445" t="str">
        <x:v>General Sale</x:v>
      </x:c>
      <x:c r="P445" t="n">
        <x:v>41</x:v>
      </x:c>
      <x:c r="Q445" t="n">
        <x:v>0</x:v>
      </x:c>
      <x:c r="R445" t="n">
        <x:v>21</x:v>
      </x:c>
      <x:c r="S445" s="12" t="n">
        <x:f>E445*Q445</x:f>
        <x:v>0</x:v>
      </x:c>
      <x:c r="T445" s="12" t="n">
        <x:f>ROUND(S445*F445+0.000000001,2)</x:f>
        <x:v>0</x:v>
      </x:c>
      <x:c r="U445" s="12" t="n">
        <x:f>E445*R445</x:f>
        <x:v>1195.11</x:v>
      </x:c>
      <x:c r="V445" t="str">
        <x:f>IF(AND(C445="Active",Q445=0),"Active Zero Sales","Not Zero Sales")</x:f>
        <x:v>Active Zero Sales</x:v>
      </x:c>
      <x:c r="W445" s="12" t="n">
        <x:f>IF(V445="Active Zero Sales",U445,0)</x:f>
        <x:v>1195.11</x:v>
      </x:c>
      <x:c r="X445" t="str">
        <x:f>IF(E445&lt;25,"Low &lt; 25",IF(E445&lt;100,"Medium 25-99",IF(E445&lt;300,"High 100-299","Premium 300+")))</x:f>
        <x:v>Medium 25-99</x:v>
      </x:c>
      <x:c r="Y445" t="n">
        <x:f>IF(C445="Active",1,0)</x:f>
        <x:v>1</x:v>
      </x:c>
    </x:row>
    <x:row r="446">
      <x:c r="A446" t="str">
        <x:v>SKU00445</x:v>
      </x:c>
      <x:c r="B446" t="str">
        <x:v>Sample Product 00445</x:v>
      </x:c>
      <x:c r="C446" t="str">
        <x:v>Active</x:v>
      </x:c>
      <x:c r="D446" t="str">
        <x:v>2026-01</x:v>
      </x:c>
      <x:c r="E446" s="12" t="n">
        <x:v>72.4</x:v>
      </x:c>
      <x:c r="F446" s="10" t="n">
        <x:v>0.316</x:v>
      </x:c>
      <x:c r="G446" t="str">
        <x:v>Personal Care</x:v>
      </x:c>
      <x:c r="H446" t="str">
        <x:v>Hair Care</x:v>
      </x:c>
      <x:c r="I446" t="str">
        <x:v>MFG018</x:v>
      </x:c>
      <x:c r="J446" t="str">
        <x:v>Manufacturer 018</x:v>
      </x:c>
      <x:c r="K446" t="str">
        <x:v>SUP023</x:v>
      </x:c>
      <x:c r="L446" t="str">
        <x:v>Supplier 023</x:v>
      </x:c>
      <x:c r="M446" t="str">
        <x:v>REG-631888</x:v>
      </x:c>
      <x:c r="N446" t="str">
        <x:v>Generic Ingredient 069</x:v>
      </x:c>
      <x:c r="O446" t="str">
        <x:v>General Sale</x:v>
      </x:c>
      <x:c r="P446" t="n">
        <x:v>103</x:v>
      </x:c>
      <x:c r="Q446" t="n">
        <x:v>50</x:v>
      </x:c>
      <x:c r="R446" t="n">
        <x:v>12</x:v>
      </x:c>
      <x:c r="S446" s="12" t="n">
        <x:f>E446*Q446</x:f>
        <x:v>3620.0000000000005</x:v>
      </x:c>
      <x:c r="T446" s="12" t="n">
        <x:f>ROUND(S446*F446+0.000000001,2)</x:f>
        <x:v>1143.92</x:v>
      </x:c>
      <x:c r="U446" s="12" t="n">
        <x:f>E446*R446</x:f>
        <x:v>868.8000000000001</x:v>
      </x:c>
      <x:c r="V446" t="str">
        <x:f>IF(AND(C446="Active",Q446=0),"Active Zero Sales","Not Zero Sales")</x:f>
        <x:v>Not Zero Sales</x:v>
      </x:c>
      <x:c r="W446" s="12" t="n">
        <x:f>IF(V446="Active Zero Sales",U446,0)</x:f>
        <x:v>0</x:v>
      </x:c>
      <x:c r="X446" t="str">
        <x:f>IF(E446&lt;25,"Low &lt; 25",IF(E446&lt;100,"Medium 25-99",IF(E446&lt;300,"High 100-299","Premium 300+")))</x:f>
        <x:v>Medium 25-99</x:v>
      </x:c>
      <x:c r="Y446" t="n">
        <x:f>IF(C446="Active",1,0)</x:f>
        <x:v>1</x:v>
      </x:c>
    </x:row>
    <x:row r="447">
      <x:c r="A447" t="str">
        <x:v>SKU00446</x:v>
      </x:c>
      <x:c r="B447" t="str">
        <x:v>Sample Product 00446</x:v>
      </x:c>
      <x:c r="C447" t="str">
        <x:v>Active</x:v>
      </x:c>
      <x:c r="D447" t="str">
        <x:v>2026-05</x:v>
      </x:c>
      <x:c r="E447" s="12" t="n">
        <x:v>51.49</x:v>
      </x:c>
      <x:c r="F447" s="10" t="n">
        <x:v>0.34</x:v>
      </x:c>
      <x:c r="G447" t="str">
        <x:v>OTC &amp; Wellness</x:v>
      </x:c>
      <x:c r="H447" t="str">
        <x:v>Vitamins</x:v>
      </x:c>
      <x:c r="I447" t="str">
        <x:v>MFG011</x:v>
      </x:c>
      <x:c r="J447" t="str">
        <x:v>Manufacturer 011</x:v>
      </x:c>
      <x:c r="K447" t="str">
        <x:v>SUP010</x:v>
      </x:c>
      <x:c r="L447" t="str">
        <x:v>Supplier 010</x:v>
      </x:c>
      <x:c r="M447" t="str">
        <x:v>REG-848637</x:v>
      </x:c>
      <x:c r="N447" t="str">
        <x:v>Generic Ingredient 085</x:v>
      </x:c>
      <x:c r="O447" t="str">
        <x:v>General Sale</x:v>
      </x:c>
      <x:c r="P447" t="n">
        <x:v>78</x:v>
      </x:c>
      <x:c r="Q447" t="n">
        <x:v>72</x:v>
      </x:c>
      <x:c r="R447" t="n">
        <x:v>13</x:v>
      </x:c>
      <x:c r="S447" s="12" t="n">
        <x:f>E447*Q447</x:f>
        <x:v>3707.28</x:v>
      </x:c>
      <x:c r="T447" s="12" t="n">
        <x:f>ROUND(S447*F447+0.000000001,2)</x:f>
        <x:v>1260.48</x:v>
      </x:c>
      <x:c r="U447" s="12" t="n">
        <x:f>E447*R447</x:f>
        <x:v>669.37</x:v>
      </x:c>
      <x:c r="V447" t="str">
        <x:f>IF(AND(C447="Active",Q447=0),"Active Zero Sales","Not Zero Sales")</x:f>
        <x:v>Not Zero Sales</x:v>
      </x:c>
      <x:c r="W447" s="12" t="n">
        <x:f>IF(V447="Active Zero Sales",U447,0)</x:f>
        <x:v>0</x:v>
      </x:c>
      <x:c r="X447" t="str">
        <x:f>IF(E447&lt;25,"Low &lt; 25",IF(E447&lt;100,"Medium 25-99",IF(E447&lt;300,"High 100-299","Premium 300+")))</x:f>
        <x:v>Medium 25-99</x:v>
      </x:c>
      <x:c r="Y447" t="n">
        <x:f>IF(C447="Active",1,0)</x:f>
        <x:v>1</x:v>
      </x:c>
    </x:row>
    <x:row r="448">
      <x:c r="A448" t="str">
        <x:v>SKU00447</x:v>
      </x:c>
      <x:c r="B448" t="str">
        <x:v>Sample Product 00447</x:v>
      </x:c>
      <x:c r="C448" t="str">
        <x:v>Blocked</x:v>
      </x:c>
      <x:c r="D448" t="str">
        <x:v>2026-04</x:v>
      </x:c>
      <x:c r="E448" s="12" t="n">
        <x:v>24.44</x:v>
      </x:c>
      <x:c r="F448" s="10" t="n">
        <x:v>0.082</x:v>
      </x:c>
      <x:c r="G448" t="str">
        <x:v>General Merchandise</x:v>
      </x:c>
      <x:c r="H448" t="str">
        <x:v>Baby Essentials</x:v>
      </x:c>
      <x:c r="I448" t="str">
        <x:v>MFG013</x:v>
      </x:c>
      <x:c r="J448" t="str">
        <x:v>Manufacturer 013</x:v>
      </x:c>
      <x:c r="K448" t="str">
        <x:v>SUP013</x:v>
      </x:c>
      <x:c r="L448" t="str">
        <x:v>Supplier 013</x:v>
      </x:c>
      <x:c r="M448" t="str">
        <x:v>REG-141528</x:v>
      </x:c>
      <x:c r="N448" t="str">
        <x:v>Generic Ingredient 060</x:v>
      </x:c>
      <x:c r="O448" t="str">
        <x:v>General Sale</x:v>
      </x:c>
      <x:c r="P448" t="n">
        <x:v>49</x:v>
      </x:c>
      <x:c r="Q448" t="n">
        <x:v>0</x:v>
      </x:c>
      <x:c r="R448" t="n">
        <x:v>9</x:v>
      </x:c>
      <x:c r="S448" s="12" t="n">
        <x:f>E448*Q448</x:f>
        <x:v>0</x:v>
      </x:c>
      <x:c r="T448" s="12" t="n">
        <x:f>ROUND(S448*F448+0.000000001,2)</x:f>
        <x:v>0</x:v>
      </x:c>
      <x:c r="U448" s="12" t="n">
        <x:f>E448*R448</x:f>
        <x:v>219.96</x:v>
      </x:c>
      <x:c r="V448" t="str">
        <x:f>IF(AND(C448="Active",Q448=0),"Active Zero Sales","Not Zero Sales")</x:f>
        <x:v>Not Zero Sales</x:v>
      </x:c>
      <x:c r="W448" s="12" t="n">
        <x:f>IF(V448="Active Zero Sales",U448,0)</x:f>
        <x:v>0</x:v>
      </x:c>
      <x:c r="X448" t="str">
        <x:f>IF(E448&lt;25,"Low &lt; 25",IF(E448&lt;100,"Medium 25-99",IF(E448&lt;300,"High 100-299","Premium 300+")))</x:f>
        <x:v>Low &lt; 25</x:v>
      </x:c>
      <x:c r="Y448" t="n">
        <x:f>IF(C448="Active",1,0)</x:f>
        <x:v>0</x:v>
      </x:c>
    </x:row>
    <x:row r="449">
      <x:c r="A449" t="str">
        <x:v>SKU00448</x:v>
      </x:c>
      <x:c r="B449" t="str">
        <x:v>Sample Product 00448</x:v>
      </x:c>
      <x:c r="C449" t="str">
        <x:v>Active</x:v>
      </x:c>
      <x:c r="D449" t="str">
        <x:v>2026-06</x:v>
      </x:c>
      <x:c r="E449" s="12" t="n">
        <x:v>21.49</x:v>
      </x:c>
      <x:c r="F449" s="10" t="n">
        <x:v>0.452</x:v>
      </x:c>
      <x:c r="G449" t="str">
        <x:v>Personal Care</x:v>
      </x:c>
      <x:c r="H449" t="str">
        <x:v>Hygiene</x:v>
      </x:c>
      <x:c r="I449" t="str">
        <x:v>MFG006</x:v>
      </x:c>
      <x:c r="J449" t="str">
        <x:v>Manufacturer 006</x:v>
      </x:c>
      <x:c r="K449" t="str">
        <x:v>SUP012</x:v>
      </x:c>
      <x:c r="L449" t="str">
        <x:v>Supplier 012</x:v>
      </x:c>
      <x:c r="M449" t="str">
        <x:v>REG-679926</x:v>
      </x:c>
      <x:c r="N449" t="str">
        <x:v>Generic Ingredient 133</x:v>
      </x:c>
      <x:c r="O449" t="str">
        <x:v>General Sale</x:v>
      </x:c>
      <x:c r="P449" t="n">
        <x:v>77</x:v>
      </x:c>
      <x:c r="Q449" t="n">
        <x:v>23</x:v>
      </x:c>
      <x:c r="R449" t="n">
        <x:v>11</x:v>
      </x:c>
      <x:c r="S449" s="12" t="n">
        <x:f>E449*Q449</x:f>
        <x:v>494.27</x:v>
      </x:c>
      <x:c r="T449" s="12" t="n">
        <x:f>ROUND(S449*F449+0.000000001,2)</x:f>
        <x:v>223.41</x:v>
      </x:c>
      <x:c r="U449" s="12" t="n">
        <x:f>E449*R449</x:f>
        <x:v>236.39</x:v>
      </x:c>
      <x:c r="V449" t="str">
        <x:f>IF(AND(C449="Active",Q449=0),"Active Zero Sales","Not Zero Sales")</x:f>
        <x:v>Not Zero Sales</x:v>
      </x:c>
      <x:c r="W449" s="12" t="n">
        <x:f>IF(V449="Active Zero Sales",U449,0)</x:f>
        <x:v>0</x:v>
      </x:c>
      <x:c r="X449" t="str">
        <x:f>IF(E449&lt;25,"Low &lt; 25",IF(E449&lt;100,"Medium 25-99",IF(E449&lt;300,"High 100-299","Premium 300+")))</x:f>
        <x:v>Low &lt; 25</x:v>
      </x:c>
      <x:c r="Y449" t="n">
        <x:f>IF(C449="Active",1,0)</x:f>
        <x:v>1</x:v>
      </x:c>
    </x:row>
    <x:row r="450">
      <x:c r="A450" t="str">
        <x:v>SKU00449</x:v>
      </x:c>
      <x:c r="B450" t="str">
        <x:v>Sample Product 00449</x:v>
      </x:c>
      <x:c r="C450" t="str">
        <x:v>Active</x:v>
      </x:c>
      <x:c r="D450" t="str">
        <x:v>2026-03</x:v>
      </x:c>
      <x:c r="E450" s="12" t="n">
        <x:v>99.33</x:v>
      </x:c>
      <x:c r="F450" s="10" t="n">
        <x:v>0.264</x:v>
      </x:c>
      <x:c r="G450" t="str">
        <x:v>OTC &amp; Wellness</x:v>
      </x:c>
      <x:c r="H450" t="str">
        <x:v>Digestive Care</x:v>
      </x:c>
      <x:c r="I450" t="str">
        <x:v>MFG004</x:v>
      </x:c>
      <x:c r="J450" t="str">
        <x:v>Manufacturer 004</x:v>
      </x:c>
      <x:c r="K450" t="str">
        <x:v>SUP025</x:v>
      </x:c>
      <x:c r="L450" t="str">
        <x:v>Supplier 025</x:v>
      </x:c>
      <x:c r="M450" t="str">
        <x:v>REG-676624</x:v>
      </x:c>
      <x:c r="N450" t="str">
        <x:v>Generic Ingredient 084</x:v>
      </x:c>
      <x:c r="O450" t="str">
        <x:v>Pharmacy Only</x:v>
      </x:c>
      <x:c r="P450" t="n">
        <x:v>130</x:v>
      </x:c>
      <x:c r="Q450" t="n">
        <x:v>53</x:v>
      </x:c>
      <x:c r="R450" t="n">
        <x:v>29</x:v>
      </x:c>
      <x:c r="S450" s="12" t="n">
        <x:f>E450*Q450</x:f>
        <x:v>5264.49</x:v>
      </x:c>
      <x:c r="T450" s="12" t="n">
        <x:f>ROUND(S450*F450+0.000000001,2)</x:f>
        <x:v>1389.83</x:v>
      </x:c>
      <x:c r="U450" s="12" t="n">
        <x:f>E450*R450</x:f>
        <x:v>2880.57</x:v>
      </x:c>
      <x:c r="V450" t="str">
        <x:f>IF(AND(C450="Active",Q450=0),"Active Zero Sales","Not Zero Sales")</x:f>
        <x:v>Not Zero Sales</x:v>
      </x:c>
      <x:c r="W450" s="12" t="n">
        <x:f>IF(V450="Active Zero Sales",U450,0)</x:f>
        <x:v>0</x:v>
      </x:c>
      <x:c r="X450" t="str">
        <x:f>IF(E450&lt;25,"Low &lt; 25",IF(E450&lt;100,"Medium 25-99",IF(E450&lt;300,"High 100-299","Premium 300+")))</x:f>
        <x:v>Medium 25-99</x:v>
      </x:c>
      <x:c r="Y450" t="n">
        <x:f>IF(C450="Active",1,0)</x:f>
        <x:v>1</x:v>
      </x:c>
    </x:row>
    <x:row r="451">
      <x:c r="A451" t="str">
        <x:v>SKU00450</x:v>
      </x:c>
      <x:c r="B451" t="str">
        <x:v>Sample Product 00450</x:v>
      </x:c>
      <x:c r="C451" t="str">
        <x:v>Active</x:v>
      </x:c>
      <x:c r="D451" t="str">
        <x:v>2026-02</x:v>
      </x:c>
      <x:c r="E451" s="12" t="n">
        <x:v>17.22</x:v>
      </x:c>
      <x:c r="F451" s="10" t="n">
        <x:v>0.288</x:v>
      </x:c>
      <x:c r="G451" t="str">
        <x:v>Nutrition</x:v>
      </x:c>
      <x:c r="H451" t="str">
        <x:v>Healthy Snacks</x:v>
      </x:c>
      <x:c r="I451" t="str">
        <x:v>MFG016</x:v>
      </x:c>
      <x:c r="J451" t="str">
        <x:v>Manufacturer 016</x:v>
      </x:c>
      <x:c r="K451" t="str">
        <x:v>SUP028</x:v>
      </x:c>
      <x:c r="L451" t="str">
        <x:v>Supplier 028</x:v>
      </x:c>
      <x:c r="M451" t="str">
        <x:v>REG-833966</x:v>
      </x:c>
      <x:c r="N451" t="str">
        <x:v>Generic Ingredient 175</x:v>
      </x:c>
      <x:c r="O451" t="str">
        <x:v>General Sale</x:v>
      </x:c>
      <x:c r="P451" t="n">
        <x:v>98</x:v>
      </x:c>
      <x:c r="Q451" t="n">
        <x:v>34</x:v>
      </x:c>
      <x:c r="R451" t="n">
        <x:v>18</x:v>
      </x:c>
      <x:c r="S451" s="12" t="n">
        <x:f>E451*Q451</x:f>
        <x:v>585.48</x:v>
      </x:c>
      <x:c r="T451" s="12" t="n">
        <x:f>ROUND(S451*F451+0.000000001,2)</x:f>
        <x:v>168.62</x:v>
      </x:c>
      <x:c r="U451" s="12" t="n">
        <x:f>E451*R451</x:f>
        <x:v>309.96</x:v>
      </x:c>
      <x:c r="V451" t="str">
        <x:f>IF(AND(C451="Active",Q451=0),"Active Zero Sales","Not Zero Sales")</x:f>
        <x:v>Not Zero Sales</x:v>
      </x:c>
      <x:c r="W451" s="12" t="n">
        <x:f>IF(V451="Active Zero Sales",U451,0)</x:f>
        <x:v>0</x:v>
      </x:c>
      <x:c r="X451" t="str">
        <x:f>IF(E451&lt;25,"Low &lt; 25",IF(E451&lt;100,"Medium 25-99",IF(E451&lt;300,"High 100-299","Premium 300+")))</x:f>
        <x:v>Low &lt; 25</x:v>
      </x:c>
      <x:c r="Y451" t="n">
        <x:f>IF(C451="Active",1,0)</x:f>
        <x:v>1</x:v>
      </x:c>
    </x:row>
    <x:row r="452">
      <x:c r="A452" t="str">
        <x:v>SKU00451</x:v>
      </x:c>
      <x:c r="B452" t="str">
        <x:v>Sample Product 00451</x:v>
      </x:c>
      <x:c r="C452" t="str">
        <x:v>Active</x:v>
      </x:c>
      <x:c r="D452" t="str">
        <x:v>2026-03</x:v>
      </x:c>
      <x:c r="E452" s="12" t="n">
        <x:v>25.11</x:v>
      </x:c>
      <x:c r="F452" s="10" t="n">
        <x:v>0.371</x:v>
      </x:c>
      <x:c r="G452" t="str">
        <x:v>Personal Care</x:v>
      </x:c>
      <x:c r="H452" t="str">
        <x:v>Oral Care</x:v>
      </x:c>
      <x:c r="I452" t="str">
        <x:v>MFG010</x:v>
      </x:c>
      <x:c r="J452" t="str">
        <x:v>Manufacturer 010</x:v>
      </x:c>
      <x:c r="K452" t="str">
        <x:v>SUP001</x:v>
      </x:c>
      <x:c r="L452" t="str">
        <x:v>Supplier 001</x:v>
      </x:c>
      <x:c r="M452" t="str">
        <x:v>REG-565333</x:v>
      </x:c>
      <x:c r="N452" t="str">
        <x:v>Generic Ingredient 150</x:v>
      </x:c>
      <x:c r="O452" t="str">
        <x:v>General Sale</x:v>
      </x:c>
      <x:c r="P452" t="n">
        <x:v>52</x:v>
      </x:c>
      <x:c r="Q452" t="n">
        <x:v>44</x:v>
      </x:c>
      <x:c r="R452" t="n">
        <x:v>18</x:v>
      </x:c>
      <x:c r="S452" s="12" t="n">
        <x:f>E452*Q452</x:f>
        <x:v>1104.84</x:v>
      </x:c>
      <x:c r="T452" s="12" t="n">
        <x:f>ROUND(S452*F452+0.000000001,2)</x:f>
        <x:v>409.9</x:v>
      </x:c>
      <x:c r="U452" s="12" t="n">
        <x:f>E452*R452</x:f>
        <x:v>451.98</x:v>
      </x:c>
      <x:c r="V452" t="str">
        <x:f>IF(AND(C452="Active",Q452=0),"Active Zero Sales","Not Zero Sales")</x:f>
        <x:v>Not Zero Sales</x:v>
      </x:c>
      <x:c r="W452" s="12" t="n">
        <x:f>IF(V452="Active Zero Sales",U452,0)</x:f>
        <x:v>0</x:v>
      </x:c>
      <x:c r="X452" t="str">
        <x:f>IF(E452&lt;25,"Low &lt; 25",IF(E452&lt;100,"Medium 25-99",IF(E452&lt;300,"High 100-299","Premium 300+")))</x:f>
        <x:v>Medium 25-99</x:v>
      </x:c>
      <x:c r="Y452" t="n">
        <x:f>IF(C452="Active",1,0)</x:f>
        <x:v>1</x:v>
      </x:c>
    </x:row>
    <x:row r="453">
      <x:c r="A453" t="str">
        <x:v>SKU00452</x:v>
      </x:c>
      <x:c r="B453" t="str">
        <x:v>Sample Product 00452</x:v>
      </x:c>
      <x:c r="C453" t="str">
        <x:v>Active</x:v>
      </x:c>
      <x:c r="D453" t="str">
        <x:v>2026-06</x:v>
      </x:c>
      <x:c r="E453" s="12" t="n">
        <x:v>80.34</x:v>
      </x:c>
      <x:c r="F453" s="10" t="n">
        <x:v>0.318</x:v>
      </x:c>
      <x:c r="G453" t="str">
        <x:v>Nutrition</x:v>
      </x:c>
      <x:c r="H453" t="str">
        <x:v>Adult Nutrition</x:v>
      </x:c>
      <x:c r="I453" t="str">
        <x:v>MFG010</x:v>
      </x:c>
      <x:c r="J453" t="str">
        <x:v>Manufacturer 010</x:v>
      </x:c>
      <x:c r="K453" t="str">
        <x:v>SUP030</x:v>
      </x:c>
      <x:c r="L453" t="str">
        <x:v>Supplier 030</x:v>
      </x:c>
      <x:c r="M453" t="str">
        <x:v>REG-507942</x:v>
      </x:c>
      <x:c r="N453" t="str">
        <x:v>Generic Ingredient 158</x:v>
      </x:c>
      <x:c r="O453" t="str">
        <x:v>General Sale</x:v>
      </x:c>
      <x:c r="P453" t="n">
        <x:v>29</x:v>
      </x:c>
      <x:c r="Q453" t="n">
        <x:v>28</x:v>
      </x:c>
      <x:c r="R453" t="n">
        <x:v>6</x:v>
      </x:c>
      <x:c r="S453" s="12" t="n">
        <x:f>E453*Q453</x:f>
        <x:v>2249.52</x:v>
      </x:c>
      <x:c r="T453" s="12" t="n">
        <x:f>ROUND(S453*F453+0.000000001,2)</x:f>
        <x:v>715.35</x:v>
      </x:c>
      <x:c r="U453" s="12" t="n">
        <x:f>E453*R453</x:f>
        <x:v>482.04</x:v>
      </x:c>
      <x:c r="V453" t="str">
        <x:f>IF(AND(C453="Active",Q453=0),"Active Zero Sales","Not Zero Sales")</x:f>
        <x:v>Not Zero Sales</x:v>
      </x:c>
      <x:c r="W453" s="12" t="n">
        <x:f>IF(V453="Active Zero Sales",U453,0)</x:f>
        <x:v>0</x:v>
      </x:c>
      <x:c r="X453" t="str">
        <x:f>IF(E453&lt;25,"Low &lt; 25",IF(E453&lt;100,"Medium 25-99",IF(E453&lt;300,"High 100-299","Premium 300+")))</x:f>
        <x:v>Medium 25-99</x:v>
      </x:c>
      <x:c r="Y453" t="n">
        <x:f>IF(C453="Active",1,0)</x:f>
        <x:v>1</x:v>
      </x:c>
    </x:row>
    <x:row r="454">
      <x:c r="A454" t="str">
        <x:v>SKU00453</x:v>
      </x:c>
      <x:c r="B454" t="str">
        <x:v>Sample Product 00453</x:v>
      </x:c>
      <x:c r="C454" t="str">
        <x:v>Active</x:v>
      </x:c>
      <x:c r="D454" t="str">
        <x:v>2026-03</x:v>
      </x:c>
      <x:c r="E454" s="12" t="n">
        <x:v>20.22</x:v>
      </x:c>
      <x:c r="F454" s="10" t="n">
        <x:v>0.404</x:v>
      </x:c>
      <x:c r="G454" t="str">
        <x:v>General Merchandise</x:v>
      </x:c>
      <x:c r="H454" t="str">
        <x:v>Seasonal Care</x:v>
      </x:c>
      <x:c r="I454" t="str">
        <x:v>MFG004</x:v>
      </x:c>
      <x:c r="J454" t="str">
        <x:v>Manufacturer 004</x:v>
      </x:c>
      <x:c r="K454" t="str">
        <x:v>SUP007</x:v>
      </x:c>
      <x:c r="L454" t="str">
        <x:v>Supplier 007</x:v>
      </x:c>
      <x:c r="M454" t="str">
        <x:v>REG-488932</x:v>
      </x:c>
      <x:c r="N454" t="str">
        <x:v>Generic Ingredient 151</x:v>
      </x:c>
      <x:c r="O454" t="str">
        <x:v>Pharmacy Only</x:v>
      </x:c>
      <x:c r="P454" t="n">
        <x:v>88</x:v>
      </x:c>
      <x:c r="Q454" t="n">
        <x:v>29</x:v>
      </x:c>
      <x:c r="R454" t="n">
        <x:v>19</x:v>
      </x:c>
      <x:c r="S454" s="12" t="n">
        <x:f>E454*Q454</x:f>
        <x:v>586.38</x:v>
      </x:c>
      <x:c r="T454" s="12" t="n">
        <x:f>ROUND(S454*F454+0.000000001,2)</x:f>
        <x:v>236.9</x:v>
      </x:c>
      <x:c r="U454" s="12" t="n">
        <x:f>E454*R454</x:f>
        <x:v>384.17999999999995</x:v>
      </x:c>
      <x:c r="V454" t="str">
        <x:f>IF(AND(C454="Active",Q454=0),"Active Zero Sales","Not Zero Sales")</x:f>
        <x:v>Not Zero Sales</x:v>
      </x:c>
      <x:c r="W454" s="12" t="n">
        <x:f>IF(V454="Active Zero Sales",U454,0)</x:f>
        <x:v>0</x:v>
      </x:c>
      <x:c r="X454" t="str">
        <x:f>IF(E454&lt;25,"Low &lt; 25",IF(E454&lt;100,"Medium 25-99",IF(E454&lt;300,"High 100-299","Premium 300+")))</x:f>
        <x:v>Low &lt; 25</x:v>
      </x:c>
      <x:c r="Y454" t="n">
        <x:f>IF(C454="Active",1,0)</x:f>
        <x:v>1</x:v>
      </x:c>
    </x:row>
    <x:row r="455">
      <x:c r="A455" t="str">
        <x:v>SKU00454</x:v>
      </x:c>
      <x:c r="B455" t="str">
        <x:v>Sample Product 00454</x:v>
      </x:c>
      <x:c r="C455" t="str">
        <x:v>Active</x:v>
      </x:c>
      <x:c r="D455" t="str">
        <x:v>2026-05</x:v>
      </x:c>
      <x:c r="E455" s="12" t="n">
        <x:v>6.43</x:v>
      </x:c>
      <x:c r="F455" s="10" t="n">
        <x:v>0.289</x:v>
      </x:c>
      <x:c r="G455" t="str">
        <x:v>OTC &amp; Wellness</x:v>
      </x:c>
      <x:c r="H455" t="str">
        <x:v>Digestive Care</x:v>
      </x:c>
      <x:c r="I455" t="str">
        <x:v>MFG016</x:v>
      </x:c>
      <x:c r="J455" t="str">
        <x:v>Manufacturer 016</x:v>
      </x:c>
      <x:c r="K455" t="str">
        <x:v>SUP001</x:v>
      </x:c>
      <x:c r="L455" t="str">
        <x:v>Supplier 001</x:v>
      </x:c>
      <x:c r="M455" t="str">
        <x:v>REG-345574</x:v>
      </x:c>
      <x:c r="N455" t="str">
        <x:v>Generic Ingredient 162</x:v>
      </x:c>
      <x:c r="O455" t="str">
        <x:v>General Sale</x:v>
      </x:c>
      <x:c r="P455" t="n">
        <x:v>93</x:v>
      </x:c>
      <x:c r="Q455" t="n">
        <x:v>45</x:v>
      </x:c>
      <x:c r="R455" t="n">
        <x:v>15</x:v>
      </x:c>
      <x:c r="S455" s="12" t="n">
        <x:f>E455*Q455</x:f>
        <x:v>289.34999999999997</x:v>
      </x:c>
      <x:c r="T455" s="12" t="n">
        <x:f>ROUND(S455*F455+0.000000001,2)</x:f>
        <x:v>83.62</x:v>
      </x:c>
      <x:c r="U455" s="12" t="n">
        <x:f>E455*R455</x:f>
        <x:v>96.44999999999999</x:v>
      </x:c>
      <x:c r="V455" t="str">
        <x:f>IF(AND(C455="Active",Q455=0),"Active Zero Sales","Not Zero Sales")</x:f>
        <x:v>Not Zero Sales</x:v>
      </x:c>
      <x:c r="W455" s="12" t="n">
        <x:f>IF(V455="Active Zero Sales",U455,0)</x:f>
        <x:v>0</x:v>
      </x:c>
      <x:c r="X455" t="str">
        <x:f>IF(E455&lt;25,"Low &lt; 25",IF(E455&lt;100,"Medium 25-99",IF(E455&lt;300,"High 100-299","Premium 300+")))</x:f>
        <x:v>Low &lt; 25</x:v>
      </x:c>
      <x:c r="Y455" t="n">
        <x:f>IF(C455="Active",1,0)</x:f>
        <x:v>1</x:v>
      </x:c>
    </x:row>
    <x:row r="456">
      <x:c r="A456" t="str">
        <x:v>SKU00455</x:v>
      </x:c>
      <x:c r="B456" t="str">
        <x:v>Sample Product 00455</x:v>
      </x:c>
      <x:c r="C456" t="str">
        <x:v>Blocked</x:v>
      </x:c>
      <x:c r="D456" t="str">
        <x:v>2026-02</x:v>
      </x:c>
      <x:c r="E456" s="12" t="n">
        <x:v>524.26</x:v>
      </x:c>
      <x:c r="F456" s="10" t="n">
        <x:v>0.352</x:v>
      </x:c>
      <x:c r="G456" t="str">
        <x:v>General Merchandise</x:v>
      </x:c>
      <x:c r="H456" t="str">
        <x:v>Travel Health</x:v>
      </x:c>
      <x:c r="I456" t="str">
        <x:v>MFG002</x:v>
      </x:c>
      <x:c r="J456" t="str">
        <x:v>Manufacturer 002</x:v>
      </x:c>
      <x:c r="K456" t="str">
        <x:v>SUP019</x:v>
      </x:c>
      <x:c r="L456" t="str">
        <x:v>Supplier 019</x:v>
      </x:c>
      <x:c r="M456" t="str">
        <x:v>REG-714310</x:v>
      </x:c>
      <x:c r="N456" t="str">
        <x:v>Generic Ingredient 033</x:v>
      </x:c>
      <x:c r="O456" t="str">
        <x:v>General Sale</x:v>
      </x:c>
      <x:c r="P456" t="n">
        <x:v>27</x:v>
      </x:c>
      <x:c r="Q456" t="n">
        <x:v>0</x:v>
      </x:c>
      <x:c r="R456" t="n">
        <x:v>0</x:v>
      </x:c>
      <x:c r="S456" s="12" t="n">
        <x:f>E456*Q456</x:f>
        <x:v>0</x:v>
      </x:c>
      <x:c r="T456" s="12" t="n">
        <x:f>ROUND(S456*F456+0.000000001,2)</x:f>
        <x:v>0</x:v>
      </x:c>
      <x:c r="U456" s="12" t="n">
        <x:f>E456*R456</x:f>
        <x:v>0</x:v>
      </x:c>
      <x:c r="V456" t="str">
        <x:f>IF(AND(C456="Active",Q456=0),"Active Zero Sales","Not Zero Sales")</x:f>
        <x:v>Not Zero Sales</x:v>
      </x:c>
      <x:c r="W456" s="12" t="n">
        <x:f>IF(V456="Active Zero Sales",U456,0)</x:f>
        <x:v>0</x:v>
      </x:c>
      <x:c r="X456" t="str">
        <x:f>IF(E456&lt;25,"Low &lt; 25",IF(E456&lt;100,"Medium 25-99",IF(E456&lt;300,"High 100-299","Premium 300+")))</x:f>
        <x:v>Premium 300+</x:v>
      </x:c>
      <x:c r="Y456" t="n">
        <x:f>IF(C456="Active",1,0)</x:f>
        <x:v>0</x:v>
      </x:c>
    </x:row>
    <x:row r="457">
      <x:c r="A457" t="str">
        <x:v>SKU00456</x:v>
      </x:c>
      <x:c r="B457" t="str">
        <x:v>Sample Product 00456</x:v>
      </x:c>
      <x:c r="C457" t="str">
        <x:v>Active</x:v>
      </x:c>
      <x:c r="D457" t="str">
        <x:v>2026-03</x:v>
      </x:c>
      <x:c r="E457" s="12" t="n">
        <x:v>23.04</x:v>
      </x:c>
      <x:c r="F457" s="10" t="n">
        <x:v>0.353</x:v>
      </x:c>
      <x:c r="G457" t="str">
        <x:v>Personal Care</x:v>
      </x:c>
      <x:c r="H457" t="str">
        <x:v>Skin Care</x:v>
      </x:c>
      <x:c r="I457" t="str">
        <x:v>MFG004</x:v>
      </x:c>
      <x:c r="J457" t="str">
        <x:v>Manufacturer 004</x:v>
      </x:c>
      <x:c r="K457" t="str">
        <x:v>SUP002</x:v>
      </x:c>
      <x:c r="L457" t="str">
        <x:v>Supplier 002</x:v>
      </x:c>
      <x:c r="M457" t="str">
        <x:v>REG-670099</x:v>
      </x:c>
      <x:c r="N457" t="str">
        <x:v>Generic Ingredient 059</x:v>
      </x:c>
      <x:c r="O457" t="str">
        <x:v>Pharmacy Only</x:v>
      </x:c>
      <x:c r="P457" t="n">
        <x:v>147</x:v>
      </x:c>
      <x:c r="Q457" t="n">
        <x:v>93</x:v>
      </x:c>
      <x:c r="R457" t="n">
        <x:v>42</x:v>
      </x:c>
      <x:c r="S457" s="12" t="n">
        <x:f>E457*Q457</x:f>
        <x:v>2142.72</x:v>
      </x:c>
      <x:c r="T457" s="12" t="n">
        <x:f>ROUND(S457*F457+0.000000001,2)</x:f>
        <x:v>756.38</x:v>
      </x:c>
      <x:c r="U457" s="12" t="n">
        <x:f>E457*R457</x:f>
        <x:v>967.68</x:v>
      </x:c>
      <x:c r="V457" t="str">
        <x:f>IF(AND(C457="Active",Q457=0),"Active Zero Sales","Not Zero Sales")</x:f>
        <x:v>Not Zero Sales</x:v>
      </x:c>
      <x:c r="W457" s="12" t="n">
        <x:f>IF(V457="Active Zero Sales",U457,0)</x:f>
        <x:v>0</x:v>
      </x:c>
      <x:c r="X457" t="str">
        <x:f>IF(E457&lt;25,"Low &lt; 25",IF(E457&lt;100,"Medium 25-99",IF(E457&lt;300,"High 100-299","Premium 300+")))</x:f>
        <x:v>Low &lt; 25</x:v>
      </x:c>
      <x:c r="Y457" t="n">
        <x:f>IF(C457="Active",1,0)</x:f>
        <x:v>1</x:v>
      </x:c>
    </x:row>
    <x:row r="458">
      <x:c r="A458" t="str">
        <x:v>SKU00457</x:v>
      </x:c>
      <x:c r="B458" t="str">
        <x:v>Sample Product 00457</x:v>
      </x:c>
      <x:c r="C458" t="str">
        <x:v>Active</x:v>
      </x:c>
      <x:c r="D458" t="str">
        <x:v>2026-04</x:v>
      </x:c>
      <x:c r="E458" s="12" t="n">
        <x:v>48.91</x:v>
      </x:c>
      <x:c r="F458" s="10" t="n">
        <x:v>0.362</x:v>
      </x:c>
      <x:c r="G458" t="str">
        <x:v>Nutrition</x:v>
      </x:c>
      <x:c r="H458" t="str">
        <x:v>Adult Nutrition</x:v>
      </x:c>
      <x:c r="I458" t="str">
        <x:v>MFG005</x:v>
      </x:c>
      <x:c r="J458" t="str">
        <x:v>Manufacturer 005</x:v>
      </x:c>
      <x:c r="K458" t="str">
        <x:v>SUP025</x:v>
      </x:c>
      <x:c r="L458" t="str">
        <x:v>Supplier 025</x:v>
      </x:c>
      <x:c r="M458" t="str">
        <x:v>REG-359316</x:v>
      </x:c>
      <x:c r="N458" t="str">
        <x:v>Generic Ingredient 072</x:v>
      </x:c>
      <x:c r="O458" t="str">
        <x:v>General Sale</x:v>
      </x:c>
      <x:c r="P458" t="n">
        <x:v>82</x:v>
      </x:c>
      <x:c r="Q458" t="n">
        <x:v>30</x:v>
      </x:c>
      <x:c r="R458" t="n">
        <x:v>28</x:v>
      </x:c>
      <x:c r="S458" s="12" t="n">
        <x:f>E458*Q458</x:f>
        <x:v>1467.3</x:v>
      </x:c>
      <x:c r="T458" s="12" t="n">
        <x:f>ROUND(S458*F458+0.000000001,2)</x:f>
        <x:v>531.16</x:v>
      </x:c>
      <x:c r="U458" s="12" t="n">
        <x:f>E458*R458</x:f>
        <x:v>1369.48</x:v>
      </x:c>
      <x:c r="V458" t="str">
        <x:f>IF(AND(C458="Active",Q458=0),"Active Zero Sales","Not Zero Sales")</x:f>
        <x:v>Not Zero Sales</x:v>
      </x:c>
      <x:c r="W458" s="12" t="n">
        <x:f>IF(V458="Active Zero Sales",U458,0)</x:f>
        <x:v>0</x:v>
      </x:c>
      <x:c r="X458" t="str">
        <x:f>IF(E458&lt;25,"Low &lt; 25",IF(E458&lt;100,"Medium 25-99",IF(E458&lt;300,"High 100-299","Premium 300+")))</x:f>
        <x:v>Medium 25-99</x:v>
      </x:c>
      <x:c r="Y458" t="n">
        <x:f>IF(C458="Active",1,0)</x:f>
        <x:v>1</x:v>
      </x:c>
    </x:row>
    <x:row r="459">
      <x:c r="A459" t="str">
        <x:v>SKU00458</x:v>
      </x:c>
      <x:c r="B459" t="str">
        <x:v>Sample Product 00458</x:v>
      </x:c>
      <x:c r="C459" t="str">
        <x:v>Active</x:v>
      </x:c>
      <x:c r="D459" t="str">
        <x:v>2026-06</x:v>
      </x:c>
      <x:c r="E459" s="12" t="n">
        <x:v>138.11</x:v>
      </x:c>
      <x:c r="F459" s="10" t="n">
        <x:v>0.213</x:v>
      </x:c>
      <x:c r="G459" t="str">
        <x:v>Nutrition</x:v>
      </x:c>
      <x:c r="H459" t="str">
        <x:v>Hydration</x:v>
      </x:c>
      <x:c r="I459" t="str">
        <x:v>MFG002</x:v>
      </x:c>
      <x:c r="J459" t="str">
        <x:v>Manufacturer 002</x:v>
      </x:c>
      <x:c r="K459" t="str">
        <x:v>SUP002</x:v>
      </x:c>
      <x:c r="L459" t="str">
        <x:v>Supplier 002</x:v>
      </x:c>
      <x:c r="M459" t="str">
        <x:v>REG-554425</x:v>
      </x:c>
      <x:c r="N459" t="str">
        <x:v>Generic Ingredient 006</x:v>
      </x:c>
      <x:c r="O459" t="str">
        <x:v>General Sale</x:v>
      </x:c>
      <x:c r="P459" t="n">
        <x:v>182</x:v>
      </x:c>
      <x:c r="Q459" t="n">
        <x:v>99</x:v>
      </x:c>
      <x:c r="R459" t="n">
        <x:v>35</x:v>
      </x:c>
      <x:c r="S459" s="12" t="n">
        <x:f>E459*Q459</x:f>
        <x:v>13672.890000000001</x:v>
      </x:c>
      <x:c r="T459" s="12" t="n">
        <x:f>ROUND(S459*F459+0.000000001,2)</x:f>
        <x:v>2912.33</x:v>
      </x:c>
      <x:c r="U459" s="12" t="n">
        <x:f>E459*R459</x:f>
        <x:v>4833.85</x:v>
      </x:c>
      <x:c r="V459" t="str">
        <x:f>IF(AND(C459="Active",Q459=0),"Active Zero Sales","Not Zero Sales")</x:f>
        <x:v>Not Zero Sales</x:v>
      </x:c>
      <x:c r="W459" s="12" t="n">
        <x:f>IF(V459="Active Zero Sales",U459,0)</x:f>
        <x:v>0</x:v>
      </x:c>
      <x:c r="X459" t="str">
        <x:f>IF(E459&lt;25,"Low &lt; 25",IF(E459&lt;100,"Medium 25-99",IF(E459&lt;300,"High 100-299","Premium 300+")))</x:f>
        <x:v>High 100-299</x:v>
      </x:c>
      <x:c r="Y459" t="n">
        <x:f>IF(C459="Active",1,0)</x:f>
        <x:v>1</x:v>
      </x:c>
    </x:row>
    <x:row r="460">
      <x:c r="A460" t="str">
        <x:v>SKU00459</x:v>
      </x:c>
      <x:c r="B460" t="str">
        <x:v>Sample Product 00459</x:v>
      </x:c>
      <x:c r="C460" t="str">
        <x:v>Active</x:v>
      </x:c>
      <x:c r="D460" t="str">
        <x:v>2026-06</x:v>
      </x:c>
      <x:c r="E460" s="12" t="n">
        <x:v>66.67</x:v>
      </x:c>
      <x:c r="F460" s="10" t="n">
        <x:v>0.398</x:v>
      </x:c>
      <x:c r="G460" t="str">
        <x:v>OTC &amp; Wellness</x:v>
      </x:c>
      <x:c r="H460" t="str">
        <x:v>Digestive Care</x:v>
      </x:c>
      <x:c r="I460" t="str">
        <x:v>MFG007</x:v>
      </x:c>
      <x:c r="J460" t="str">
        <x:v>Manufacturer 007</x:v>
      </x:c>
      <x:c r="K460" t="str">
        <x:v>SUP015</x:v>
      </x:c>
      <x:c r="L460" t="str">
        <x:v>Supplier 015</x:v>
      </x:c>
      <x:c r="M460" t="str">
        <x:v>REG-453134</x:v>
      </x:c>
      <x:c r="N460" t="str">
        <x:v>Generic Ingredient 097</x:v>
      </x:c>
      <x:c r="O460" t="str">
        <x:v>Pharmacy Only</x:v>
      </x:c>
      <x:c r="P460" t="n">
        <x:v>66</x:v>
      </x:c>
      <x:c r="Q460" t="n">
        <x:v>37</x:v>
      </x:c>
      <x:c r="R460" t="n">
        <x:v>8</x:v>
      </x:c>
      <x:c r="S460" s="12" t="n">
        <x:f>E460*Q460</x:f>
        <x:v>2466.79</x:v>
      </x:c>
      <x:c r="T460" s="12" t="n">
        <x:f>ROUND(S460*F460+0.000000001,2)</x:f>
        <x:v>981.78</x:v>
      </x:c>
      <x:c r="U460" s="12" t="n">
        <x:f>E460*R460</x:f>
        <x:v>533.36</x:v>
      </x:c>
      <x:c r="V460" t="str">
        <x:f>IF(AND(C460="Active",Q460=0),"Active Zero Sales","Not Zero Sales")</x:f>
        <x:v>Not Zero Sales</x:v>
      </x:c>
      <x:c r="W460" s="12" t="n">
        <x:f>IF(V460="Active Zero Sales",U460,0)</x:f>
        <x:v>0</x:v>
      </x:c>
      <x:c r="X460" t="str">
        <x:f>IF(E460&lt;25,"Low &lt; 25",IF(E460&lt;100,"Medium 25-99",IF(E460&lt;300,"High 100-299","Premium 300+")))</x:f>
        <x:v>Medium 25-99</x:v>
      </x:c>
      <x:c r="Y460" t="n">
        <x:f>IF(C460="Active",1,0)</x:f>
        <x:v>1</x:v>
      </x:c>
    </x:row>
    <x:row r="461">
      <x:c r="A461" t="str">
        <x:v>SKU00460</x:v>
      </x:c>
      <x:c r="B461" t="str">
        <x:v>Sample Product 00460</x:v>
      </x:c>
      <x:c r="C461" t="str">
        <x:v>Active</x:v>
      </x:c>
      <x:c r="D461" t="str">
        <x:v>2026-06</x:v>
      </x:c>
      <x:c r="E461" s="12" t="n">
        <x:v>35.65</x:v>
      </x:c>
      <x:c r="F461" s="10" t="n">
        <x:v>0.243</x:v>
      </x:c>
      <x:c r="G461" t="str">
        <x:v>OTC &amp; Wellness</x:v>
      </x:c>
      <x:c r="H461" t="str">
        <x:v>Vitamins</x:v>
      </x:c>
      <x:c r="I461" t="str">
        <x:v>MFG013</x:v>
      </x:c>
      <x:c r="J461" t="str">
        <x:v>Manufacturer 013</x:v>
      </x:c>
      <x:c r="K461" t="str">
        <x:v>SUP024</x:v>
      </x:c>
      <x:c r="L461" t="str">
        <x:v>Supplier 024</x:v>
      </x:c>
      <x:c r="M461" t="str">
        <x:v>REG-284904</x:v>
      </x:c>
      <x:c r="N461" t="str">
        <x:v>Generic Ingredient 051</x:v>
      </x:c>
      <x:c r="O461" t="str">
        <x:v>Restricted Sale</x:v>
      </x:c>
      <x:c r="P461" t="n">
        <x:v>109</x:v>
      </x:c>
      <x:c r="Q461" t="n">
        <x:v>62</x:v>
      </x:c>
      <x:c r="R461" t="n">
        <x:v>4</x:v>
      </x:c>
      <x:c r="S461" s="12" t="n">
        <x:f>E461*Q461</x:f>
        <x:v>2210.2999999999997</x:v>
      </x:c>
      <x:c r="T461" s="12" t="n">
        <x:f>ROUND(S461*F461+0.000000001,2)</x:f>
        <x:v>537.1</x:v>
      </x:c>
      <x:c r="U461" s="12" t="n">
        <x:f>E461*R461</x:f>
        <x:v>142.6</x:v>
      </x:c>
      <x:c r="V461" t="str">
        <x:f>IF(AND(C461="Active",Q461=0),"Active Zero Sales","Not Zero Sales")</x:f>
        <x:v>Not Zero Sales</x:v>
      </x:c>
      <x:c r="W461" s="12" t="n">
        <x:f>IF(V461="Active Zero Sales",U461,0)</x:f>
        <x:v>0</x:v>
      </x:c>
      <x:c r="X461" t="str">
        <x:f>IF(E461&lt;25,"Low &lt; 25",IF(E461&lt;100,"Medium 25-99",IF(E461&lt;300,"High 100-299","Premium 300+")))</x:f>
        <x:v>Medium 25-99</x:v>
      </x:c>
      <x:c r="Y461" t="n">
        <x:f>IF(C461="Active",1,0)</x:f>
        <x:v>1</x:v>
      </x:c>
    </x:row>
    <x:row r="462">
      <x:c r="A462" t="str">
        <x:v>SKU00461</x:v>
      </x:c>
      <x:c r="B462" t="str">
        <x:v>Sample Product 00461</x:v>
      </x:c>
      <x:c r="C462" t="str">
        <x:v>Active</x:v>
      </x:c>
      <x:c r="D462" t="str">
        <x:v>2026-04</x:v>
      </x:c>
      <x:c r="E462" s="12" t="n">
        <x:v>123.77</x:v>
      </x:c>
      <x:c r="F462" s="10" t="n">
        <x:v>0.344</x:v>
      </x:c>
      <x:c r="G462" t="str">
        <x:v>OTC &amp; Wellness</x:v>
      </x:c>
      <x:c r="H462" t="str">
        <x:v>Vitamins</x:v>
      </x:c>
      <x:c r="I462" t="str">
        <x:v>MFG019</x:v>
      </x:c>
      <x:c r="J462" t="str">
        <x:v>Manufacturer 019</x:v>
      </x:c>
      <x:c r="K462" t="str">
        <x:v>SUP016</x:v>
      </x:c>
      <x:c r="L462" t="str">
        <x:v>Supplier 016</x:v>
      </x:c>
      <x:c r="M462" t="str">
        <x:v>REG-633110</x:v>
      </x:c>
      <x:c r="N462" t="str">
        <x:v>Generic Ingredient 094</x:v>
      </x:c>
      <x:c r="O462" t="str">
        <x:v>General Sale</x:v>
      </x:c>
      <x:c r="P462" t="n">
        <x:v>29</x:v>
      </x:c>
      <x:c r="Q462" t="n">
        <x:v>20</x:v>
      </x:c>
      <x:c r="R462" t="n">
        <x:v>15</x:v>
      </x:c>
      <x:c r="S462" s="12" t="n">
        <x:f>E462*Q462</x:f>
        <x:v>2475.4</x:v>
      </x:c>
      <x:c r="T462" s="12" t="n">
        <x:f>ROUND(S462*F462+0.000000001,2)</x:f>
        <x:v>851.54</x:v>
      </x:c>
      <x:c r="U462" s="12" t="n">
        <x:f>E462*R462</x:f>
        <x:v>1856.55</x:v>
      </x:c>
      <x:c r="V462" t="str">
        <x:f>IF(AND(C462="Active",Q462=0),"Active Zero Sales","Not Zero Sales")</x:f>
        <x:v>Not Zero Sales</x:v>
      </x:c>
      <x:c r="W462" s="12" t="n">
        <x:f>IF(V462="Active Zero Sales",U462,0)</x:f>
        <x:v>0</x:v>
      </x:c>
      <x:c r="X462" t="str">
        <x:f>IF(E462&lt;25,"Low &lt; 25",IF(E462&lt;100,"Medium 25-99",IF(E462&lt;300,"High 100-299","Premium 300+")))</x:f>
        <x:v>High 100-299</x:v>
      </x:c>
      <x:c r="Y462" t="n">
        <x:f>IF(C462="Active",1,0)</x:f>
        <x:v>1</x:v>
      </x:c>
    </x:row>
    <x:row r="463">
      <x:c r="A463" t="str">
        <x:v>SKU00462</x:v>
      </x:c>
      <x:c r="B463" t="str">
        <x:v>Sample Product 00462</x:v>
      </x:c>
      <x:c r="C463" t="str">
        <x:v>Active</x:v>
      </x:c>
      <x:c r="D463" t="str">
        <x:v>2026-03</x:v>
      </x:c>
      <x:c r="E463" s="12" t="n">
        <x:v>9.34</x:v>
      </x:c>
      <x:c r="F463" s="10" t="n">
        <x:v>0.276</x:v>
      </x:c>
      <x:c r="G463" t="str">
        <x:v>Nutrition</x:v>
      </x:c>
      <x:c r="H463" t="str">
        <x:v>Healthy Snacks</x:v>
      </x:c>
      <x:c r="I463" t="str">
        <x:v>MFG002</x:v>
      </x:c>
      <x:c r="J463" t="str">
        <x:v>Manufacturer 002</x:v>
      </x:c>
      <x:c r="K463" t="str">
        <x:v>SUP001</x:v>
      </x:c>
      <x:c r="L463" t="str">
        <x:v>Supplier 001</x:v>
      </x:c>
      <x:c r="M463" t="str">
        <x:v>REG-220171</x:v>
      </x:c>
      <x:c r="N463" t="str">
        <x:v>Generic Ingredient 006</x:v>
      </x:c>
      <x:c r="O463" t="str">
        <x:v>General Sale</x:v>
      </x:c>
      <x:c r="P463" t="n">
        <x:v>88</x:v>
      </x:c>
      <x:c r="Q463" t="n">
        <x:v>56</x:v>
      </x:c>
      <x:c r="R463" t="n">
        <x:v>20</x:v>
      </x:c>
      <x:c r="S463" s="12" t="n">
        <x:f>E463*Q463</x:f>
        <x:v>523.04</x:v>
      </x:c>
      <x:c r="T463" s="12" t="n">
        <x:f>ROUND(S463*F463+0.000000001,2)</x:f>
        <x:v>144.36</x:v>
      </x:c>
      <x:c r="U463" s="12" t="n">
        <x:f>E463*R463</x:f>
        <x:v>186.8</x:v>
      </x:c>
      <x:c r="V463" t="str">
        <x:f>IF(AND(C463="Active",Q463=0),"Active Zero Sales","Not Zero Sales")</x:f>
        <x:v>Not Zero Sales</x:v>
      </x:c>
      <x:c r="W463" s="12" t="n">
        <x:f>IF(V463="Active Zero Sales",U463,0)</x:f>
        <x:v>0</x:v>
      </x:c>
      <x:c r="X463" t="str">
        <x:f>IF(E463&lt;25,"Low &lt; 25",IF(E463&lt;100,"Medium 25-99",IF(E463&lt;300,"High 100-299","Premium 300+")))</x:f>
        <x:v>Low &lt; 25</x:v>
      </x:c>
      <x:c r="Y463" t="n">
        <x:f>IF(C463="Active",1,0)</x:f>
        <x:v>1</x:v>
      </x:c>
    </x:row>
    <x:row r="464">
      <x:c r="A464" t="str">
        <x:v>SKU00463</x:v>
      </x:c>
      <x:c r="B464" t="str">
        <x:v>Sample Product 00463</x:v>
      </x:c>
      <x:c r="C464" t="str">
        <x:v>Active</x:v>
      </x:c>
      <x:c r="D464" t="str">
        <x:v>2026-04</x:v>
      </x:c>
      <x:c r="E464" s="12" t="n">
        <x:v>168.75</x:v>
      </x:c>
      <x:c r="F464" s="10" t="n">
        <x:v>0.306</x:v>
      </x:c>
      <x:c r="G464" t="str">
        <x:v>General Merchandise</x:v>
      </x:c>
      <x:c r="H464" t="str">
        <x:v>Travel Health</x:v>
      </x:c>
      <x:c r="I464" t="str">
        <x:v>MFG019</x:v>
      </x:c>
      <x:c r="J464" t="str">
        <x:v>Manufacturer 019</x:v>
      </x:c>
      <x:c r="K464" t="str">
        <x:v>SUP019</x:v>
      </x:c>
      <x:c r="L464" t="str">
        <x:v>Supplier 019</x:v>
      </x:c>
      <x:c r="M464" t="str">
        <x:v>REG-497404</x:v>
      </x:c>
      <x:c r="N464" t="str">
        <x:v>Generic Ingredient 054</x:v>
      </x:c>
      <x:c r="O464" t="str">
        <x:v>Pharmacy Only</x:v>
      </x:c>
      <x:c r="P464" t="n">
        <x:v>63</x:v>
      </x:c>
      <x:c r="Q464" t="n">
        <x:v>31</x:v>
      </x:c>
      <x:c r="R464" t="n">
        <x:v>16</x:v>
      </x:c>
      <x:c r="S464" s="12" t="n">
        <x:f>E464*Q464</x:f>
        <x:v>5231.25</x:v>
      </x:c>
      <x:c r="T464" s="12" t="n">
        <x:f>ROUND(S464*F464+0.000000001,2)</x:f>
        <x:v>1600.76</x:v>
      </x:c>
      <x:c r="U464" s="12" t="n">
        <x:f>E464*R464</x:f>
        <x:v>2700</x:v>
      </x:c>
      <x:c r="V464" t="str">
        <x:f>IF(AND(C464="Active",Q464=0),"Active Zero Sales","Not Zero Sales")</x:f>
        <x:v>Not Zero Sales</x:v>
      </x:c>
      <x:c r="W464" s="12" t="n">
        <x:f>IF(V464="Active Zero Sales",U464,0)</x:f>
        <x:v>0</x:v>
      </x:c>
      <x:c r="X464" t="str">
        <x:f>IF(E464&lt;25,"Low &lt; 25",IF(E464&lt;100,"Medium 25-99",IF(E464&lt;300,"High 100-299","Premium 300+")))</x:f>
        <x:v>High 100-299</x:v>
      </x:c>
      <x:c r="Y464" t="n">
        <x:f>IF(C464="Active",1,0)</x:f>
        <x:v>1</x:v>
      </x:c>
    </x:row>
    <x:row r="465">
      <x:c r="A465" t="str">
        <x:v>SKU00464</x:v>
      </x:c>
      <x:c r="B465" t="str">
        <x:v>Sample Product 00464</x:v>
      </x:c>
      <x:c r="C465" t="str">
        <x:v>Active</x:v>
      </x:c>
      <x:c r="D465" t="str">
        <x:v>2026-06</x:v>
      </x:c>
      <x:c r="E465" s="12" t="n">
        <x:v>15.52</x:v>
      </x:c>
      <x:c r="F465" s="10" t="n">
        <x:v>0.288</x:v>
      </x:c>
      <x:c r="G465" t="str">
        <x:v>Nutrition</x:v>
      </x:c>
      <x:c r="H465" t="str">
        <x:v>Adult Nutrition</x:v>
      </x:c>
      <x:c r="I465" t="str">
        <x:v>MFG005</x:v>
      </x:c>
      <x:c r="J465" t="str">
        <x:v>Manufacturer 005</x:v>
      </x:c>
      <x:c r="K465" t="str">
        <x:v>SUP003</x:v>
      </x:c>
      <x:c r="L465" t="str">
        <x:v>Supplier 003</x:v>
      </x:c>
      <x:c r="M465" t="str">
        <x:v>REG-108960</x:v>
      </x:c>
      <x:c r="N465" t="str">
        <x:v>Generic Ingredient 173</x:v>
      </x:c>
      <x:c r="O465" t="str">
        <x:v>Pharmacy Only</x:v>
      </x:c>
      <x:c r="P465" t="n">
        <x:v>12</x:v>
      </x:c>
      <x:c r="Q465" t="n">
        <x:v>4</x:v>
      </x:c>
      <x:c r="R465" t="n">
        <x:v>16</x:v>
      </x:c>
      <x:c r="S465" s="12" t="n">
        <x:f>E465*Q465</x:f>
        <x:v>62.08</x:v>
      </x:c>
      <x:c r="T465" s="12" t="n">
        <x:f>ROUND(S465*F465+0.000000001,2)</x:f>
        <x:v>17.88</x:v>
      </x:c>
      <x:c r="U465" s="12" t="n">
        <x:f>E465*R465</x:f>
        <x:v>248.32</x:v>
      </x:c>
      <x:c r="V465" t="str">
        <x:f>IF(AND(C465="Active",Q465=0),"Active Zero Sales","Not Zero Sales")</x:f>
        <x:v>Not Zero Sales</x:v>
      </x:c>
      <x:c r="W465" s="12" t="n">
        <x:f>IF(V465="Active Zero Sales",U465,0)</x:f>
        <x:v>0</x:v>
      </x:c>
      <x:c r="X465" t="str">
        <x:f>IF(E465&lt;25,"Low &lt; 25",IF(E465&lt;100,"Medium 25-99",IF(E465&lt;300,"High 100-299","Premium 300+")))</x:f>
        <x:v>Low &lt; 25</x:v>
      </x:c>
      <x:c r="Y465" t="n">
        <x:f>IF(C465="Active",1,0)</x:f>
        <x:v>1</x:v>
      </x:c>
    </x:row>
    <x:row r="466">
      <x:c r="A466" t="str">
        <x:v>SKU00465</x:v>
      </x:c>
      <x:c r="B466" t="str">
        <x:v>Sample Product 00465</x:v>
      </x:c>
      <x:c r="C466" t="str">
        <x:v>Active</x:v>
      </x:c>
      <x:c r="D466" t="str">
        <x:v>2026-05</x:v>
      </x:c>
      <x:c r="E466" s="12" t="n">
        <x:v>15.68</x:v>
      </x:c>
      <x:c r="F466" s="10" t="n">
        <x:v>0.457</x:v>
      </x:c>
      <x:c r="G466" t="str">
        <x:v>OTC &amp; Wellness</x:v>
      </x:c>
      <x:c r="H466" t="str">
        <x:v>Digestive Care</x:v>
      </x:c>
      <x:c r="I466" t="str">
        <x:v>MFG005</x:v>
      </x:c>
      <x:c r="J466" t="str">
        <x:v>Manufacturer 005</x:v>
      </x:c>
      <x:c r="K466" t="str">
        <x:v>SUP017</x:v>
      </x:c>
      <x:c r="L466" t="str">
        <x:v>Supplier 017</x:v>
      </x:c>
      <x:c r="M466" t="str">
        <x:v>REG-301609</x:v>
      </x:c>
      <x:c r="N466" t="str">
        <x:v>Generic Ingredient 107</x:v>
      </x:c>
      <x:c r="O466" t="str">
        <x:v>General Sale</x:v>
      </x:c>
      <x:c r="P466" t="n">
        <x:v>63</x:v>
      </x:c>
      <x:c r="Q466" t="n">
        <x:v>10</x:v>
      </x:c>
      <x:c r="R466" t="n">
        <x:v>30</x:v>
      </x:c>
      <x:c r="S466" s="12" t="n">
        <x:f>E466*Q466</x:f>
        <x:v>156.8</x:v>
      </x:c>
      <x:c r="T466" s="12" t="n">
        <x:f>ROUND(S466*F466+0.000000001,2)</x:f>
        <x:v>71.66</x:v>
      </x:c>
      <x:c r="U466" s="12" t="n">
        <x:f>E466*R466</x:f>
        <x:v>470.4</x:v>
      </x:c>
      <x:c r="V466" t="str">
        <x:f>IF(AND(C466="Active",Q466=0),"Active Zero Sales","Not Zero Sales")</x:f>
        <x:v>Not Zero Sales</x:v>
      </x:c>
      <x:c r="W466" s="12" t="n">
        <x:f>IF(V466="Active Zero Sales",U466,0)</x:f>
        <x:v>0</x:v>
      </x:c>
      <x:c r="X466" t="str">
        <x:f>IF(E466&lt;25,"Low &lt; 25",IF(E466&lt;100,"Medium 25-99",IF(E466&lt;300,"High 100-299","Premium 300+")))</x:f>
        <x:v>Low &lt; 25</x:v>
      </x:c>
      <x:c r="Y466" t="n">
        <x:f>IF(C466="Active",1,0)</x:f>
        <x:v>1</x:v>
      </x:c>
    </x:row>
    <x:row r="467">
      <x:c r="A467" t="str">
        <x:v>SKU00466</x:v>
      </x:c>
      <x:c r="B467" t="str">
        <x:v>Sample Product 00466</x:v>
      </x:c>
      <x:c r="C467" t="str">
        <x:v>Active</x:v>
      </x:c>
      <x:c r="D467" t="str">
        <x:v>2026-04</x:v>
      </x:c>
      <x:c r="E467" s="12" t="n">
        <x:v>43.64</x:v>
      </x:c>
      <x:c r="F467" s="10" t="n">
        <x:v>0.272</x:v>
      </x:c>
      <x:c r="G467" t="str">
        <x:v>Nutrition</x:v>
      </x:c>
      <x:c r="H467" t="str">
        <x:v>Healthy Snacks</x:v>
      </x:c>
      <x:c r="I467" t="str">
        <x:v>MFG004</x:v>
      </x:c>
      <x:c r="J467" t="str">
        <x:v>Manufacturer 004</x:v>
      </x:c>
      <x:c r="K467" t="str">
        <x:v>SUP004</x:v>
      </x:c>
      <x:c r="L467" t="str">
        <x:v>Supplier 004</x:v>
      </x:c>
      <x:c r="M467" t="str">
        <x:v>REG-940992</x:v>
      </x:c>
      <x:c r="N467" t="str">
        <x:v>Generic Ingredient 052</x:v>
      </x:c>
      <x:c r="O467" t="str">
        <x:v>General Sale</x:v>
      </x:c>
      <x:c r="P467" t="n">
        <x:v>76</x:v>
      </x:c>
      <x:c r="Q467" t="n">
        <x:v>32</x:v>
      </x:c>
      <x:c r="R467" t="n">
        <x:v>20</x:v>
      </x:c>
      <x:c r="S467" s="12" t="n">
        <x:f>E467*Q467</x:f>
        <x:v>1396.48</x:v>
      </x:c>
      <x:c r="T467" s="12" t="n">
        <x:f>ROUND(S467*F467+0.000000001,2)</x:f>
        <x:v>379.84</x:v>
      </x:c>
      <x:c r="U467" s="12" t="n">
        <x:f>E467*R467</x:f>
        <x:v>872.8</x:v>
      </x:c>
      <x:c r="V467" t="str">
        <x:f>IF(AND(C467="Active",Q467=0),"Active Zero Sales","Not Zero Sales")</x:f>
        <x:v>Not Zero Sales</x:v>
      </x:c>
      <x:c r="W467" s="12" t="n">
        <x:f>IF(V467="Active Zero Sales",U467,0)</x:f>
        <x:v>0</x:v>
      </x:c>
      <x:c r="X467" t="str">
        <x:f>IF(E467&lt;25,"Low &lt; 25",IF(E467&lt;100,"Medium 25-99",IF(E467&lt;300,"High 100-299","Premium 300+")))</x:f>
        <x:v>Medium 25-99</x:v>
      </x:c>
      <x:c r="Y467" t="n">
        <x:f>IF(C467="Active",1,0)</x:f>
        <x:v>1</x:v>
      </x:c>
    </x:row>
    <x:row r="468">
      <x:c r="A468" t="str">
        <x:v>SKU00467</x:v>
      </x:c>
      <x:c r="B468" t="str">
        <x:v>Sample Product 00467</x:v>
      </x:c>
      <x:c r="C468" t="str">
        <x:v>Active</x:v>
      </x:c>
      <x:c r="D468" t="str">
        <x:v>2026-05</x:v>
      </x:c>
      <x:c r="E468" s="12" t="n">
        <x:v>62.86</x:v>
      </x:c>
      <x:c r="F468" s="10" t="n">
        <x:v>0.463</x:v>
      </x:c>
      <x:c r="G468" t="str">
        <x:v>General Merchandise</x:v>
      </x:c>
      <x:c r="H468" t="str">
        <x:v>Baby Essentials</x:v>
      </x:c>
      <x:c r="I468" t="str">
        <x:v>MFG007</x:v>
      </x:c>
      <x:c r="J468" t="str">
        <x:v>Manufacturer 007</x:v>
      </x:c>
      <x:c r="K468" t="str">
        <x:v>SUP001</x:v>
      </x:c>
      <x:c r="L468" t="str">
        <x:v>Supplier 001</x:v>
      </x:c>
      <x:c r="M468" t="str">
        <x:v>REG-794030</x:v>
      </x:c>
      <x:c r="N468" t="str">
        <x:v>Generic Ingredient 169</x:v>
      </x:c>
      <x:c r="O468" t="str">
        <x:v>General Sale</x:v>
      </x:c>
      <x:c r="P468" t="n">
        <x:v>104</x:v>
      </x:c>
      <x:c r="Q468" t="n">
        <x:v>35</x:v>
      </x:c>
      <x:c r="R468" t="n">
        <x:v>30</x:v>
      </x:c>
      <x:c r="S468" s="12" t="n">
        <x:f>E468*Q468</x:f>
        <x:v>2200.1</x:v>
      </x:c>
      <x:c r="T468" s="12" t="n">
        <x:f>ROUND(S468*F468+0.000000001,2)</x:f>
        <x:v>1018.65</x:v>
      </x:c>
      <x:c r="U468" s="12" t="n">
        <x:f>E468*R468</x:f>
        <x:v>1885.8</x:v>
      </x:c>
      <x:c r="V468" t="str">
        <x:f>IF(AND(C468="Active",Q468=0),"Active Zero Sales","Not Zero Sales")</x:f>
        <x:v>Not Zero Sales</x:v>
      </x:c>
      <x:c r="W468" s="12" t="n">
        <x:f>IF(V468="Active Zero Sales",U468,0)</x:f>
        <x:v>0</x:v>
      </x:c>
      <x:c r="X468" t="str">
        <x:f>IF(E468&lt;25,"Low &lt; 25",IF(E468&lt;100,"Medium 25-99",IF(E468&lt;300,"High 100-299","Premium 300+")))</x:f>
        <x:v>Medium 25-99</x:v>
      </x:c>
      <x:c r="Y468" t="n">
        <x:f>IF(C468="Active",1,0)</x:f>
        <x:v>1</x:v>
      </x:c>
    </x:row>
    <x:row r="469">
      <x:c r="A469" t="str">
        <x:v>SKU00468</x:v>
      </x:c>
      <x:c r="B469" t="str">
        <x:v>Sample Product 00468</x:v>
      </x:c>
      <x:c r="C469" t="str">
        <x:v>Active</x:v>
      </x:c>
      <x:c r="D469" t="str">
        <x:v>2026-05</x:v>
      </x:c>
      <x:c r="E469" s="12" t="n">
        <x:v>193.92</x:v>
      </x:c>
      <x:c r="F469" s="10" t="n">
        <x:v>0.197</x:v>
      </x:c>
      <x:c r="G469" t="str">
        <x:v>Medical Devices</x:v>
      </x:c>
      <x:c r="H469" t="str">
        <x:v>Mobility Aids</x:v>
      </x:c>
      <x:c r="I469" t="str">
        <x:v>MFG006</x:v>
      </x:c>
      <x:c r="J469" t="str">
        <x:v>Manufacturer 006</x:v>
      </x:c>
      <x:c r="K469" t="str">
        <x:v>SUP011</x:v>
      </x:c>
      <x:c r="L469" t="str">
        <x:v>Supplier 011</x:v>
      </x:c>
      <x:c r="M469" t="str">
        <x:v>REG-984716</x:v>
      </x:c>
      <x:c r="N469" t="str">
        <x:v>Generic Ingredient 079</x:v>
      </x:c>
      <x:c r="O469" t="str">
        <x:v>General Sale</x:v>
      </x:c>
      <x:c r="P469" t="n">
        <x:v>44</x:v>
      </x:c>
      <x:c r="Q469" t="n">
        <x:v>34</x:v>
      </x:c>
      <x:c r="R469" t="n">
        <x:v>0</x:v>
      </x:c>
      <x:c r="S469" s="12" t="n">
        <x:f>E469*Q469</x:f>
        <x:v>6593.28</x:v>
      </x:c>
      <x:c r="T469" s="12" t="n">
        <x:f>ROUND(S469*F469+0.000000001,2)</x:f>
        <x:v>1298.88</x:v>
      </x:c>
      <x:c r="U469" s="12" t="n">
        <x:f>E469*R469</x:f>
        <x:v>0</x:v>
      </x:c>
      <x:c r="V469" t="str">
        <x:f>IF(AND(C469="Active",Q469=0),"Active Zero Sales","Not Zero Sales")</x:f>
        <x:v>Not Zero Sales</x:v>
      </x:c>
      <x:c r="W469" s="12" t="n">
        <x:f>IF(V469="Active Zero Sales",U469,0)</x:f>
        <x:v>0</x:v>
      </x:c>
      <x:c r="X469" t="str">
        <x:f>IF(E469&lt;25,"Low &lt; 25",IF(E469&lt;100,"Medium 25-99",IF(E469&lt;300,"High 100-299","Premium 300+")))</x:f>
        <x:v>High 100-299</x:v>
      </x:c>
      <x:c r="Y469" t="n">
        <x:f>IF(C469="Active",1,0)</x:f>
        <x:v>1</x:v>
      </x:c>
    </x:row>
    <x:row r="470">
      <x:c r="A470" t="str">
        <x:v>SKU00469</x:v>
      </x:c>
      <x:c r="B470" t="str">
        <x:v>Sample Product 00469</x:v>
      </x:c>
      <x:c r="C470" t="str">
        <x:v>Active</x:v>
      </x:c>
      <x:c r="D470" t="str">
        <x:v>2026-01</x:v>
      </x:c>
      <x:c r="E470" s="12" t="n">
        <x:v>21.35</x:v>
      </x:c>
      <x:c r="F470" s="10" t="n">
        <x:v>0.272</x:v>
      </x:c>
      <x:c r="G470" t="str">
        <x:v>Nutrition</x:v>
      </x:c>
      <x:c r="H470" t="str">
        <x:v>Sports Nutrition</x:v>
      </x:c>
      <x:c r="I470" t="str">
        <x:v>MFG012</x:v>
      </x:c>
      <x:c r="J470" t="str">
        <x:v>Manufacturer 012</x:v>
      </x:c>
      <x:c r="K470" t="str">
        <x:v>SUP029</x:v>
      </x:c>
      <x:c r="L470" t="str">
        <x:v>Supplier 029</x:v>
      </x:c>
      <x:c r="M470" t="str">
        <x:v>REG-286532</x:v>
      </x:c>
      <x:c r="N470" t="str">
        <x:v>Generic Ingredient 159</x:v>
      </x:c>
      <x:c r="O470" t="str">
        <x:v>Pharmacy Only</x:v>
      </x:c>
      <x:c r="P470" t="n">
        <x:v>53</x:v>
      </x:c>
      <x:c r="Q470" t="n">
        <x:v>21</x:v>
      </x:c>
      <x:c r="R470" t="n">
        <x:v>0</x:v>
      </x:c>
      <x:c r="S470" s="12" t="n">
        <x:f>E470*Q470</x:f>
        <x:v>448.35</x:v>
      </x:c>
      <x:c r="T470" s="12" t="n">
        <x:f>ROUND(S470*F470+0.000000001,2)</x:f>
        <x:v>121.95</x:v>
      </x:c>
      <x:c r="U470" s="12" t="n">
        <x:f>E470*R470</x:f>
        <x:v>0</x:v>
      </x:c>
      <x:c r="V470" t="str">
        <x:f>IF(AND(C470="Active",Q470=0),"Active Zero Sales","Not Zero Sales")</x:f>
        <x:v>Not Zero Sales</x:v>
      </x:c>
      <x:c r="W470" s="12" t="n">
        <x:f>IF(V470="Active Zero Sales",U470,0)</x:f>
        <x:v>0</x:v>
      </x:c>
      <x:c r="X470" t="str">
        <x:f>IF(E470&lt;25,"Low &lt; 25",IF(E470&lt;100,"Medium 25-99",IF(E470&lt;300,"High 100-299","Premium 300+")))</x:f>
        <x:v>Low &lt; 25</x:v>
      </x:c>
      <x:c r="Y470" t="n">
        <x:f>IF(C470="Active",1,0)</x:f>
        <x:v>1</x:v>
      </x:c>
    </x:row>
    <x:row r="471">
      <x:c r="A471" t="str">
        <x:v>SKU00470</x:v>
      </x:c>
      <x:c r="B471" t="str">
        <x:v>Sample Product 00470</x:v>
      </x:c>
      <x:c r="C471" t="str">
        <x:v>Active</x:v>
      </x:c>
      <x:c r="D471" t="str">
        <x:v>2026-03</x:v>
      </x:c>
      <x:c r="E471" s="12" t="n">
        <x:v>15.36</x:v>
      </x:c>
      <x:c r="F471" s="10" t="n">
        <x:v>0.345</x:v>
      </x:c>
      <x:c r="G471" t="str">
        <x:v>OTC &amp; Wellness</x:v>
      </x:c>
      <x:c r="H471" t="str">
        <x:v>Pain Relief</x:v>
      </x:c>
      <x:c r="I471" t="str">
        <x:v>MFG005</x:v>
      </x:c>
      <x:c r="J471" t="str">
        <x:v>Manufacturer 005</x:v>
      </x:c>
      <x:c r="K471" t="str">
        <x:v>SUP023</x:v>
      </x:c>
      <x:c r="L471" t="str">
        <x:v>Supplier 023</x:v>
      </x:c>
      <x:c r="M471" t="str">
        <x:v>REG-769868</x:v>
      </x:c>
      <x:c r="N471" t="str">
        <x:v>Generic Ingredient 022</x:v>
      </x:c>
      <x:c r="O471" t="str">
        <x:v>General Sale</x:v>
      </x:c>
      <x:c r="P471" t="n">
        <x:v>57</x:v>
      </x:c>
      <x:c r="Q471" t="n">
        <x:v>23</x:v>
      </x:c>
      <x:c r="R471" t="n">
        <x:v>13</x:v>
      </x:c>
      <x:c r="S471" s="12" t="n">
        <x:f>E471*Q471</x:f>
        <x:v>353.28</x:v>
      </x:c>
      <x:c r="T471" s="12" t="n">
        <x:f>ROUND(S471*F471+0.000000001,2)</x:f>
        <x:v>121.88</x:v>
      </x:c>
      <x:c r="U471" s="12" t="n">
        <x:f>E471*R471</x:f>
        <x:v>199.68</x:v>
      </x:c>
      <x:c r="V471" t="str">
        <x:f>IF(AND(C471="Active",Q471=0),"Active Zero Sales","Not Zero Sales")</x:f>
        <x:v>Not Zero Sales</x:v>
      </x:c>
      <x:c r="W471" s="12" t="n">
        <x:f>IF(V471="Active Zero Sales",U471,0)</x:f>
        <x:v>0</x:v>
      </x:c>
      <x:c r="X471" t="str">
        <x:f>IF(E471&lt;25,"Low &lt; 25",IF(E471&lt;100,"Medium 25-99",IF(E471&lt;300,"High 100-299","Premium 300+")))</x:f>
        <x:v>Low &lt; 25</x:v>
      </x:c>
      <x:c r="Y471" t="n">
        <x:f>IF(C471="Active",1,0)</x:f>
        <x:v>1</x:v>
      </x:c>
    </x:row>
    <x:row r="472">
      <x:c r="A472" t="str">
        <x:v>SKU00471</x:v>
      </x:c>
      <x:c r="B472" t="str">
        <x:v>Sample Product 00471</x:v>
      </x:c>
      <x:c r="C472" t="str">
        <x:v>Active</x:v>
      </x:c>
      <x:c r="D472" t="str">
        <x:v>2026-05</x:v>
      </x:c>
      <x:c r="E472" s="12" t="n">
        <x:v>17.98</x:v>
      </x:c>
      <x:c r="F472" s="10" t="n">
        <x:v>0.314</x:v>
      </x:c>
      <x:c r="G472" t="str">
        <x:v>Nutrition</x:v>
      </x:c>
      <x:c r="H472" t="str">
        <x:v>Hydration</x:v>
      </x:c>
      <x:c r="I472" t="str">
        <x:v>MFG012</x:v>
      </x:c>
      <x:c r="J472" t="str">
        <x:v>Manufacturer 012</x:v>
      </x:c>
      <x:c r="K472" t="str">
        <x:v>SUP007</x:v>
      </x:c>
      <x:c r="L472" t="str">
        <x:v>Supplier 007</x:v>
      </x:c>
      <x:c r="M472" t="str">
        <x:v>REG-156271</x:v>
      </x:c>
      <x:c r="N472" t="str">
        <x:v>Generic Ingredient 090</x:v>
      </x:c>
      <x:c r="O472" t="str">
        <x:v>General Sale</x:v>
      </x:c>
      <x:c r="P472" t="n">
        <x:v>64</x:v>
      </x:c>
      <x:c r="Q472" t="n">
        <x:v>25</x:v>
      </x:c>
      <x:c r="R472" t="n">
        <x:v>5</x:v>
      </x:c>
      <x:c r="S472" s="12" t="n">
        <x:f>E472*Q472</x:f>
        <x:v>449.5</x:v>
      </x:c>
      <x:c r="T472" s="12" t="n">
        <x:f>ROUND(S472*F472+0.000000001,2)</x:f>
        <x:v>141.14</x:v>
      </x:c>
      <x:c r="U472" s="12" t="n">
        <x:f>E472*R472</x:f>
        <x:v>89.9</x:v>
      </x:c>
      <x:c r="V472" t="str">
        <x:f>IF(AND(C472="Active",Q472=0),"Active Zero Sales","Not Zero Sales")</x:f>
        <x:v>Not Zero Sales</x:v>
      </x:c>
      <x:c r="W472" s="12" t="n">
        <x:f>IF(V472="Active Zero Sales",U472,0)</x:f>
        <x:v>0</x:v>
      </x:c>
      <x:c r="X472" t="str">
        <x:f>IF(E472&lt;25,"Low &lt; 25",IF(E472&lt;100,"Medium 25-99",IF(E472&lt;300,"High 100-299","Premium 300+")))</x:f>
        <x:v>Low &lt; 25</x:v>
      </x:c>
      <x:c r="Y472" t="n">
        <x:f>IF(C472="Active",1,0)</x:f>
        <x:v>1</x:v>
      </x:c>
    </x:row>
    <x:row r="473">
      <x:c r="A473" t="str">
        <x:v>SKU00472</x:v>
      </x:c>
      <x:c r="B473" t="str">
        <x:v>Sample Product 00472</x:v>
      </x:c>
      <x:c r="C473" t="str">
        <x:v>Active</x:v>
      </x:c>
      <x:c r="D473" t="str">
        <x:v>2026-05</x:v>
      </x:c>
      <x:c r="E473" s="12" t="n">
        <x:v>28.62</x:v>
      </x:c>
      <x:c r="F473" s="10" t="n">
        <x:v>0.32</x:v>
      </x:c>
      <x:c r="G473" t="str">
        <x:v>General Merchandise</x:v>
      </x:c>
      <x:c r="H473" t="str">
        <x:v>Seasonal Care</x:v>
      </x:c>
      <x:c r="I473" t="str">
        <x:v>MFG010</x:v>
      </x:c>
      <x:c r="J473" t="str">
        <x:v>Manufacturer 010</x:v>
      </x:c>
      <x:c r="K473" t="str">
        <x:v>SUP004</x:v>
      </x:c>
      <x:c r="L473" t="str">
        <x:v>Supplier 004</x:v>
      </x:c>
      <x:c r="M473" t="str">
        <x:v>REG-861313</x:v>
      </x:c>
      <x:c r="N473" t="str">
        <x:v>Generic Ingredient 170</x:v>
      </x:c>
      <x:c r="O473" t="str">
        <x:v>General Sale</x:v>
      </x:c>
      <x:c r="P473" t="n">
        <x:v>80</x:v>
      </x:c>
      <x:c r="Q473" t="n">
        <x:v>38</x:v>
      </x:c>
      <x:c r="R473" t="n">
        <x:v>24</x:v>
      </x:c>
      <x:c r="S473" s="12" t="n">
        <x:f>E473*Q473</x:f>
        <x:v>1087.56</x:v>
      </x:c>
      <x:c r="T473" s="12" t="n">
        <x:f>ROUND(S473*F473+0.000000001,2)</x:f>
        <x:v>348.02</x:v>
      </x:c>
      <x:c r="U473" s="12" t="n">
        <x:f>E473*R473</x:f>
        <x:v>686.88</x:v>
      </x:c>
      <x:c r="V473" t="str">
        <x:f>IF(AND(C473="Active",Q473=0),"Active Zero Sales","Not Zero Sales")</x:f>
        <x:v>Not Zero Sales</x:v>
      </x:c>
      <x:c r="W473" s="12" t="n">
        <x:f>IF(V473="Active Zero Sales",U473,0)</x:f>
        <x:v>0</x:v>
      </x:c>
      <x:c r="X473" t="str">
        <x:f>IF(E473&lt;25,"Low &lt; 25",IF(E473&lt;100,"Medium 25-99",IF(E473&lt;300,"High 100-299","Premium 300+")))</x:f>
        <x:v>Medium 25-99</x:v>
      </x:c>
      <x:c r="Y473" t="n">
        <x:f>IF(C473="Active",1,0)</x:f>
        <x:v>1</x:v>
      </x:c>
    </x:row>
    <x:row r="474">
      <x:c r="A474" t="str">
        <x:v>SKU00473</x:v>
      </x:c>
      <x:c r="B474" t="str">
        <x:v>Sample Product 00473</x:v>
      </x:c>
      <x:c r="C474" t="str">
        <x:v>Active</x:v>
      </x:c>
      <x:c r="D474" t="str">
        <x:v>2026-01</x:v>
      </x:c>
      <x:c r="E474" s="12" t="n">
        <x:v>4.44</x:v>
      </x:c>
      <x:c r="F474" s="10" t="n">
        <x:v>0.299</x:v>
      </x:c>
      <x:c r="G474" t="str">
        <x:v>General Merchandise</x:v>
      </x:c>
      <x:c r="H474" t="str">
        <x:v>Accessories</x:v>
      </x:c>
      <x:c r="I474" t="str">
        <x:v>MFG003</x:v>
      </x:c>
      <x:c r="J474" t="str">
        <x:v>Manufacturer 003</x:v>
      </x:c>
      <x:c r="K474" t="str">
        <x:v>SUP027</x:v>
      </x:c>
      <x:c r="L474" t="str">
        <x:v>Supplier 027</x:v>
      </x:c>
      <x:c r="M474" t="str">
        <x:v>REG-306533</x:v>
      </x:c>
      <x:c r="N474" t="str">
        <x:v>Generic Ingredient 161</x:v>
      </x:c>
      <x:c r="O474" t="str">
        <x:v>General Sale</x:v>
      </x:c>
      <x:c r="P474" t="n">
        <x:v>80</x:v>
      </x:c>
      <x:c r="Q474" t="n">
        <x:v>15</x:v>
      </x:c>
      <x:c r="R474" t="n">
        <x:v>18</x:v>
      </x:c>
      <x:c r="S474" s="12" t="n">
        <x:f>E474*Q474</x:f>
        <x:v>66.60000000000001</x:v>
      </x:c>
      <x:c r="T474" s="12" t="n">
        <x:f>ROUND(S474*F474+0.000000001,2)</x:f>
        <x:v>19.91</x:v>
      </x:c>
      <x:c r="U474" s="12" t="n">
        <x:f>E474*R474</x:f>
        <x:v>79.92</x:v>
      </x:c>
      <x:c r="V474" t="str">
        <x:f>IF(AND(C474="Active",Q474=0),"Active Zero Sales","Not Zero Sales")</x:f>
        <x:v>Not Zero Sales</x:v>
      </x:c>
      <x:c r="W474" s="12" t="n">
        <x:f>IF(V474="Active Zero Sales",U474,0)</x:f>
        <x:v>0</x:v>
      </x:c>
      <x:c r="X474" t="str">
        <x:f>IF(E474&lt;25,"Low &lt; 25",IF(E474&lt;100,"Medium 25-99",IF(E474&lt;300,"High 100-299","Premium 300+")))</x:f>
        <x:v>Low &lt; 25</x:v>
      </x:c>
      <x:c r="Y474" t="n">
        <x:f>IF(C474="Active",1,0)</x:f>
        <x:v>1</x:v>
      </x:c>
    </x:row>
    <x:row r="475">
      <x:c r="A475" t="str">
        <x:v>SKU00474</x:v>
      </x:c>
      <x:c r="B475" t="str">
        <x:v>Sample Product 00474</x:v>
      </x:c>
      <x:c r="C475" t="str">
        <x:v>Active</x:v>
      </x:c>
      <x:c r="D475" t="str">
        <x:v>2026-06</x:v>
      </x:c>
      <x:c r="E475" s="12" t="n">
        <x:v>44.95</x:v>
      </x:c>
      <x:c r="F475" s="10" t="n">
        <x:v>0.455</x:v>
      </x:c>
      <x:c r="G475" t="str">
        <x:v>General Merchandise</x:v>
      </x:c>
      <x:c r="H475" t="str">
        <x:v>Seasonal Care</x:v>
      </x:c>
      <x:c r="I475" t="str">
        <x:v>MFG002</x:v>
      </x:c>
      <x:c r="J475" t="str">
        <x:v>Manufacturer 002</x:v>
      </x:c>
      <x:c r="K475" t="str">
        <x:v>SUP023</x:v>
      </x:c>
      <x:c r="L475" t="str">
        <x:v>Supplier 023</x:v>
      </x:c>
      <x:c r="M475" t="str">
        <x:v>REG-144955</x:v>
      </x:c>
      <x:c r="N475" t="str">
        <x:v>Generic Ingredient 155</x:v>
      </x:c>
      <x:c r="O475" t="str">
        <x:v>General Sale</x:v>
      </x:c>
      <x:c r="P475" t="n">
        <x:v>81</x:v>
      </x:c>
      <x:c r="Q475" t="n">
        <x:v>38</x:v>
      </x:c>
      <x:c r="R475" t="n">
        <x:v>1</x:v>
      </x:c>
      <x:c r="S475" s="12" t="n">
        <x:f>E475*Q475</x:f>
        <x:v>1708.1000000000001</x:v>
      </x:c>
      <x:c r="T475" s="12" t="n">
        <x:f>ROUND(S475*F475+0.000000001,2)</x:f>
        <x:v>777.19</x:v>
      </x:c>
      <x:c r="U475" s="12" t="n">
        <x:f>E475*R475</x:f>
        <x:v>44.95</x:v>
      </x:c>
      <x:c r="V475" t="str">
        <x:f>IF(AND(C475="Active",Q475=0),"Active Zero Sales","Not Zero Sales")</x:f>
        <x:v>Not Zero Sales</x:v>
      </x:c>
      <x:c r="W475" s="12" t="n">
        <x:f>IF(V475="Active Zero Sales",U475,0)</x:f>
        <x:v>0</x:v>
      </x:c>
      <x:c r="X475" t="str">
        <x:f>IF(E475&lt;25,"Low &lt; 25",IF(E475&lt;100,"Medium 25-99",IF(E475&lt;300,"High 100-299","Premium 300+")))</x:f>
        <x:v>Medium 25-99</x:v>
      </x:c>
      <x:c r="Y475" t="n">
        <x:f>IF(C475="Active",1,0)</x:f>
        <x:v>1</x:v>
      </x:c>
    </x:row>
    <x:row r="476">
      <x:c r="A476" t="str">
        <x:v>SKU00475</x:v>
      </x:c>
      <x:c r="B476" t="str">
        <x:v>Sample Product 00475</x:v>
      </x:c>
      <x:c r="C476" t="str">
        <x:v>Active</x:v>
      </x:c>
      <x:c r="D476" t="str">
        <x:v>2026-06</x:v>
      </x:c>
      <x:c r="E476" s="12" t="n">
        <x:v>24.09</x:v>
      </x:c>
      <x:c r="F476" s="10" t="n">
        <x:v>0.384</x:v>
      </x:c>
      <x:c r="G476" t="str">
        <x:v>Medical Devices</x:v>
      </x:c>
      <x:c r="H476" t="str">
        <x:v>Monitoring Supplies</x:v>
      </x:c>
      <x:c r="I476" t="str">
        <x:v>MFG009</x:v>
      </x:c>
      <x:c r="J476" t="str">
        <x:v>Manufacturer 009</x:v>
      </x:c>
      <x:c r="K476" t="str">
        <x:v>SUP008</x:v>
      </x:c>
      <x:c r="L476" t="str">
        <x:v>Supplier 008</x:v>
      </x:c>
      <x:c r="M476" t="str">
        <x:v>REG-619169</x:v>
      </x:c>
      <x:c r="N476" t="str">
        <x:v>Generic Ingredient 017</x:v>
      </x:c>
      <x:c r="O476" t="str">
        <x:v>General Sale</x:v>
      </x:c>
      <x:c r="P476" t="n">
        <x:v>106</x:v>
      </x:c>
      <x:c r="Q476" t="n">
        <x:v>69</x:v>
      </x:c>
      <x:c r="R476" t="n">
        <x:v>18</x:v>
      </x:c>
      <x:c r="S476" s="12" t="n">
        <x:f>E476*Q476</x:f>
        <x:v>1662.21</x:v>
      </x:c>
      <x:c r="T476" s="12" t="n">
        <x:f>ROUND(S476*F476+0.000000001,2)</x:f>
        <x:v>638.29</x:v>
      </x:c>
      <x:c r="U476" s="12" t="n">
        <x:f>E476*R476</x:f>
        <x:v>433.62</x:v>
      </x:c>
      <x:c r="V476" t="str">
        <x:f>IF(AND(C476="Active",Q476=0),"Active Zero Sales","Not Zero Sales")</x:f>
        <x:v>Not Zero Sales</x:v>
      </x:c>
      <x:c r="W476" s="12" t="n">
        <x:f>IF(V476="Active Zero Sales",U476,0)</x:f>
        <x:v>0</x:v>
      </x:c>
      <x:c r="X476" t="str">
        <x:f>IF(E476&lt;25,"Low &lt; 25",IF(E476&lt;100,"Medium 25-99",IF(E476&lt;300,"High 100-299","Premium 300+")))</x:f>
        <x:v>Low &lt; 25</x:v>
      </x:c>
      <x:c r="Y476" t="n">
        <x:f>IF(C476="Active",1,0)</x:f>
        <x:v>1</x:v>
      </x:c>
    </x:row>
    <x:row r="477">
      <x:c r="A477" t="str">
        <x:v>SKU00476</x:v>
      </x:c>
      <x:c r="B477" t="str">
        <x:v>Sample Product 00476</x:v>
      </x:c>
      <x:c r="C477" t="str">
        <x:v>Active</x:v>
      </x:c>
      <x:c r="D477" t="str">
        <x:v>2026-03</x:v>
      </x:c>
      <x:c r="E477" s="12" t="n">
        <x:v>76.96</x:v>
      </x:c>
      <x:c r="F477" s="10" t="n">
        <x:v>0.218</x:v>
      </x:c>
      <x:c r="G477" t="str">
        <x:v>General Merchandise</x:v>
      </x:c>
      <x:c r="H477" t="str">
        <x:v>Accessories</x:v>
      </x:c>
      <x:c r="I477" t="str">
        <x:v>MFG020</x:v>
      </x:c>
      <x:c r="J477" t="str">
        <x:v>Manufacturer 020</x:v>
      </x:c>
      <x:c r="K477" t="str">
        <x:v>SUP021</x:v>
      </x:c>
      <x:c r="L477" t="str">
        <x:v>Supplier 021</x:v>
      </x:c>
      <x:c r="M477" t="str">
        <x:v>REG-124089</x:v>
      </x:c>
      <x:c r="N477" t="str">
        <x:v>Generic Ingredient 105</x:v>
      </x:c>
      <x:c r="O477" t="str">
        <x:v>General Sale</x:v>
      </x:c>
      <x:c r="P477" t="n">
        <x:v>34</x:v>
      </x:c>
      <x:c r="Q477" t="n">
        <x:v>13</x:v>
      </x:c>
      <x:c r="R477" t="n">
        <x:v>13</x:v>
      </x:c>
      <x:c r="S477" s="12" t="n">
        <x:f>E477*Q477</x:f>
        <x:v>1000.4799999999999</x:v>
      </x:c>
      <x:c r="T477" s="12" t="n">
        <x:f>ROUND(S477*F477+0.000000001,2)</x:f>
        <x:v>218.1</x:v>
      </x:c>
      <x:c r="U477" s="12" t="n">
        <x:f>E477*R477</x:f>
        <x:v>1000.4799999999999</x:v>
      </x:c>
      <x:c r="V477" t="str">
        <x:f>IF(AND(C477="Active",Q477=0),"Active Zero Sales","Not Zero Sales")</x:f>
        <x:v>Not Zero Sales</x:v>
      </x:c>
      <x:c r="W477" s="12" t="n">
        <x:f>IF(V477="Active Zero Sales",U477,0)</x:f>
        <x:v>0</x:v>
      </x:c>
      <x:c r="X477" t="str">
        <x:f>IF(E477&lt;25,"Low &lt; 25",IF(E477&lt;100,"Medium 25-99",IF(E477&lt;300,"High 100-299","Premium 300+")))</x:f>
        <x:v>Medium 25-99</x:v>
      </x:c>
      <x:c r="Y477" t="n">
        <x:f>IF(C477="Active",1,0)</x:f>
        <x:v>1</x:v>
      </x:c>
    </x:row>
    <x:row r="478">
      <x:c r="A478" t="str">
        <x:v>SKU00477</x:v>
      </x:c>
      <x:c r="B478" t="str">
        <x:v>Sample Product 00477</x:v>
      </x:c>
      <x:c r="C478" t="str">
        <x:v>Active</x:v>
      </x:c>
      <x:c r="D478" t="str">
        <x:v>2026-02</x:v>
      </x:c>
      <x:c r="E478" s="12" t="n">
        <x:v>5.37</x:v>
      </x:c>
      <x:c r="F478" s="10" t="n">
        <x:v>0.361</x:v>
      </x:c>
      <x:c r="G478" t="str">
        <x:v>General Merchandise</x:v>
      </x:c>
      <x:c r="H478" t="str">
        <x:v>Accessories</x:v>
      </x:c>
      <x:c r="I478" t="str">
        <x:v>MFG012</x:v>
      </x:c>
      <x:c r="J478" t="str">
        <x:v>Manufacturer 012</x:v>
      </x:c>
      <x:c r="K478" t="str">
        <x:v>SUP009</x:v>
      </x:c>
      <x:c r="L478" t="str">
        <x:v>Supplier 009</x:v>
      </x:c>
      <x:c r="M478" t="str">
        <x:v>REG-810416</x:v>
      </x:c>
      <x:c r="N478" t="str">
        <x:v>Generic Ingredient 139</x:v>
      </x:c>
      <x:c r="O478" t="str">
        <x:v>General Sale</x:v>
      </x:c>
      <x:c r="P478" t="n">
        <x:v>56</x:v>
      </x:c>
      <x:c r="Q478" t="n">
        <x:v>6</x:v>
      </x:c>
      <x:c r="R478" t="n">
        <x:v>9</x:v>
      </x:c>
      <x:c r="S478" s="12" t="n">
        <x:f>E478*Q478</x:f>
        <x:v>32.22</x:v>
      </x:c>
      <x:c r="T478" s="12" t="n">
        <x:f>ROUND(S478*F478+0.000000001,2)</x:f>
        <x:v>11.63</x:v>
      </x:c>
      <x:c r="U478" s="12" t="n">
        <x:f>E478*R478</x:f>
        <x:v>48.33</x:v>
      </x:c>
      <x:c r="V478" t="str">
        <x:f>IF(AND(C478="Active",Q478=0),"Active Zero Sales","Not Zero Sales")</x:f>
        <x:v>Not Zero Sales</x:v>
      </x:c>
      <x:c r="W478" s="12" t="n">
        <x:f>IF(V478="Active Zero Sales",U478,0)</x:f>
        <x:v>0</x:v>
      </x:c>
      <x:c r="X478" t="str">
        <x:f>IF(E478&lt;25,"Low &lt; 25",IF(E478&lt;100,"Medium 25-99",IF(E478&lt;300,"High 100-299","Premium 300+")))</x:f>
        <x:v>Low &lt; 25</x:v>
      </x:c>
      <x:c r="Y478" t="n">
        <x:f>IF(C478="Active",1,0)</x:f>
        <x:v>1</x:v>
      </x:c>
    </x:row>
    <x:row r="479">
      <x:c r="A479" t="str">
        <x:v>SKU00478</x:v>
      </x:c>
      <x:c r="B479" t="str">
        <x:v>Sample Product 00478</x:v>
      </x:c>
      <x:c r="C479" t="str">
        <x:v>Active</x:v>
      </x:c>
      <x:c r="D479" t="str">
        <x:v>2026-01</x:v>
      </x:c>
      <x:c r="E479" s="12" t="n">
        <x:v>140.26</x:v>
      </x:c>
      <x:c r="F479" s="10" t="n">
        <x:v>0.329</x:v>
      </x:c>
      <x:c r="G479" t="str">
        <x:v>Medical Devices</x:v>
      </x:c>
      <x:c r="H479" t="str">
        <x:v>First Aid</x:v>
      </x:c>
      <x:c r="I479" t="str">
        <x:v>MFG019</x:v>
      </x:c>
      <x:c r="J479" t="str">
        <x:v>Manufacturer 019</x:v>
      </x:c>
      <x:c r="K479" t="str">
        <x:v>SUP030</x:v>
      </x:c>
      <x:c r="L479" t="str">
        <x:v>Supplier 030</x:v>
      </x:c>
      <x:c r="M479" t="str">
        <x:v>REG-861639</x:v>
      </x:c>
      <x:c r="N479" t="str">
        <x:v>Generic Ingredient 032</x:v>
      </x:c>
      <x:c r="O479" t="str">
        <x:v>General Sale</x:v>
      </x:c>
      <x:c r="P479" t="n">
        <x:v>110</x:v>
      </x:c>
      <x:c r="Q479" t="n">
        <x:v>35</x:v>
      </x:c>
      <x:c r="R479" t="n">
        <x:v>30</x:v>
      </x:c>
      <x:c r="S479" s="12" t="n">
        <x:f>E479*Q479</x:f>
        <x:v>4909.099999999999</x:v>
      </x:c>
      <x:c r="T479" s="12" t="n">
        <x:f>ROUND(S479*F479+0.000000001,2)</x:f>
        <x:v>1615.09</x:v>
      </x:c>
      <x:c r="U479" s="12" t="n">
        <x:f>E479*R479</x:f>
        <x:v>4207.799999999999</x:v>
      </x:c>
      <x:c r="V479" t="str">
        <x:f>IF(AND(C479="Active",Q479=0),"Active Zero Sales","Not Zero Sales")</x:f>
        <x:v>Not Zero Sales</x:v>
      </x:c>
      <x:c r="W479" s="12" t="n">
        <x:f>IF(V479="Active Zero Sales",U479,0)</x:f>
        <x:v>0</x:v>
      </x:c>
      <x:c r="X479" t="str">
        <x:f>IF(E479&lt;25,"Low &lt; 25",IF(E479&lt;100,"Medium 25-99",IF(E479&lt;300,"High 100-299","Premium 300+")))</x:f>
        <x:v>High 100-299</x:v>
      </x:c>
      <x:c r="Y479" t="n">
        <x:f>IF(C479="Active",1,0)</x:f>
        <x:v>1</x:v>
      </x:c>
    </x:row>
    <x:row r="480">
      <x:c r="A480" t="str">
        <x:v>SKU00479</x:v>
      </x:c>
      <x:c r="B480" t="str">
        <x:v>Sample Product 00479</x:v>
      </x:c>
      <x:c r="C480" t="str">
        <x:v>Active</x:v>
      </x:c>
      <x:c r="D480" t="str">
        <x:v>2026-06</x:v>
      </x:c>
      <x:c r="E480" s="12" t="n">
        <x:v>85.99</x:v>
      </x:c>
      <x:c r="F480" s="10" t="n">
        <x:v>0.465</x:v>
      </x:c>
      <x:c r="G480" t="str">
        <x:v>Personal Care</x:v>
      </x:c>
      <x:c r="H480" t="str">
        <x:v>Skin Care</x:v>
      </x:c>
      <x:c r="I480" t="str">
        <x:v>MFG016</x:v>
      </x:c>
      <x:c r="J480" t="str">
        <x:v>Manufacturer 016</x:v>
      </x:c>
      <x:c r="K480" t="str">
        <x:v>SUP018</x:v>
      </x:c>
      <x:c r="L480" t="str">
        <x:v>Supplier 018</x:v>
      </x:c>
      <x:c r="M480" t="str">
        <x:v>REG-120668</x:v>
      </x:c>
      <x:c r="N480" t="str">
        <x:v>Generic Ingredient 017</x:v>
      </x:c>
      <x:c r="O480" t="str">
        <x:v>General Sale</x:v>
      </x:c>
      <x:c r="P480" t="n">
        <x:v>81</x:v>
      </x:c>
      <x:c r="Q480" t="n">
        <x:v>44</x:v>
      </x:c>
      <x:c r="R480" t="n">
        <x:v>26</x:v>
      </x:c>
      <x:c r="S480" s="12" t="n">
        <x:f>E480*Q480</x:f>
        <x:v>3783.56</x:v>
      </x:c>
      <x:c r="T480" s="12" t="n">
        <x:f>ROUND(S480*F480+0.000000001,2)</x:f>
        <x:v>1759.36</x:v>
      </x:c>
      <x:c r="U480" s="12" t="n">
        <x:f>E480*R480</x:f>
        <x:v>2235.74</x:v>
      </x:c>
      <x:c r="V480" t="str">
        <x:f>IF(AND(C480="Active",Q480=0),"Active Zero Sales","Not Zero Sales")</x:f>
        <x:v>Not Zero Sales</x:v>
      </x:c>
      <x:c r="W480" s="12" t="n">
        <x:f>IF(V480="Active Zero Sales",U480,0)</x:f>
        <x:v>0</x:v>
      </x:c>
      <x:c r="X480" t="str">
        <x:f>IF(E480&lt;25,"Low &lt; 25",IF(E480&lt;100,"Medium 25-99",IF(E480&lt;300,"High 100-299","Premium 300+")))</x:f>
        <x:v>Medium 25-99</x:v>
      </x:c>
      <x:c r="Y480" t="n">
        <x:f>IF(C480="Active",1,0)</x:f>
        <x:v>1</x:v>
      </x:c>
    </x:row>
    <x:row r="481">
      <x:c r="A481" t="str">
        <x:v>SKU00480</x:v>
      </x:c>
      <x:c r="B481" t="str">
        <x:v>Sample Product 00480</x:v>
      </x:c>
      <x:c r="C481" t="str">
        <x:v>Active</x:v>
      </x:c>
      <x:c r="D481" t="str">
        <x:v>2026-03</x:v>
      </x:c>
      <x:c r="E481" s="12" t="n">
        <x:v>138.93</x:v>
      </x:c>
      <x:c r="F481" s="10" t="n">
        <x:v>0.334</x:v>
      </x:c>
      <x:c r="G481" t="str">
        <x:v>Medical Devices</x:v>
      </x:c>
      <x:c r="H481" t="str">
        <x:v>First Aid</x:v>
      </x:c>
      <x:c r="I481" t="str">
        <x:v>MFG020</x:v>
      </x:c>
      <x:c r="J481" t="str">
        <x:v>Manufacturer 020</x:v>
      </x:c>
      <x:c r="K481" t="str">
        <x:v>SUP009</x:v>
      </x:c>
      <x:c r="L481" t="str">
        <x:v>Supplier 009</x:v>
      </x:c>
      <x:c r="M481" t="str">
        <x:v>REG-676274</x:v>
      </x:c>
      <x:c r="N481" t="str">
        <x:v>Generic Ingredient 038</x:v>
      </x:c>
      <x:c r="O481" t="str">
        <x:v>General Sale</x:v>
      </x:c>
      <x:c r="P481" t="n">
        <x:v>132</x:v>
      </x:c>
      <x:c r="Q481" t="n">
        <x:v>82</x:v>
      </x:c>
      <x:c r="R481" t="n">
        <x:v>26</x:v>
      </x:c>
      <x:c r="S481" s="12" t="n">
        <x:f>E481*Q481</x:f>
        <x:v>11392.26</x:v>
      </x:c>
      <x:c r="T481" s="12" t="n">
        <x:f>ROUND(S481*F481+0.000000001,2)</x:f>
        <x:v>3805.01</x:v>
      </x:c>
      <x:c r="U481" s="12" t="n">
        <x:f>E481*R481</x:f>
        <x:v>3612.1800000000003</x:v>
      </x:c>
      <x:c r="V481" t="str">
        <x:f>IF(AND(C481="Active",Q481=0),"Active Zero Sales","Not Zero Sales")</x:f>
        <x:v>Not Zero Sales</x:v>
      </x:c>
      <x:c r="W481" s="12" t="n">
        <x:f>IF(V481="Active Zero Sales",U481,0)</x:f>
        <x:v>0</x:v>
      </x:c>
      <x:c r="X481" t="str">
        <x:f>IF(E481&lt;25,"Low &lt; 25",IF(E481&lt;100,"Medium 25-99",IF(E481&lt;300,"High 100-299","Premium 300+")))</x:f>
        <x:v>High 100-299</x:v>
      </x:c>
      <x:c r="Y481" t="n">
        <x:f>IF(C481="Active",1,0)</x:f>
        <x:v>1</x:v>
      </x:c>
    </x:row>
    <x:row r="482">
      <x:c r="A482" t="str">
        <x:v>SKU00481</x:v>
      </x:c>
      <x:c r="B482" t="str">
        <x:v>Sample Product 00481</x:v>
      </x:c>
      <x:c r="C482" t="str">
        <x:v>Active</x:v>
      </x:c>
      <x:c r="D482" t="str">
        <x:v>2026-05</x:v>
      </x:c>
      <x:c r="E482" s="12" t="n">
        <x:v>117.08</x:v>
      </x:c>
      <x:c r="F482" s="10" t="n">
        <x:v>0.333</x:v>
      </x:c>
      <x:c r="G482" t="str">
        <x:v>Nutrition</x:v>
      </x:c>
      <x:c r="H482" t="str">
        <x:v>Sports Nutrition</x:v>
      </x:c>
      <x:c r="I482" t="str">
        <x:v>MFG014</x:v>
      </x:c>
      <x:c r="J482" t="str">
        <x:v>Manufacturer 014</x:v>
      </x:c>
      <x:c r="K482" t="str">
        <x:v>SUP014</x:v>
      </x:c>
      <x:c r="L482" t="str">
        <x:v>Supplier 014</x:v>
      </x:c>
      <x:c r="M482" t="str">
        <x:v>REG-875084</x:v>
      </x:c>
      <x:c r="N482" t="str">
        <x:v>Generic Ingredient 132</x:v>
      </x:c>
      <x:c r="O482" t="str">
        <x:v>General Sale</x:v>
      </x:c>
      <x:c r="P482" t="n">
        <x:v>138</x:v>
      </x:c>
      <x:c r="Q482" t="n">
        <x:v>84</x:v>
      </x:c>
      <x:c r="R482" t="n">
        <x:v>37</x:v>
      </x:c>
      <x:c r="S482" s="12" t="n">
        <x:f>E482*Q482</x:f>
        <x:v>9834.72</x:v>
      </x:c>
      <x:c r="T482" s="12" t="n">
        <x:f>ROUND(S482*F482+0.000000001,2)</x:f>
        <x:v>3274.96</x:v>
      </x:c>
      <x:c r="U482" s="12" t="n">
        <x:f>E482*R482</x:f>
        <x:v>4331.96</x:v>
      </x:c>
      <x:c r="V482" t="str">
        <x:f>IF(AND(C482="Active",Q482=0),"Active Zero Sales","Not Zero Sales")</x:f>
        <x:v>Not Zero Sales</x:v>
      </x:c>
      <x:c r="W482" s="12" t="n">
        <x:f>IF(V482="Active Zero Sales",U482,0)</x:f>
        <x:v>0</x:v>
      </x:c>
      <x:c r="X482" t="str">
        <x:f>IF(E482&lt;25,"Low &lt; 25",IF(E482&lt;100,"Medium 25-99",IF(E482&lt;300,"High 100-299","Premium 300+")))</x:f>
        <x:v>High 100-299</x:v>
      </x:c>
      <x:c r="Y482" t="n">
        <x:f>IF(C482="Active",1,0)</x:f>
        <x:v>1</x:v>
      </x:c>
    </x:row>
    <x:row r="483">
      <x:c r="A483" t="str">
        <x:v>SKU00482</x:v>
      </x:c>
      <x:c r="B483" t="str">
        <x:v>Sample Product 00482</x:v>
      </x:c>
      <x:c r="C483" t="str">
        <x:v>Active</x:v>
      </x:c>
      <x:c r="D483" t="str">
        <x:v>2026-04</x:v>
      </x:c>
      <x:c r="E483" s="12" t="n">
        <x:v>9.47</x:v>
      </x:c>
      <x:c r="F483" s="10" t="n">
        <x:v>0.433</x:v>
      </x:c>
      <x:c r="G483" t="str">
        <x:v>General Merchandise</x:v>
      </x:c>
      <x:c r="H483" t="str">
        <x:v>Seasonal Care</x:v>
      </x:c>
      <x:c r="I483" t="str">
        <x:v>MFG020</x:v>
      </x:c>
      <x:c r="J483" t="str">
        <x:v>Manufacturer 020</x:v>
      </x:c>
      <x:c r="K483" t="str">
        <x:v>SUP015</x:v>
      </x:c>
      <x:c r="L483" t="str">
        <x:v>Supplier 015</x:v>
      </x:c>
      <x:c r="M483" t="str">
        <x:v>REG-274512</x:v>
      </x:c>
      <x:c r="N483" t="str">
        <x:v>Generic Ingredient 170</x:v>
      </x:c>
      <x:c r="O483" t="str">
        <x:v>Pharmacy Only</x:v>
      </x:c>
      <x:c r="P483" t="n">
        <x:v>120</x:v>
      </x:c>
      <x:c r="Q483" t="n">
        <x:v>65</x:v>
      </x:c>
      <x:c r="R483" t="n">
        <x:v>20</x:v>
      </x:c>
      <x:c r="S483" s="12" t="n">
        <x:f>E483*Q483</x:f>
        <x:v>615.5500000000001</x:v>
      </x:c>
      <x:c r="T483" s="12" t="n">
        <x:f>ROUND(S483*F483+0.000000001,2)</x:f>
        <x:v>266.53</x:v>
      </x:c>
      <x:c r="U483" s="12" t="n">
        <x:f>E483*R483</x:f>
        <x:v>189.4</x:v>
      </x:c>
      <x:c r="V483" t="str">
        <x:f>IF(AND(C483="Active",Q483=0),"Active Zero Sales","Not Zero Sales")</x:f>
        <x:v>Not Zero Sales</x:v>
      </x:c>
      <x:c r="W483" s="12" t="n">
        <x:f>IF(V483="Active Zero Sales",U483,0)</x:f>
        <x:v>0</x:v>
      </x:c>
      <x:c r="X483" t="str">
        <x:f>IF(E483&lt;25,"Low &lt; 25",IF(E483&lt;100,"Medium 25-99",IF(E483&lt;300,"High 100-299","Premium 300+")))</x:f>
        <x:v>Low &lt; 25</x:v>
      </x:c>
      <x:c r="Y483" t="n">
        <x:f>IF(C483="Active",1,0)</x:f>
        <x:v>1</x:v>
      </x:c>
    </x:row>
    <x:row r="484">
      <x:c r="A484" t="str">
        <x:v>SKU00483</x:v>
      </x:c>
      <x:c r="B484" t="str">
        <x:v>Sample Product 00483</x:v>
      </x:c>
      <x:c r="C484" t="str">
        <x:v>Active</x:v>
      </x:c>
      <x:c r="D484" t="str">
        <x:v>2026-02</x:v>
      </x:c>
      <x:c r="E484" s="12" t="n">
        <x:v>83.12</x:v>
      </x:c>
      <x:c r="F484" s="10" t="n">
        <x:v>0.298</x:v>
      </x:c>
      <x:c r="G484" t="str">
        <x:v>Medical Devices</x:v>
      </x:c>
      <x:c r="H484" t="str">
        <x:v>First Aid</x:v>
      </x:c>
      <x:c r="I484" t="str">
        <x:v>MFG005</x:v>
      </x:c>
      <x:c r="J484" t="str">
        <x:v>Manufacturer 005</x:v>
      </x:c>
      <x:c r="K484" t="str">
        <x:v>SUP010</x:v>
      </x:c>
      <x:c r="L484" t="str">
        <x:v>Supplier 010</x:v>
      </x:c>
      <x:c r="M484" t="str">
        <x:v>REG-475558</x:v>
      </x:c>
      <x:c r="N484" t="str">
        <x:v>Generic Ingredient 144</x:v>
      </x:c>
      <x:c r="O484" t="str">
        <x:v>General Sale</x:v>
      </x:c>
      <x:c r="P484" t="n">
        <x:v>11</x:v>
      </x:c>
      <x:c r="Q484" t="n">
        <x:v>15</x:v>
      </x:c>
      <x:c r="R484" t="n">
        <x:v>0</x:v>
      </x:c>
      <x:c r="S484" s="12" t="n">
        <x:f>E484*Q484</x:f>
        <x:v>1246.8000000000002</x:v>
      </x:c>
      <x:c r="T484" s="12" t="n">
        <x:f>ROUND(S484*F484+0.000000001,2)</x:f>
        <x:v>371.55</x:v>
      </x:c>
      <x:c r="U484" s="12" t="n">
        <x:f>E484*R484</x:f>
        <x:v>0</x:v>
      </x:c>
      <x:c r="V484" t="str">
        <x:f>IF(AND(C484="Active",Q484=0),"Active Zero Sales","Not Zero Sales")</x:f>
        <x:v>Not Zero Sales</x:v>
      </x:c>
      <x:c r="W484" s="12" t="n">
        <x:f>IF(V484="Active Zero Sales",U484,0)</x:f>
        <x:v>0</x:v>
      </x:c>
      <x:c r="X484" t="str">
        <x:f>IF(E484&lt;25,"Low &lt; 25",IF(E484&lt;100,"Medium 25-99",IF(E484&lt;300,"High 100-299","Premium 300+")))</x:f>
        <x:v>Medium 25-99</x:v>
      </x:c>
      <x:c r="Y484" t="n">
        <x:f>IF(C484="Active",1,0)</x:f>
        <x:v>1</x:v>
      </x:c>
    </x:row>
    <x:row r="485">
      <x:c r="A485" t="str">
        <x:v>SKU00484</x:v>
      </x:c>
      <x:c r="B485" t="str">
        <x:v>Sample Product 00484</x:v>
      </x:c>
      <x:c r="C485" t="str">
        <x:v>Active</x:v>
      </x:c>
      <x:c r="D485" t="str">
        <x:v>2026-06</x:v>
      </x:c>
      <x:c r="E485" s="12" t="n">
        <x:v>384.01</x:v>
      </x:c>
      <x:c r="F485" s="10" t="n">
        <x:v>0.191</x:v>
      </x:c>
      <x:c r="G485" t="str">
        <x:v>Medical Devices</x:v>
      </x:c>
      <x:c r="H485" t="str">
        <x:v>Monitoring Supplies</x:v>
      </x:c>
      <x:c r="I485" t="str">
        <x:v>MFG006</x:v>
      </x:c>
      <x:c r="J485" t="str">
        <x:v>Manufacturer 006</x:v>
      </x:c>
      <x:c r="K485" t="str">
        <x:v>SUP017</x:v>
      </x:c>
      <x:c r="L485" t="str">
        <x:v>Supplier 017</x:v>
      </x:c>
      <x:c r="M485" t="str">
        <x:v>REG-138833</x:v>
      </x:c>
      <x:c r="N485" t="str">
        <x:v>Generic Ingredient 059</x:v>
      </x:c>
      <x:c r="O485" t="str">
        <x:v>General Sale</x:v>
      </x:c>
      <x:c r="P485" t="n">
        <x:v>75</x:v>
      </x:c>
      <x:c r="Q485" t="n">
        <x:v>18</x:v>
      </x:c>
      <x:c r="R485" t="n">
        <x:v>25</x:v>
      </x:c>
      <x:c r="S485" s="12" t="n">
        <x:f>E485*Q485</x:f>
        <x:v>6912.18</x:v>
      </x:c>
      <x:c r="T485" s="12" t="n">
        <x:f>ROUND(S485*F485+0.000000001,2)</x:f>
        <x:v>1320.23</x:v>
      </x:c>
      <x:c r="U485" s="12" t="n">
        <x:f>E485*R485</x:f>
        <x:v>9600.25</x:v>
      </x:c>
      <x:c r="V485" t="str">
        <x:f>IF(AND(C485="Active",Q485=0),"Active Zero Sales","Not Zero Sales")</x:f>
        <x:v>Not Zero Sales</x:v>
      </x:c>
      <x:c r="W485" s="12" t="n">
        <x:f>IF(V485="Active Zero Sales",U485,0)</x:f>
        <x:v>0</x:v>
      </x:c>
      <x:c r="X485" t="str">
        <x:f>IF(E485&lt;25,"Low &lt; 25",IF(E485&lt;100,"Medium 25-99",IF(E485&lt;300,"High 100-299","Premium 300+")))</x:f>
        <x:v>Premium 300+</x:v>
      </x:c>
      <x:c r="Y485" t="n">
        <x:f>IF(C485="Active",1,0)</x:f>
        <x:v>1</x:v>
      </x:c>
    </x:row>
    <x:row r="486">
      <x:c r="A486" t="str">
        <x:v>SKU00485</x:v>
      </x:c>
      <x:c r="B486" t="str">
        <x:v>Sample Product 00485</x:v>
      </x:c>
      <x:c r="C486" t="str">
        <x:v>Active</x:v>
      </x:c>
      <x:c r="D486" t="str">
        <x:v>2026-04</x:v>
      </x:c>
      <x:c r="E486" s="12" t="n">
        <x:v>247.56</x:v>
      </x:c>
      <x:c r="F486" s="10" t="n">
        <x:v>0.213</x:v>
      </x:c>
      <x:c r="G486" t="str">
        <x:v>Medical Devices</x:v>
      </x:c>
      <x:c r="H486" t="str">
        <x:v>Mobility Aids</x:v>
      </x:c>
      <x:c r="I486" t="str">
        <x:v>MFG011</x:v>
      </x:c>
      <x:c r="J486" t="str">
        <x:v>Manufacturer 011</x:v>
      </x:c>
      <x:c r="K486" t="str">
        <x:v>SUP011</x:v>
      </x:c>
      <x:c r="L486" t="str">
        <x:v>Supplier 011</x:v>
      </x:c>
      <x:c r="M486" t="str">
        <x:v>REG-688004</x:v>
      </x:c>
      <x:c r="N486" t="str">
        <x:v>Generic Ingredient 006</x:v>
      </x:c>
      <x:c r="O486" t="str">
        <x:v>General Sale</x:v>
      </x:c>
      <x:c r="P486" t="n">
        <x:v>208</x:v>
      </x:c>
      <x:c r="Q486" t="n">
        <x:v>149</x:v>
      </x:c>
      <x:c r="R486" t="n">
        <x:v>56</x:v>
      </x:c>
      <x:c r="S486" s="12" t="n">
        <x:f>E486*Q486</x:f>
        <x:v>36886.44</x:v>
      </x:c>
      <x:c r="T486" s="12" t="n">
        <x:f>ROUND(S486*F486+0.000000001,2)</x:f>
        <x:v>7856.81</x:v>
      </x:c>
      <x:c r="U486" s="12" t="n">
        <x:f>E486*R486</x:f>
        <x:v>13863.36</x:v>
      </x:c>
      <x:c r="V486" t="str">
        <x:f>IF(AND(C486="Active",Q486=0),"Active Zero Sales","Not Zero Sales")</x:f>
        <x:v>Not Zero Sales</x:v>
      </x:c>
      <x:c r="W486" s="12" t="n">
        <x:f>IF(V486="Active Zero Sales",U486,0)</x:f>
        <x:v>0</x:v>
      </x:c>
      <x:c r="X486" t="str">
        <x:f>IF(E486&lt;25,"Low &lt; 25",IF(E486&lt;100,"Medium 25-99",IF(E486&lt;300,"High 100-299","Premium 300+")))</x:f>
        <x:v>High 100-299</x:v>
      </x:c>
      <x:c r="Y486" t="n">
        <x:f>IF(C486="Active",1,0)</x:f>
        <x:v>1</x:v>
      </x:c>
    </x:row>
    <x:row r="487">
      <x:c r="A487" t="str">
        <x:v>SKU00486</x:v>
      </x:c>
      <x:c r="B487" t="str">
        <x:v>Sample Product 00486</x:v>
      </x:c>
      <x:c r="C487" t="str">
        <x:v>Active</x:v>
      </x:c>
      <x:c r="D487" t="str">
        <x:v>2026-05</x:v>
      </x:c>
      <x:c r="E487" s="12" t="n">
        <x:v>8.25</x:v>
      </x:c>
      <x:c r="F487" s="10" t="n">
        <x:v>0.339</x:v>
      </x:c>
      <x:c r="G487" t="str">
        <x:v>General Merchandise</x:v>
      </x:c>
      <x:c r="H487" t="str">
        <x:v>Seasonal Care</x:v>
      </x:c>
      <x:c r="I487" t="str">
        <x:v>MFG018</x:v>
      </x:c>
      <x:c r="J487" t="str">
        <x:v>Manufacturer 018</x:v>
      </x:c>
      <x:c r="K487" t="str">
        <x:v>SUP019</x:v>
      </x:c>
      <x:c r="L487" t="str">
        <x:v>Supplier 019</x:v>
      </x:c>
      <x:c r="M487" t="str">
        <x:v>REG-406915</x:v>
      </x:c>
      <x:c r="N487" t="str">
        <x:v>Generic Ingredient 154</x:v>
      </x:c>
      <x:c r="O487" t="str">
        <x:v>General Sale</x:v>
      </x:c>
      <x:c r="P487" t="n">
        <x:v>33</x:v>
      </x:c>
      <x:c r="Q487" t="n">
        <x:v>10</x:v>
      </x:c>
      <x:c r="R487" t="n">
        <x:v>3</x:v>
      </x:c>
      <x:c r="S487" s="12" t="n">
        <x:f>E487*Q487</x:f>
        <x:v>82.5</x:v>
      </x:c>
      <x:c r="T487" s="12" t="n">
        <x:f>ROUND(S487*F487+0.000000001,2)</x:f>
        <x:v>27.97</x:v>
      </x:c>
      <x:c r="U487" s="12" t="n">
        <x:f>E487*R487</x:f>
        <x:v>24.75</x:v>
      </x:c>
      <x:c r="V487" t="str">
        <x:f>IF(AND(C487="Active",Q487=0),"Active Zero Sales","Not Zero Sales")</x:f>
        <x:v>Not Zero Sales</x:v>
      </x:c>
      <x:c r="W487" s="12" t="n">
        <x:f>IF(V487="Active Zero Sales",U487,0)</x:f>
        <x:v>0</x:v>
      </x:c>
      <x:c r="X487" t="str">
        <x:f>IF(E487&lt;25,"Low &lt; 25",IF(E487&lt;100,"Medium 25-99",IF(E487&lt;300,"High 100-299","Premium 300+")))</x:f>
        <x:v>Low &lt; 25</x:v>
      </x:c>
      <x:c r="Y487" t="n">
        <x:f>IF(C487="Active",1,0)</x:f>
        <x:v>1</x:v>
      </x:c>
    </x:row>
    <x:row r="488">
      <x:c r="A488" t="str">
        <x:v>SKU00487</x:v>
      </x:c>
      <x:c r="B488" t="str">
        <x:v>Sample Product 00487</x:v>
      </x:c>
      <x:c r="C488" t="str">
        <x:v>Active</x:v>
      </x:c>
      <x:c r="D488" t="str">
        <x:v>2026-01</x:v>
      </x:c>
      <x:c r="E488" s="12" t="n">
        <x:v>146.6</x:v>
      </x:c>
      <x:c r="F488" s="10" t="n">
        <x:v>0.351</x:v>
      </x:c>
      <x:c r="G488" t="str">
        <x:v>OTC &amp; Wellness</x:v>
      </x:c>
      <x:c r="H488" t="str">
        <x:v>Vitamins</x:v>
      </x:c>
      <x:c r="I488" t="str">
        <x:v>MFG014</x:v>
      </x:c>
      <x:c r="J488" t="str">
        <x:v>Manufacturer 014</x:v>
      </x:c>
      <x:c r="K488" t="str">
        <x:v>SUP004</x:v>
      </x:c>
      <x:c r="L488" t="str">
        <x:v>Supplier 004</x:v>
      </x:c>
      <x:c r="M488" t="str">
        <x:v>REG-360814</x:v>
      </x:c>
      <x:c r="N488" t="str">
        <x:v>Generic Ingredient 034</x:v>
      </x:c>
      <x:c r="O488" t="str">
        <x:v>Pharmacy Only</x:v>
      </x:c>
      <x:c r="P488" t="n">
        <x:v>70</x:v>
      </x:c>
      <x:c r="Q488" t="n">
        <x:v>12</x:v>
      </x:c>
      <x:c r="R488" t="n">
        <x:v>23</x:v>
      </x:c>
      <x:c r="S488" s="12" t="n">
        <x:f>E488*Q488</x:f>
        <x:v>1759.1999999999998</x:v>
      </x:c>
      <x:c r="T488" s="12" t="n">
        <x:f>ROUND(S488*F488+0.000000001,2)</x:f>
        <x:v>617.48</x:v>
      </x:c>
      <x:c r="U488" s="12" t="n">
        <x:f>E488*R488</x:f>
        <x:v>3371.7999999999997</x:v>
      </x:c>
      <x:c r="V488" t="str">
        <x:f>IF(AND(C488="Active",Q488=0),"Active Zero Sales","Not Zero Sales")</x:f>
        <x:v>Not Zero Sales</x:v>
      </x:c>
      <x:c r="W488" s="12" t="n">
        <x:f>IF(V488="Active Zero Sales",U488,0)</x:f>
        <x:v>0</x:v>
      </x:c>
      <x:c r="X488" t="str">
        <x:f>IF(E488&lt;25,"Low &lt; 25",IF(E488&lt;100,"Medium 25-99",IF(E488&lt;300,"High 100-299","Premium 300+")))</x:f>
        <x:v>High 100-299</x:v>
      </x:c>
      <x:c r="Y488" t="n">
        <x:f>IF(C488="Active",1,0)</x:f>
        <x:v>1</x:v>
      </x:c>
    </x:row>
    <x:row r="489">
      <x:c r="A489" t="str">
        <x:v>SKU00488</x:v>
      </x:c>
      <x:c r="B489" t="str">
        <x:v>Sample Product 00488</x:v>
      </x:c>
      <x:c r="C489" t="str">
        <x:v>Active</x:v>
      </x:c>
      <x:c r="D489" t="str">
        <x:v>2026-04</x:v>
      </x:c>
      <x:c r="E489" s="12" t="n">
        <x:v>84.93</x:v>
      </x:c>
      <x:c r="F489" s="10" t="n">
        <x:v>0.407</x:v>
      </x:c>
      <x:c r="G489" t="str">
        <x:v>Personal Care</x:v>
      </x:c>
      <x:c r="H489" t="str">
        <x:v>Skin Care</x:v>
      </x:c>
      <x:c r="I489" t="str">
        <x:v>MFG003</x:v>
      </x:c>
      <x:c r="J489" t="str">
        <x:v>Manufacturer 003</x:v>
      </x:c>
      <x:c r="K489" t="str">
        <x:v>SUP029</x:v>
      </x:c>
      <x:c r="L489" t="str">
        <x:v>Supplier 029</x:v>
      </x:c>
      <x:c r="M489" t="str">
        <x:v>REG-868486</x:v>
      </x:c>
      <x:c r="N489" t="str">
        <x:v>Generic Ingredient 176</x:v>
      </x:c>
      <x:c r="O489" t="str">
        <x:v>General Sale</x:v>
      </x:c>
      <x:c r="P489" t="n">
        <x:v>32</x:v>
      </x:c>
      <x:c r="Q489" t="n">
        <x:v>23</x:v>
      </x:c>
      <x:c r="R489" t="n">
        <x:v>6</x:v>
      </x:c>
      <x:c r="S489" s="12" t="n">
        <x:f>E489*Q489</x:f>
        <x:v>1953.39</x:v>
      </x:c>
      <x:c r="T489" s="12" t="n">
        <x:f>ROUND(S489*F489+0.000000001,2)</x:f>
        <x:v>795.03</x:v>
      </x:c>
      <x:c r="U489" s="12" t="n">
        <x:f>E489*R489</x:f>
        <x:v>509.58000000000004</x:v>
      </x:c>
      <x:c r="V489" t="str">
        <x:f>IF(AND(C489="Active",Q489=0),"Active Zero Sales","Not Zero Sales")</x:f>
        <x:v>Not Zero Sales</x:v>
      </x:c>
      <x:c r="W489" s="12" t="n">
        <x:f>IF(V489="Active Zero Sales",U489,0)</x:f>
        <x:v>0</x:v>
      </x:c>
      <x:c r="X489" t="str">
        <x:f>IF(E489&lt;25,"Low &lt; 25",IF(E489&lt;100,"Medium 25-99",IF(E489&lt;300,"High 100-299","Premium 300+")))</x:f>
        <x:v>Medium 25-99</x:v>
      </x:c>
      <x:c r="Y489" t="n">
        <x:f>IF(C489="Active",1,0)</x:f>
        <x:v>1</x:v>
      </x:c>
    </x:row>
    <x:row r="490">
      <x:c r="A490" t="str">
        <x:v>SKU00489</x:v>
      </x:c>
      <x:c r="B490" t="str">
        <x:v>Sample Product 00489</x:v>
      </x:c>
      <x:c r="C490" t="str">
        <x:v>Active</x:v>
      </x:c>
      <x:c r="D490" t="str">
        <x:v>2026-04</x:v>
      </x:c>
      <x:c r="E490" s="12" t="n">
        <x:v>67.3</x:v>
      </x:c>
      <x:c r="F490" s="10" t="n">
        <x:v>0.417</x:v>
      </x:c>
      <x:c r="G490" t="str">
        <x:v>OTC &amp; Wellness</x:v>
      </x:c>
      <x:c r="H490" t="str">
        <x:v>Pain Relief</x:v>
      </x:c>
      <x:c r="I490" t="str">
        <x:v>MFG013</x:v>
      </x:c>
      <x:c r="J490" t="str">
        <x:v>Manufacturer 013</x:v>
      </x:c>
      <x:c r="K490" t="str">
        <x:v>SUP009</x:v>
      </x:c>
      <x:c r="L490" t="str">
        <x:v>Supplier 009</x:v>
      </x:c>
      <x:c r="M490" t="str">
        <x:v>REG-551157</x:v>
      </x:c>
      <x:c r="N490" t="str">
        <x:v>Generic Ingredient 035</x:v>
      </x:c>
      <x:c r="O490" t="str">
        <x:v>General Sale</x:v>
      </x:c>
      <x:c r="P490" t="n">
        <x:v>31</x:v>
      </x:c>
      <x:c r="Q490" t="n">
        <x:v>14</x:v>
      </x:c>
      <x:c r="R490" t="n">
        <x:v>19</x:v>
      </x:c>
      <x:c r="S490" s="12" t="n">
        <x:f>E490*Q490</x:f>
        <x:v>942.1999999999999</x:v>
      </x:c>
      <x:c r="T490" s="12" t="n">
        <x:f>ROUND(S490*F490+0.000000001,2)</x:f>
        <x:v>392.9</x:v>
      </x:c>
      <x:c r="U490" s="12" t="n">
        <x:f>E490*R490</x:f>
        <x:v>1278.7</x:v>
      </x:c>
      <x:c r="V490" t="str">
        <x:f>IF(AND(C490="Active",Q490=0),"Active Zero Sales","Not Zero Sales")</x:f>
        <x:v>Not Zero Sales</x:v>
      </x:c>
      <x:c r="W490" s="12" t="n">
        <x:f>IF(V490="Active Zero Sales",U490,0)</x:f>
        <x:v>0</x:v>
      </x:c>
      <x:c r="X490" t="str">
        <x:f>IF(E490&lt;25,"Low &lt; 25",IF(E490&lt;100,"Medium 25-99",IF(E490&lt;300,"High 100-299","Premium 300+")))</x:f>
        <x:v>Medium 25-99</x:v>
      </x:c>
      <x:c r="Y490" t="n">
        <x:f>IF(C490="Active",1,0)</x:f>
        <x:v>1</x:v>
      </x:c>
    </x:row>
    <x:row r="491">
      <x:c r="A491" t="str">
        <x:v>SKU00490</x:v>
      </x:c>
      <x:c r="B491" t="str">
        <x:v>Sample Product 00490</x:v>
      </x:c>
      <x:c r="C491" t="str">
        <x:v>Blocked</x:v>
      </x:c>
      <x:c r="D491" t="str">
        <x:v>2026-04</x:v>
      </x:c>
      <x:c r="E491" s="12" t="n">
        <x:v>204.44</x:v>
      </x:c>
      <x:c r="F491" s="10" t="n">
        <x:v>0.439</x:v>
      </x:c>
      <x:c r="G491" t="str">
        <x:v>OTC &amp; Wellness</x:v>
      </x:c>
      <x:c r="H491" t="str">
        <x:v>Cold &amp; Allergy</x:v>
      </x:c>
      <x:c r="I491" t="str">
        <x:v>MFG004</x:v>
      </x:c>
      <x:c r="J491" t="str">
        <x:v>Manufacturer 004</x:v>
      </x:c>
      <x:c r="K491" t="str">
        <x:v>SUP026</x:v>
      </x:c>
      <x:c r="L491" t="str">
        <x:v>Supplier 026</x:v>
      </x:c>
      <x:c r="M491" t="str">
        <x:v>REG-591022</x:v>
      </x:c>
      <x:c r="N491" t="str">
        <x:v>Generic Ingredient 029</x:v>
      </x:c>
      <x:c r="O491" t="str">
        <x:v>General Sale</x:v>
      </x:c>
      <x:c r="P491" t="n">
        <x:v>68</x:v>
      </x:c>
      <x:c r="Q491" t="n">
        <x:v>26</x:v>
      </x:c>
      <x:c r="R491" t="n">
        <x:v>17</x:v>
      </x:c>
      <x:c r="S491" s="12" t="n">
        <x:f>E491*Q491</x:f>
        <x:v>5315.44</x:v>
      </x:c>
      <x:c r="T491" s="12" t="n">
        <x:f>ROUND(S491*F491+0.000000001,2)</x:f>
        <x:v>2333.48</x:v>
      </x:c>
      <x:c r="U491" s="12" t="n">
        <x:f>E491*R491</x:f>
        <x:v>3475.48</x:v>
      </x:c>
      <x:c r="V491" t="str">
        <x:f>IF(AND(C491="Active",Q491=0),"Active Zero Sales","Not Zero Sales")</x:f>
        <x:v>Not Zero Sales</x:v>
      </x:c>
      <x:c r="W491" s="12" t="n">
        <x:f>IF(V491="Active Zero Sales",U491,0)</x:f>
        <x:v>0</x:v>
      </x:c>
      <x:c r="X491" t="str">
        <x:f>IF(E491&lt;25,"Low &lt; 25",IF(E491&lt;100,"Medium 25-99",IF(E491&lt;300,"High 100-299","Premium 300+")))</x:f>
        <x:v>High 100-299</x:v>
      </x:c>
      <x:c r="Y491" t="n">
        <x:f>IF(C491="Active",1,0)</x:f>
        <x:v>0</x:v>
      </x:c>
    </x:row>
    <x:row r="492">
      <x:c r="A492" t="str">
        <x:v>SKU00491</x:v>
      </x:c>
      <x:c r="B492" t="str">
        <x:v>Sample Product 00491</x:v>
      </x:c>
      <x:c r="C492" t="str">
        <x:v>Active</x:v>
      </x:c>
      <x:c r="D492" t="str">
        <x:v>2026-06</x:v>
      </x:c>
      <x:c r="E492" s="12" t="n">
        <x:v>52.31</x:v>
      </x:c>
      <x:c r="F492" s="10" t="n">
        <x:v>0.385</x:v>
      </x:c>
      <x:c r="G492" t="str">
        <x:v>Medical Devices</x:v>
      </x:c>
      <x:c r="H492" t="str">
        <x:v>Monitoring Supplies</x:v>
      </x:c>
      <x:c r="I492" t="str">
        <x:v>MFG003</x:v>
      </x:c>
      <x:c r="J492" t="str">
        <x:v>Manufacturer 003</x:v>
      </x:c>
      <x:c r="K492" t="str">
        <x:v>SUP006</x:v>
      </x:c>
      <x:c r="L492" t="str">
        <x:v>Supplier 006</x:v>
      </x:c>
      <x:c r="M492" t="str">
        <x:v>REG-100798</x:v>
      </x:c>
      <x:c r="N492" t="str">
        <x:v>Generic Ingredient 103</x:v>
      </x:c>
      <x:c r="O492" t="str">
        <x:v>General Sale</x:v>
      </x:c>
      <x:c r="P492" t="n">
        <x:v>75</x:v>
      </x:c>
      <x:c r="Q492" t="n">
        <x:v>38</x:v>
      </x:c>
      <x:c r="R492" t="n">
        <x:v>13</x:v>
      </x:c>
      <x:c r="S492" s="12" t="n">
        <x:f>E492*Q492</x:f>
        <x:v>1987.7800000000002</x:v>
      </x:c>
      <x:c r="T492" s="12" t="n">
        <x:f>ROUND(S492*F492+0.000000001,2)</x:f>
        <x:v>765.3</x:v>
      </x:c>
      <x:c r="U492" s="12" t="n">
        <x:f>E492*R492</x:f>
        <x:v>680.03</x:v>
      </x:c>
      <x:c r="V492" t="str">
        <x:f>IF(AND(C492="Active",Q492=0),"Active Zero Sales","Not Zero Sales")</x:f>
        <x:v>Not Zero Sales</x:v>
      </x:c>
      <x:c r="W492" s="12" t="n">
        <x:f>IF(V492="Active Zero Sales",U492,0)</x:f>
        <x:v>0</x:v>
      </x:c>
      <x:c r="X492" t="str">
        <x:f>IF(E492&lt;25,"Low &lt; 25",IF(E492&lt;100,"Medium 25-99",IF(E492&lt;300,"High 100-299","Premium 300+")))</x:f>
        <x:v>Medium 25-99</x:v>
      </x:c>
      <x:c r="Y492" t="n">
        <x:f>IF(C492="Active",1,0)</x:f>
        <x:v>1</x:v>
      </x:c>
    </x:row>
    <x:row r="493">
      <x:c r="A493" t="str">
        <x:v>SKU00492</x:v>
      </x:c>
      <x:c r="B493" t="str">
        <x:v>Sample Product 00492</x:v>
      </x:c>
      <x:c r="C493" t="str">
        <x:v>Active</x:v>
      </x:c>
      <x:c r="D493" t="str">
        <x:v>2026-04</x:v>
      </x:c>
      <x:c r="E493" s="12" t="n">
        <x:v>19.31</x:v>
      </x:c>
      <x:c r="F493" s="10" t="n">
        <x:v>0.467</x:v>
      </x:c>
      <x:c r="G493" t="str">
        <x:v>Personal Care</x:v>
      </x:c>
      <x:c r="H493" t="str">
        <x:v>Skin Care</x:v>
      </x:c>
      <x:c r="I493" t="str">
        <x:v>MFG011</x:v>
      </x:c>
      <x:c r="J493" t="str">
        <x:v>Manufacturer 011</x:v>
      </x:c>
      <x:c r="K493" t="str">
        <x:v>SUP027</x:v>
      </x:c>
      <x:c r="L493" t="str">
        <x:v>Supplier 027</x:v>
      </x:c>
      <x:c r="M493" t="str">
        <x:v>REG-525894</x:v>
      </x:c>
      <x:c r="N493" t="str">
        <x:v>Generic Ingredient 042</x:v>
      </x:c>
      <x:c r="O493" t="str">
        <x:v>General Sale</x:v>
      </x:c>
      <x:c r="P493" t="n">
        <x:v>25</x:v>
      </x:c>
      <x:c r="Q493" t="n">
        <x:v>0</x:v>
      </x:c>
      <x:c r="R493" t="n">
        <x:v>26</x:v>
      </x:c>
      <x:c r="S493" s="12" t="n">
        <x:f>E493*Q493</x:f>
        <x:v>0</x:v>
      </x:c>
      <x:c r="T493" s="12" t="n">
        <x:f>ROUND(S493*F493+0.000000001,2)</x:f>
        <x:v>0</x:v>
      </x:c>
      <x:c r="U493" s="12" t="n">
        <x:f>E493*R493</x:f>
        <x:v>502.05999999999995</x:v>
      </x:c>
      <x:c r="V493" t="str">
        <x:f>IF(AND(C493="Active",Q493=0),"Active Zero Sales","Not Zero Sales")</x:f>
        <x:v>Active Zero Sales</x:v>
      </x:c>
      <x:c r="W493" s="12" t="n">
        <x:f>IF(V493="Active Zero Sales",U493,0)</x:f>
        <x:v>502.05999999999995</x:v>
      </x:c>
      <x:c r="X493" t="str">
        <x:f>IF(E493&lt;25,"Low &lt; 25",IF(E493&lt;100,"Medium 25-99",IF(E493&lt;300,"High 100-299","Premium 300+")))</x:f>
        <x:v>Low &lt; 25</x:v>
      </x:c>
      <x:c r="Y493" t="n">
        <x:f>IF(C493="Active",1,0)</x:f>
        <x:v>1</x:v>
      </x:c>
    </x:row>
    <x:row r="494">
      <x:c r="A494" t="str">
        <x:v>SKU00493</x:v>
      </x:c>
      <x:c r="B494" t="str">
        <x:v>Sample Product 00493</x:v>
      </x:c>
      <x:c r="C494" t="str">
        <x:v>Active</x:v>
      </x:c>
      <x:c r="D494" t="str">
        <x:v>2026-02</x:v>
      </x:c>
      <x:c r="E494" s="12" t="n">
        <x:v>9.91</x:v>
      </x:c>
      <x:c r="F494" s="10" t="n">
        <x:v>0.138</x:v>
      </x:c>
      <x:c r="G494" t="str">
        <x:v>Nutrition</x:v>
      </x:c>
      <x:c r="H494" t="str">
        <x:v>Healthy Snacks</x:v>
      </x:c>
      <x:c r="I494" t="str">
        <x:v>MFG017</x:v>
      </x:c>
      <x:c r="J494" t="str">
        <x:v>Manufacturer 017</x:v>
      </x:c>
      <x:c r="K494" t="str">
        <x:v>SUP014</x:v>
      </x:c>
      <x:c r="L494" t="str">
        <x:v>Supplier 014</x:v>
      </x:c>
      <x:c r="M494" t="str">
        <x:v>REG-512487</x:v>
      </x:c>
      <x:c r="N494" t="str">
        <x:v>Generic Ingredient 129</x:v>
      </x:c>
      <x:c r="O494" t="str">
        <x:v>General Sale</x:v>
      </x:c>
      <x:c r="P494" t="n">
        <x:v>85</x:v>
      </x:c>
      <x:c r="Q494" t="n">
        <x:v>47</x:v>
      </x:c>
      <x:c r="R494" t="n">
        <x:v>12</x:v>
      </x:c>
      <x:c r="S494" s="12" t="n">
        <x:f>E494*Q494</x:f>
        <x:v>465.77</x:v>
      </x:c>
      <x:c r="T494" s="12" t="n">
        <x:f>ROUND(S494*F494+0.000000001,2)</x:f>
        <x:v>64.28</x:v>
      </x:c>
      <x:c r="U494" s="12" t="n">
        <x:f>E494*R494</x:f>
        <x:v>118.92</x:v>
      </x:c>
      <x:c r="V494" t="str">
        <x:f>IF(AND(C494="Active",Q494=0),"Active Zero Sales","Not Zero Sales")</x:f>
        <x:v>Not Zero Sales</x:v>
      </x:c>
      <x:c r="W494" s="12" t="n">
        <x:f>IF(V494="Active Zero Sales",U494,0)</x:f>
        <x:v>0</x:v>
      </x:c>
      <x:c r="X494" t="str">
        <x:f>IF(E494&lt;25,"Low &lt; 25",IF(E494&lt;100,"Medium 25-99",IF(E494&lt;300,"High 100-299","Premium 300+")))</x:f>
        <x:v>Low &lt; 25</x:v>
      </x:c>
      <x:c r="Y494" t="n">
        <x:f>IF(C494="Active",1,0)</x:f>
        <x:v>1</x:v>
      </x:c>
    </x:row>
    <x:row r="495">
      <x:c r="A495" t="str">
        <x:v>SKU00494</x:v>
      </x:c>
      <x:c r="B495" t="str">
        <x:v>Sample Product 00494</x:v>
      </x:c>
      <x:c r="C495" t="str">
        <x:v>Active</x:v>
      </x:c>
      <x:c r="D495" t="str">
        <x:v>2026-04</x:v>
      </x:c>
      <x:c r="E495" s="12" t="n">
        <x:v>8.19</x:v>
      </x:c>
      <x:c r="F495" s="10" t="n">
        <x:v>0.378</x:v>
      </x:c>
      <x:c r="G495" t="str">
        <x:v>OTC &amp; Wellness</x:v>
      </x:c>
      <x:c r="H495" t="str">
        <x:v>Digestive Care</x:v>
      </x:c>
      <x:c r="I495" t="str">
        <x:v>MFG008</x:v>
      </x:c>
      <x:c r="J495" t="str">
        <x:v>Manufacturer 008</x:v>
      </x:c>
      <x:c r="K495" t="str">
        <x:v>SUP015</x:v>
      </x:c>
      <x:c r="L495" t="str">
        <x:v>Supplier 015</x:v>
      </x:c>
      <x:c r="M495" t="str">
        <x:v>REG-633618</x:v>
      </x:c>
      <x:c r="N495" t="str">
        <x:v>Generic Ingredient 095</x:v>
      </x:c>
      <x:c r="O495" t="str">
        <x:v>Pharmacy Only</x:v>
      </x:c>
      <x:c r="P495" t="n">
        <x:v>25</x:v>
      </x:c>
      <x:c r="Q495" t="n">
        <x:v>0</x:v>
      </x:c>
      <x:c r="R495" t="n">
        <x:v>8</x:v>
      </x:c>
      <x:c r="S495" s="12" t="n">
        <x:f>E495*Q495</x:f>
        <x:v>0</x:v>
      </x:c>
      <x:c r="T495" s="12" t="n">
        <x:f>ROUND(S495*F495+0.000000001,2)</x:f>
        <x:v>0</x:v>
      </x:c>
      <x:c r="U495" s="12" t="n">
        <x:f>E495*R495</x:f>
        <x:v>65.52</x:v>
      </x:c>
      <x:c r="V495" t="str">
        <x:f>IF(AND(C495="Active",Q495=0),"Active Zero Sales","Not Zero Sales")</x:f>
        <x:v>Active Zero Sales</x:v>
      </x:c>
      <x:c r="W495" s="12" t="n">
        <x:f>IF(V495="Active Zero Sales",U495,0)</x:f>
        <x:v>65.52</x:v>
      </x:c>
      <x:c r="X495" t="str">
        <x:f>IF(E495&lt;25,"Low &lt; 25",IF(E495&lt;100,"Medium 25-99",IF(E495&lt;300,"High 100-299","Premium 300+")))</x:f>
        <x:v>Low &lt; 25</x:v>
      </x:c>
      <x:c r="Y495" t="n">
        <x:f>IF(C495="Active",1,0)</x:f>
        <x:v>1</x:v>
      </x:c>
    </x:row>
    <x:row r="496">
      <x:c r="A496" t="str">
        <x:v>SKU00495</x:v>
      </x:c>
      <x:c r="B496" t="str">
        <x:v>Sample Product 00495</x:v>
      </x:c>
      <x:c r="C496" t="str">
        <x:v>Active</x:v>
      </x:c>
      <x:c r="D496" t="str">
        <x:v>2026-01</x:v>
      </x:c>
      <x:c r="E496" s="12" t="n">
        <x:v>15.71</x:v>
      </x:c>
      <x:c r="F496" s="10" t="n">
        <x:v>0.28</x:v>
      </x:c>
      <x:c r="G496" t="str">
        <x:v>General Merchandise</x:v>
      </x:c>
      <x:c r="H496" t="str">
        <x:v>Seasonal Care</x:v>
      </x:c>
      <x:c r="I496" t="str">
        <x:v>MFG011</x:v>
      </x:c>
      <x:c r="J496" t="str">
        <x:v>Manufacturer 011</x:v>
      </x:c>
      <x:c r="K496" t="str">
        <x:v>SUP028</x:v>
      </x:c>
      <x:c r="L496" t="str">
        <x:v>Supplier 028</x:v>
      </x:c>
      <x:c r="M496" t="str">
        <x:v>REG-315845</x:v>
      </x:c>
      <x:c r="N496" t="str">
        <x:v>Generic Ingredient 117</x:v>
      </x:c>
      <x:c r="O496" t="str">
        <x:v>Pharmacy Only</x:v>
      </x:c>
      <x:c r="P496" t="n">
        <x:v>56</x:v>
      </x:c>
      <x:c r="Q496" t="n">
        <x:v>6</x:v>
      </x:c>
      <x:c r="R496" t="n">
        <x:v>0</x:v>
      </x:c>
      <x:c r="S496" s="12" t="n">
        <x:f>E496*Q496</x:f>
        <x:v>94.26</x:v>
      </x:c>
      <x:c r="T496" s="12" t="n">
        <x:f>ROUND(S496*F496+0.000000001,2)</x:f>
        <x:v>26.39</x:v>
      </x:c>
      <x:c r="U496" s="12" t="n">
        <x:f>E496*R496</x:f>
        <x:v>0</x:v>
      </x:c>
      <x:c r="V496" t="str">
        <x:f>IF(AND(C496="Active",Q496=0),"Active Zero Sales","Not Zero Sales")</x:f>
        <x:v>Not Zero Sales</x:v>
      </x:c>
      <x:c r="W496" s="12" t="n">
        <x:f>IF(V496="Active Zero Sales",U496,0)</x:f>
        <x:v>0</x:v>
      </x:c>
      <x:c r="X496" t="str">
        <x:f>IF(E496&lt;25,"Low &lt; 25",IF(E496&lt;100,"Medium 25-99",IF(E496&lt;300,"High 100-299","Premium 300+")))</x:f>
        <x:v>Low &lt; 25</x:v>
      </x:c>
      <x:c r="Y496" t="n">
        <x:f>IF(C496="Active",1,0)</x:f>
        <x:v>1</x:v>
      </x:c>
    </x:row>
    <x:row r="497">
      <x:c r="A497" t="str">
        <x:v>SKU00496</x:v>
      </x:c>
      <x:c r="B497" t="str">
        <x:v>Sample Product 00496</x:v>
      </x:c>
      <x:c r="C497" t="str">
        <x:v>Blocked</x:v>
      </x:c>
      <x:c r="D497" t="str">
        <x:v>2026-03</x:v>
      </x:c>
      <x:c r="E497" s="12" t="n">
        <x:v>16.32</x:v>
      </x:c>
      <x:c r="F497" s="10" t="n">
        <x:v>0.436</x:v>
      </x:c>
      <x:c r="G497" t="str">
        <x:v>Personal Care</x:v>
      </x:c>
      <x:c r="H497" t="str">
        <x:v>Hair Care</x:v>
      </x:c>
      <x:c r="I497" t="str">
        <x:v>MFG014</x:v>
      </x:c>
      <x:c r="J497" t="str">
        <x:v>Manufacturer 014</x:v>
      </x:c>
      <x:c r="K497" t="str">
        <x:v>SUP009</x:v>
      </x:c>
      <x:c r="L497" t="str">
        <x:v>Supplier 009</x:v>
      </x:c>
      <x:c r="M497" t="str">
        <x:v>REG-431909</x:v>
      </x:c>
      <x:c r="N497" t="str">
        <x:v>Generic Ingredient 098</x:v>
      </x:c>
      <x:c r="O497" t="str">
        <x:v>General Sale</x:v>
      </x:c>
      <x:c r="P497" t="n">
        <x:v>32</x:v>
      </x:c>
      <x:c r="Q497" t="n">
        <x:v>0</x:v>
      </x:c>
      <x:c r="R497" t="n">
        <x:v>0</x:v>
      </x:c>
      <x:c r="S497" s="12" t="n">
        <x:f>E497*Q497</x:f>
        <x:v>0</x:v>
      </x:c>
      <x:c r="T497" s="12" t="n">
        <x:f>ROUND(S497*F497+0.000000001,2)</x:f>
        <x:v>0</x:v>
      </x:c>
      <x:c r="U497" s="12" t="n">
        <x:f>E497*R497</x:f>
        <x:v>0</x:v>
      </x:c>
      <x:c r="V497" t="str">
        <x:f>IF(AND(C497="Active",Q497=0),"Active Zero Sales","Not Zero Sales")</x:f>
        <x:v>Not Zero Sales</x:v>
      </x:c>
      <x:c r="W497" s="12" t="n">
        <x:f>IF(V497="Active Zero Sales",U497,0)</x:f>
        <x:v>0</x:v>
      </x:c>
      <x:c r="X497" t="str">
        <x:f>IF(E497&lt;25,"Low &lt; 25",IF(E497&lt;100,"Medium 25-99",IF(E497&lt;300,"High 100-299","Premium 300+")))</x:f>
        <x:v>Low &lt; 25</x:v>
      </x:c>
      <x:c r="Y497" t="n">
        <x:f>IF(C497="Active",1,0)</x:f>
        <x:v>0</x:v>
      </x:c>
    </x:row>
    <x:row r="498">
      <x:c r="A498" t="str">
        <x:v>SKU00497</x:v>
      </x:c>
      <x:c r="B498" t="str">
        <x:v>Sample Product 00497</x:v>
      </x:c>
      <x:c r="C498" t="str">
        <x:v>Blocked</x:v>
      </x:c>
      <x:c r="D498" t="str">
        <x:v>2026-02</x:v>
      </x:c>
      <x:c r="E498" s="12" t="n">
        <x:v>18.36</x:v>
      </x:c>
      <x:c r="F498" s="10" t="n">
        <x:v>0.357</x:v>
      </x:c>
      <x:c r="G498" t="str">
        <x:v>OTC &amp; Wellness</x:v>
      </x:c>
      <x:c r="H498" t="str">
        <x:v>Vitamins</x:v>
      </x:c>
      <x:c r="I498" t="str">
        <x:v>MFG013</x:v>
      </x:c>
      <x:c r="J498" t="str">
        <x:v>Manufacturer 013</x:v>
      </x:c>
      <x:c r="K498" t="str">
        <x:v>SUP030</x:v>
      </x:c>
      <x:c r="L498" t="str">
        <x:v>Supplier 030</x:v>
      </x:c>
      <x:c r="M498" t="str">
        <x:v>REG-649302</x:v>
      </x:c>
      <x:c r="N498" t="str">
        <x:v>Generic Ingredient 029</x:v>
      </x:c>
      <x:c r="O498" t="str">
        <x:v>General Sale</x:v>
      </x:c>
      <x:c r="P498" t="n">
        <x:v>18</x:v>
      </x:c>
      <x:c r="Q498" t="n">
        <x:v>0</x:v>
      </x:c>
      <x:c r="R498" t="n">
        <x:v>15</x:v>
      </x:c>
      <x:c r="S498" s="12" t="n">
        <x:f>E498*Q498</x:f>
        <x:v>0</x:v>
      </x:c>
      <x:c r="T498" s="12" t="n">
        <x:f>ROUND(S498*F498+0.000000001,2)</x:f>
        <x:v>0</x:v>
      </x:c>
      <x:c r="U498" s="12" t="n">
        <x:f>E498*R498</x:f>
        <x:v>275.4</x:v>
      </x:c>
      <x:c r="V498" t="str">
        <x:f>IF(AND(C498="Active",Q498=0),"Active Zero Sales","Not Zero Sales")</x:f>
        <x:v>Not Zero Sales</x:v>
      </x:c>
      <x:c r="W498" s="12" t="n">
        <x:f>IF(V498="Active Zero Sales",U498,0)</x:f>
        <x:v>0</x:v>
      </x:c>
      <x:c r="X498" t="str">
        <x:f>IF(E498&lt;25,"Low &lt; 25",IF(E498&lt;100,"Medium 25-99",IF(E498&lt;300,"High 100-299","Premium 300+")))</x:f>
        <x:v>Low &lt; 25</x:v>
      </x:c>
      <x:c r="Y498" t="n">
        <x:f>IF(C498="Active",1,0)</x:f>
        <x:v>0</x:v>
      </x:c>
    </x:row>
    <x:row r="499">
      <x:c r="A499" t="str">
        <x:v>SKU00498</x:v>
      </x:c>
      <x:c r="B499" t="str">
        <x:v>Sample Product 00498</x:v>
      </x:c>
      <x:c r="C499" t="str">
        <x:v>Blocked</x:v>
      </x:c>
      <x:c r="D499" t="str">
        <x:v>2026-04</x:v>
      </x:c>
      <x:c r="E499" s="12" t="n">
        <x:v>12.47</x:v>
      </x:c>
      <x:c r="F499" s="10" t="n">
        <x:v>0.348</x:v>
      </x:c>
      <x:c r="G499" t="str">
        <x:v>Personal Care</x:v>
      </x:c>
      <x:c r="H499" t="str">
        <x:v>Hair Care</x:v>
      </x:c>
      <x:c r="I499" t="str">
        <x:v>MFG002</x:v>
      </x:c>
      <x:c r="J499" t="str">
        <x:v>Manufacturer 002</x:v>
      </x:c>
      <x:c r="K499" t="str">
        <x:v>SUP012</x:v>
      </x:c>
      <x:c r="L499" t="str">
        <x:v>Supplier 012</x:v>
      </x:c>
      <x:c r="M499" t="str">
        <x:v>REG-435845</x:v>
      </x:c>
      <x:c r="N499" t="str">
        <x:v>Generic Ingredient 037</x:v>
      </x:c>
      <x:c r="O499" t="str">
        <x:v>General Sale</x:v>
      </x:c>
      <x:c r="P499" t="n">
        <x:v>11</x:v>
      </x:c>
      <x:c r="Q499" t="n">
        <x:v>0</x:v>
      </x:c>
      <x:c r="R499" t="n">
        <x:v>0</x:v>
      </x:c>
      <x:c r="S499" s="12" t="n">
        <x:f>E499*Q499</x:f>
        <x:v>0</x:v>
      </x:c>
      <x:c r="T499" s="12" t="n">
        <x:f>ROUND(S499*F499+0.000000001,2)</x:f>
        <x:v>0</x:v>
      </x:c>
      <x:c r="U499" s="12" t="n">
        <x:f>E499*R499</x:f>
        <x:v>0</x:v>
      </x:c>
      <x:c r="V499" t="str">
        <x:f>IF(AND(C499="Active",Q499=0),"Active Zero Sales","Not Zero Sales")</x:f>
        <x:v>Not Zero Sales</x:v>
      </x:c>
      <x:c r="W499" s="12" t="n">
        <x:f>IF(V499="Active Zero Sales",U499,0)</x:f>
        <x:v>0</x:v>
      </x:c>
      <x:c r="X499" t="str">
        <x:f>IF(E499&lt;25,"Low &lt; 25",IF(E499&lt;100,"Medium 25-99",IF(E499&lt;300,"High 100-299","Premium 300+")))</x:f>
        <x:v>Low &lt; 25</x:v>
      </x:c>
      <x:c r="Y499" t="n">
        <x:f>IF(C499="Active",1,0)</x:f>
        <x:v>0</x:v>
      </x:c>
    </x:row>
    <x:row r="500">
      <x:c r="A500" t="str">
        <x:v>SKU00499</x:v>
      </x:c>
      <x:c r="B500" t="str">
        <x:v>Sample Product 00499</x:v>
      </x:c>
      <x:c r="C500" t="str">
        <x:v>Active</x:v>
      </x:c>
      <x:c r="D500" t="str">
        <x:v>2026-01</x:v>
      </x:c>
      <x:c r="E500" s="12" t="n">
        <x:v>10.43</x:v>
      </x:c>
      <x:c r="F500" s="10" t="n">
        <x:v>0.307</x:v>
      </x:c>
      <x:c r="G500" t="str">
        <x:v>General Merchandise</x:v>
      </x:c>
      <x:c r="H500" t="str">
        <x:v>Travel Health</x:v>
      </x:c>
      <x:c r="I500" t="str">
        <x:v>MFG007</x:v>
      </x:c>
      <x:c r="J500" t="str">
        <x:v>Manufacturer 007</x:v>
      </x:c>
      <x:c r="K500" t="str">
        <x:v>SUP019</x:v>
      </x:c>
      <x:c r="L500" t="str">
        <x:v>Supplier 019</x:v>
      </x:c>
      <x:c r="M500" t="str">
        <x:v>REG-476701</x:v>
      </x:c>
      <x:c r="N500" t="str">
        <x:v>Generic Ingredient 155</x:v>
      </x:c>
      <x:c r="O500" t="str">
        <x:v>General Sale</x:v>
      </x:c>
      <x:c r="P500" t="n">
        <x:v>60</x:v>
      </x:c>
      <x:c r="Q500" t="n">
        <x:v>19</x:v>
      </x:c>
      <x:c r="R500" t="n">
        <x:v>0</x:v>
      </x:c>
      <x:c r="S500" s="12" t="n">
        <x:f>E500*Q500</x:f>
        <x:v>198.17</x:v>
      </x:c>
      <x:c r="T500" s="12" t="n">
        <x:f>ROUND(S500*F500+0.000000001,2)</x:f>
        <x:v>60.84</x:v>
      </x:c>
      <x:c r="U500" s="12" t="n">
        <x:f>E500*R500</x:f>
        <x:v>0</x:v>
      </x:c>
      <x:c r="V500" t="str">
        <x:f>IF(AND(C500="Active",Q500=0),"Active Zero Sales","Not Zero Sales")</x:f>
        <x:v>Not Zero Sales</x:v>
      </x:c>
      <x:c r="W500" s="12" t="n">
        <x:f>IF(V500="Active Zero Sales",U500,0)</x:f>
        <x:v>0</x:v>
      </x:c>
      <x:c r="X500" t="str">
        <x:f>IF(E500&lt;25,"Low &lt; 25",IF(E500&lt;100,"Medium 25-99",IF(E500&lt;300,"High 100-299","Premium 300+")))</x:f>
        <x:v>Low &lt; 25</x:v>
      </x:c>
      <x:c r="Y500" t="n">
        <x:f>IF(C500="Active",1,0)</x:f>
        <x:v>1</x:v>
      </x:c>
    </x:row>
    <x:row r="501">
      <x:c r="A501" t="str">
        <x:v>SKU00500</x:v>
      </x:c>
      <x:c r="B501" t="str">
        <x:v>Sample Product 00500</x:v>
      </x:c>
      <x:c r="C501" t="str">
        <x:v>Active</x:v>
      </x:c>
      <x:c r="D501" t="str">
        <x:v>2026-01</x:v>
      </x:c>
      <x:c r="E501" s="12" t="n">
        <x:v>178.46</x:v>
      </x:c>
      <x:c r="F501" s="10" t="n">
        <x:v>0.419</x:v>
      </x:c>
      <x:c r="G501" t="str">
        <x:v>Medical Devices</x:v>
      </x:c>
      <x:c r="H501" t="str">
        <x:v>Home Diagnostics</x:v>
      </x:c>
      <x:c r="I501" t="str">
        <x:v>MFG018</x:v>
      </x:c>
      <x:c r="J501" t="str">
        <x:v>Manufacturer 018</x:v>
      </x:c>
      <x:c r="K501" t="str">
        <x:v>SUP003</x:v>
      </x:c>
      <x:c r="L501" t="str">
        <x:v>Supplier 003</x:v>
      </x:c>
      <x:c r="M501" t="str">
        <x:v>REG-809482</x:v>
      </x:c>
      <x:c r="N501" t="str">
        <x:v>Generic Ingredient 157</x:v>
      </x:c>
      <x:c r="O501" t="str">
        <x:v>General Sale</x:v>
      </x:c>
      <x:c r="P501" t="n">
        <x:v>61</x:v>
      </x:c>
      <x:c r="Q501" t="n">
        <x:v>0</x:v>
      </x:c>
      <x:c r="R501" t="n">
        <x:v>40</x:v>
      </x:c>
      <x:c r="S501" s="12" t="n">
        <x:f>E501*Q501</x:f>
        <x:v>0</x:v>
      </x:c>
      <x:c r="T501" s="12" t="n">
        <x:f>ROUND(S501*F501+0.000000001,2)</x:f>
        <x:v>0</x:v>
      </x:c>
      <x:c r="U501" s="12" t="n">
        <x:f>E501*R501</x:f>
        <x:v>7138.400000000001</x:v>
      </x:c>
      <x:c r="V501" t="str">
        <x:f>IF(AND(C501="Active",Q501=0),"Active Zero Sales","Not Zero Sales")</x:f>
        <x:v>Active Zero Sales</x:v>
      </x:c>
      <x:c r="W501" s="12" t="n">
        <x:f>IF(V501="Active Zero Sales",U501,0)</x:f>
        <x:v>7138.400000000001</x:v>
      </x:c>
      <x:c r="X501" t="str">
        <x:f>IF(E501&lt;25,"Low &lt; 25",IF(E501&lt;100,"Medium 25-99",IF(E501&lt;300,"High 100-299","Premium 300+")))</x:f>
        <x:v>High 100-299</x:v>
      </x:c>
      <x:c r="Y501" t="n">
        <x:f>IF(C501="Active",1,0)</x:f>
        <x:v>1</x:v>
      </x:c>
    </x:row>
    <x:row r="502">
      <x:c r="A502" t="str">
        <x:v>SKU00501</x:v>
      </x:c>
      <x:c r="B502" t="str">
        <x:v>Sample Product 00501</x:v>
      </x:c>
      <x:c r="C502" t="str">
        <x:v>Active</x:v>
      </x:c>
      <x:c r="D502" t="str">
        <x:v>2026-02</x:v>
      </x:c>
      <x:c r="E502" s="12" t="n">
        <x:v>24.5</x:v>
      </x:c>
      <x:c r="F502" s="10" t="n">
        <x:v>0.32</x:v>
      </x:c>
      <x:c r="G502" t="str">
        <x:v>General Merchandise</x:v>
      </x:c>
      <x:c r="H502" t="str">
        <x:v>Seasonal Care</x:v>
      </x:c>
      <x:c r="I502" t="str">
        <x:v>MFG017</x:v>
      </x:c>
      <x:c r="J502" t="str">
        <x:v>Manufacturer 017</x:v>
      </x:c>
      <x:c r="K502" t="str">
        <x:v>SUP028</x:v>
      </x:c>
      <x:c r="L502" t="str">
        <x:v>Supplier 028</x:v>
      </x:c>
      <x:c r="M502" t="str">
        <x:v>REG-977575</x:v>
      </x:c>
      <x:c r="N502" t="str">
        <x:v>Generic Ingredient 109</x:v>
      </x:c>
      <x:c r="O502" t="str">
        <x:v>General Sale</x:v>
      </x:c>
      <x:c r="P502" t="n">
        <x:v>42</x:v>
      </x:c>
      <x:c r="Q502" t="n">
        <x:v>9</x:v>
      </x:c>
      <x:c r="R502" t="n">
        <x:v>6</x:v>
      </x:c>
      <x:c r="S502" s="12" t="n">
        <x:f>E502*Q502</x:f>
        <x:v>220.5</x:v>
      </x:c>
      <x:c r="T502" s="12" t="n">
        <x:f>ROUND(S502*F502+0.000000001,2)</x:f>
        <x:v>70.56</x:v>
      </x:c>
      <x:c r="U502" s="12" t="n">
        <x:f>E502*R502</x:f>
        <x:v>147</x:v>
      </x:c>
      <x:c r="V502" t="str">
        <x:f>IF(AND(C502="Active",Q502=0),"Active Zero Sales","Not Zero Sales")</x:f>
        <x:v>Not Zero Sales</x:v>
      </x:c>
      <x:c r="W502" s="12" t="n">
        <x:f>IF(V502="Active Zero Sales",U502,0)</x:f>
        <x:v>0</x:v>
      </x:c>
      <x:c r="X502" t="str">
        <x:f>IF(E502&lt;25,"Low &lt; 25",IF(E502&lt;100,"Medium 25-99",IF(E502&lt;300,"High 100-299","Premium 300+")))</x:f>
        <x:v>Low &lt; 25</x:v>
      </x:c>
      <x:c r="Y502" t="n">
        <x:f>IF(C502="Active",1,0)</x:f>
        <x:v>1</x:v>
      </x:c>
    </x:row>
    <x:row r="503">
      <x:c r="A503" t="str">
        <x:v>SKU00502</x:v>
      </x:c>
      <x:c r="B503" t="str">
        <x:v>Sample Product 00502</x:v>
      </x:c>
      <x:c r="C503" t="str">
        <x:v>Active</x:v>
      </x:c>
      <x:c r="D503" t="str">
        <x:v>2026-02</x:v>
      </x:c>
      <x:c r="E503" s="12" t="n">
        <x:v>212.04</x:v>
      </x:c>
      <x:c r="F503" s="10" t="n">
        <x:v>0.311</x:v>
      </x:c>
      <x:c r="G503" t="str">
        <x:v>General Merchandise</x:v>
      </x:c>
      <x:c r="H503" t="str">
        <x:v>Seasonal Care</x:v>
      </x:c>
      <x:c r="I503" t="str">
        <x:v>MFG010</x:v>
      </x:c>
      <x:c r="J503" t="str">
        <x:v>Manufacturer 010</x:v>
      </x:c>
      <x:c r="K503" t="str">
        <x:v>SUP014</x:v>
      </x:c>
      <x:c r="L503" t="str">
        <x:v>Supplier 014</x:v>
      </x:c>
      <x:c r="M503" t="str">
        <x:v>REG-177816</x:v>
      </x:c>
      <x:c r="N503" t="str">
        <x:v>Generic Ingredient 171</x:v>
      </x:c>
      <x:c r="O503" t="str">
        <x:v>General Sale</x:v>
      </x:c>
      <x:c r="P503" t="n">
        <x:v>34</x:v>
      </x:c>
      <x:c r="Q503" t="n">
        <x:v>24</x:v>
      </x:c>
      <x:c r="R503" t="n">
        <x:v>0</x:v>
      </x:c>
      <x:c r="S503" s="12" t="n">
        <x:f>E503*Q503</x:f>
        <x:v>5088.96</x:v>
      </x:c>
      <x:c r="T503" s="12" t="n">
        <x:f>ROUND(S503*F503+0.000000001,2)</x:f>
        <x:v>1582.67</x:v>
      </x:c>
      <x:c r="U503" s="12" t="n">
        <x:f>E503*R503</x:f>
        <x:v>0</x:v>
      </x:c>
      <x:c r="V503" t="str">
        <x:f>IF(AND(C503="Active",Q503=0),"Active Zero Sales","Not Zero Sales")</x:f>
        <x:v>Not Zero Sales</x:v>
      </x:c>
      <x:c r="W503" s="12" t="n">
        <x:f>IF(V503="Active Zero Sales",U503,0)</x:f>
        <x:v>0</x:v>
      </x:c>
      <x:c r="X503" t="str">
        <x:f>IF(E503&lt;25,"Low &lt; 25",IF(E503&lt;100,"Medium 25-99",IF(E503&lt;300,"High 100-299","Premium 300+")))</x:f>
        <x:v>High 100-299</x:v>
      </x:c>
      <x:c r="Y503" t="n">
        <x:f>IF(C503="Active",1,0)</x:f>
        <x:v>1</x:v>
      </x:c>
    </x:row>
    <x:row r="504">
      <x:c r="A504" t="str">
        <x:v>SKU00503</x:v>
      </x:c>
      <x:c r="B504" t="str">
        <x:v>Sample Product 00503</x:v>
      </x:c>
      <x:c r="C504" t="str">
        <x:v>Active</x:v>
      </x:c>
      <x:c r="D504" t="str">
        <x:v>2026-04</x:v>
      </x:c>
      <x:c r="E504" s="12" t="n">
        <x:v>177.41</x:v>
      </x:c>
      <x:c r="F504" s="10" t="n">
        <x:v>0.549</x:v>
      </x:c>
      <x:c r="G504" t="str">
        <x:v>Nutrition</x:v>
      </x:c>
      <x:c r="H504" t="str">
        <x:v>Sports Nutrition</x:v>
      </x:c>
      <x:c r="I504" t="str">
        <x:v>MFG020</x:v>
      </x:c>
      <x:c r="J504" t="str">
        <x:v>Manufacturer 020</x:v>
      </x:c>
      <x:c r="K504" t="str">
        <x:v>SUP026</x:v>
      </x:c>
      <x:c r="L504" t="str">
        <x:v>Supplier 026</x:v>
      </x:c>
      <x:c r="M504" t="str">
        <x:v>REG-376892</x:v>
      </x:c>
      <x:c r="N504" t="str">
        <x:v>Generic Ingredient 012</x:v>
      </x:c>
      <x:c r="O504" t="str">
        <x:v>General Sale</x:v>
      </x:c>
      <x:c r="P504" t="n">
        <x:v>88</x:v>
      </x:c>
      <x:c r="Q504" t="n">
        <x:v>25</x:v>
      </x:c>
      <x:c r="R504" t="n">
        <x:v>27</x:v>
      </x:c>
      <x:c r="S504" s="12" t="n">
        <x:f>E504*Q504</x:f>
        <x:v>4435.25</x:v>
      </x:c>
      <x:c r="T504" s="12" t="n">
        <x:f>ROUND(S504*F504+0.000000001,2)</x:f>
        <x:v>2434.95</x:v>
      </x:c>
      <x:c r="U504" s="12" t="n">
        <x:f>E504*R504</x:f>
        <x:v>4790.07</x:v>
      </x:c>
      <x:c r="V504" t="str">
        <x:f>IF(AND(C504="Active",Q504=0),"Active Zero Sales","Not Zero Sales")</x:f>
        <x:v>Not Zero Sales</x:v>
      </x:c>
      <x:c r="W504" s="12" t="n">
        <x:f>IF(V504="Active Zero Sales",U504,0)</x:f>
        <x:v>0</x:v>
      </x:c>
      <x:c r="X504" t="str">
        <x:f>IF(E504&lt;25,"Low &lt; 25",IF(E504&lt;100,"Medium 25-99",IF(E504&lt;300,"High 100-299","Premium 300+")))</x:f>
        <x:v>High 100-299</x:v>
      </x:c>
      <x:c r="Y504" t="n">
        <x:f>IF(C504="Active",1,0)</x:f>
        <x:v>1</x:v>
      </x:c>
    </x:row>
    <x:row r="505">
      <x:c r="A505" t="str">
        <x:v>SKU00504</x:v>
      </x:c>
      <x:c r="B505" t="str">
        <x:v>Sample Product 00504</x:v>
      </x:c>
      <x:c r="C505" t="str">
        <x:v>Blocked</x:v>
      </x:c>
      <x:c r="D505" t="str">
        <x:v>2026-04</x:v>
      </x:c>
      <x:c r="E505" s="12" t="n">
        <x:v>195.3</x:v>
      </x:c>
      <x:c r="F505" s="10" t="n">
        <x:v>0.31</x:v>
      </x:c>
      <x:c r="G505" t="str">
        <x:v>General Merchandise</x:v>
      </x:c>
      <x:c r="H505" t="str">
        <x:v>Seasonal Care</x:v>
      </x:c>
      <x:c r="I505" t="str">
        <x:v>MFG018</x:v>
      </x:c>
      <x:c r="J505" t="str">
        <x:v>Manufacturer 018</x:v>
      </x:c>
      <x:c r="K505" t="str">
        <x:v>SUP001</x:v>
      </x:c>
      <x:c r="L505" t="str">
        <x:v>Supplier 001</x:v>
      </x:c>
      <x:c r="M505" t="str">
        <x:v>REG-345099</x:v>
      </x:c>
      <x:c r="N505" t="str">
        <x:v>Generic Ingredient 117</x:v>
      </x:c>
      <x:c r="O505" t="str">
        <x:v>General Sale</x:v>
      </x:c>
      <x:c r="P505" t="n">
        <x:v>29</x:v>
      </x:c>
      <x:c r="Q505" t="n">
        <x:v>0</x:v>
      </x:c>
      <x:c r="R505" t="n">
        <x:v>0</x:v>
      </x:c>
      <x:c r="S505" s="12" t="n">
        <x:f>E505*Q505</x:f>
        <x:v>0</x:v>
      </x:c>
      <x:c r="T505" s="12" t="n">
        <x:f>ROUND(S505*F505+0.000000001,2)</x:f>
        <x:v>0</x:v>
      </x:c>
      <x:c r="U505" s="12" t="n">
        <x:f>E505*R505</x:f>
        <x:v>0</x:v>
      </x:c>
      <x:c r="V505" t="str">
        <x:f>IF(AND(C505="Active",Q505=0),"Active Zero Sales","Not Zero Sales")</x:f>
        <x:v>Not Zero Sales</x:v>
      </x:c>
      <x:c r="W505" s="12" t="n">
        <x:f>IF(V505="Active Zero Sales",U505,0)</x:f>
        <x:v>0</x:v>
      </x:c>
      <x:c r="X505" t="str">
        <x:f>IF(E505&lt;25,"Low &lt; 25",IF(E505&lt;100,"Medium 25-99",IF(E505&lt;300,"High 100-299","Premium 300+")))</x:f>
        <x:v>High 100-299</x:v>
      </x:c>
      <x:c r="Y505" t="n">
        <x:f>IF(C505="Active",1,0)</x:f>
        <x:v>0</x:v>
      </x:c>
    </x:row>
    <x:row r="506">
      <x:c r="A506" t="str">
        <x:v>SKU00505</x:v>
      </x:c>
      <x:c r="B506" t="str">
        <x:v>Sample Product 00505</x:v>
      </x:c>
      <x:c r="C506" t="str">
        <x:v>Active</x:v>
      </x:c>
      <x:c r="D506" t="str">
        <x:v>2026-01</x:v>
      </x:c>
      <x:c r="E506" s="12" t="n">
        <x:v>6.43</x:v>
      </x:c>
      <x:c r="F506" s="10" t="n">
        <x:v>0.327</x:v>
      </x:c>
      <x:c r="G506" t="str">
        <x:v>OTC &amp; Wellness</x:v>
      </x:c>
      <x:c r="H506" t="str">
        <x:v>Vitamins</x:v>
      </x:c>
      <x:c r="I506" t="str">
        <x:v>MFG018</x:v>
      </x:c>
      <x:c r="J506" t="str">
        <x:v>Manufacturer 018</x:v>
      </x:c>
      <x:c r="K506" t="str">
        <x:v>SUP006</x:v>
      </x:c>
      <x:c r="L506" t="str">
        <x:v>Supplier 006</x:v>
      </x:c>
      <x:c r="M506" t="str">
        <x:v>REG-472740</x:v>
      </x:c>
      <x:c r="N506" t="str">
        <x:v>Generic Ingredient 046</x:v>
      </x:c>
      <x:c r="O506" t="str">
        <x:v>General Sale</x:v>
      </x:c>
      <x:c r="P506" t="n">
        <x:v>73</x:v>
      </x:c>
      <x:c r="Q506" t="n">
        <x:v>0</x:v>
      </x:c>
      <x:c r="R506" t="n">
        <x:v>38</x:v>
      </x:c>
      <x:c r="S506" s="12" t="n">
        <x:f>E506*Q506</x:f>
        <x:v>0</x:v>
      </x:c>
      <x:c r="T506" s="12" t="n">
        <x:f>ROUND(S506*F506+0.000000001,2)</x:f>
        <x:v>0</x:v>
      </x:c>
      <x:c r="U506" s="12" t="n">
        <x:f>E506*R506</x:f>
        <x:v>244.33999999999997</x:v>
      </x:c>
      <x:c r="V506" t="str">
        <x:f>IF(AND(C506="Active",Q506=0),"Active Zero Sales","Not Zero Sales")</x:f>
        <x:v>Active Zero Sales</x:v>
      </x:c>
      <x:c r="W506" s="12" t="n">
        <x:f>IF(V506="Active Zero Sales",U506,0)</x:f>
        <x:v>244.33999999999997</x:v>
      </x:c>
      <x:c r="X506" t="str">
        <x:f>IF(E506&lt;25,"Low &lt; 25",IF(E506&lt;100,"Medium 25-99",IF(E506&lt;300,"High 100-299","Premium 300+")))</x:f>
        <x:v>Low &lt; 25</x:v>
      </x:c>
      <x:c r="Y506" t="n">
        <x:f>IF(C506="Active",1,0)</x:f>
        <x:v>1</x:v>
      </x:c>
    </x:row>
    <x:row r="507">
      <x:c r="A507" t="str">
        <x:v>SKU00506</x:v>
      </x:c>
      <x:c r="B507" t="str">
        <x:v>Sample Product 00506</x:v>
      </x:c>
      <x:c r="C507" t="str">
        <x:v>Active</x:v>
      </x:c>
      <x:c r="D507" t="str">
        <x:v>2026-01</x:v>
      </x:c>
      <x:c r="E507" s="12" t="n">
        <x:v>15.96</x:v>
      </x:c>
      <x:c r="F507" s="10" t="n">
        <x:v>0.256</x:v>
      </x:c>
      <x:c r="G507" t="str">
        <x:v>Nutrition</x:v>
      </x:c>
      <x:c r="H507" t="str">
        <x:v>Healthy Snacks</x:v>
      </x:c>
      <x:c r="I507" t="str">
        <x:v>MFG018</x:v>
      </x:c>
      <x:c r="J507" t="str">
        <x:v>Manufacturer 018</x:v>
      </x:c>
      <x:c r="K507" t="str">
        <x:v>SUP023</x:v>
      </x:c>
      <x:c r="L507" t="str">
        <x:v>Supplier 023</x:v>
      </x:c>
      <x:c r="M507" t="str">
        <x:v>REG-632009</x:v>
      </x:c>
      <x:c r="N507" t="str">
        <x:v>Generic Ingredient 136</x:v>
      </x:c>
      <x:c r="O507" t="str">
        <x:v>General Sale</x:v>
      </x:c>
      <x:c r="P507" t="n">
        <x:v>52</x:v>
      </x:c>
      <x:c r="Q507" t="n">
        <x:v>41</x:v>
      </x:c>
      <x:c r="R507" t="n">
        <x:v>18</x:v>
      </x:c>
      <x:c r="S507" s="12" t="n">
        <x:f>E507*Q507</x:f>
        <x:v>654.36</x:v>
      </x:c>
      <x:c r="T507" s="12" t="n">
        <x:f>ROUND(S507*F507+0.000000001,2)</x:f>
        <x:v>167.52</x:v>
      </x:c>
      <x:c r="U507" s="12" t="n">
        <x:f>E507*R507</x:f>
        <x:v>287.28000000000003</x:v>
      </x:c>
      <x:c r="V507" t="str">
        <x:f>IF(AND(C507="Active",Q507=0),"Active Zero Sales","Not Zero Sales")</x:f>
        <x:v>Not Zero Sales</x:v>
      </x:c>
      <x:c r="W507" s="12" t="n">
        <x:f>IF(V507="Active Zero Sales",U507,0)</x:f>
        <x:v>0</x:v>
      </x:c>
      <x:c r="X507" t="str">
        <x:f>IF(E507&lt;25,"Low &lt; 25",IF(E507&lt;100,"Medium 25-99",IF(E507&lt;300,"High 100-299","Premium 300+")))</x:f>
        <x:v>Low &lt; 25</x:v>
      </x:c>
      <x:c r="Y507" t="n">
        <x:f>IF(C507="Active",1,0)</x:f>
        <x:v>1</x:v>
      </x:c>
    </x:row>
    <x:row r="508">
      <x:c r="A508" t="str">
        <x:v>SKU00507</x:v>
      </x:c>
      <x:c r="B508" t="str">
        <x:v>Sample Product 00507</x:v>
      </x:c>
      <x:c r="C508" t="str">
        <x:v>Active</x:v>
      </x:c>
      <x:c r="D508" t="str">
        <x:v>2026-03</x:v>
      </x:c>
      <x:c r="E508" s="12" t="n">
        <x:v>254</x:v>
      </x:c>
      <x:c r="F508" s="10" t="n">
        <x:v>0.454</x:v>
      </x:c>
      <x:c r="G508" t="str">
        <x:v>Personal Care</x:v>
      </x:c>
      <x:c r="H508" t="str">
        <x:v>Oral Care</x:v>
      </x:c>
      <x:c r="I508" t="str">
        <x:v>MFG004</x:v>
      </x:c>
      <x:c r="J508" t="str">
        <x:v>Manufacturer 004</x:v>
      </x:c>
      <x:c r="K508" t="str">
        <x:v>SUP019</x:v>
      </x:c>
      <x:c r="L508" t="str">
        <x:v>Supplier 019</x:v>
      </x:c>
      <x:c r="M508" t="str">
        <x:v>REG-578200</x:v>
      </x:c>
      <x:c r="N508" t="str">
        <x:v>Generic Ingredient 118</x:v>
      </x:c>
      <x:c r="O508" t="str">
        <x:v>General Sale</x:v>
      </x:c>
      <x:c r="P508" t="n">
        <x:v>48</x:v>
      </x:c>
      <x:c r="Q508" t="n">
        <x:v>33</x:v>
      </x:c>
      <x:c r="R508" t="n">
        <x:v>13</x:v>
      </x:c>
      <x:c r="S508" s="12" t="n">
        <x:f>E508*Q508</x:f>
        <x:v>8382</x:v>
      </x:c>
      <x:c r="T508" s="12" t="n">
        <x:f>ROUND(S508*F508+0.000000001,2)</x:f>
        <x:v>3805.43</x:v>
      </x:c>
      <x:c r="U508" s="12" t="n">
        <x:f>E508*R508</x:f>
        <x:v>3302</x:v>
      </x:c>
      <x:c r="V508" t="str">
        <x:f>IF(AND(C508="Active",Q508=0),"Active Zero Sales","Not Zero Sales")</x:f>
        <x:v>Not Zero Sales</x:v>
      </x:c>
      <x:c r="W508" s="12" t="n">
        <x:f>IF(V508="Active Zero Sales",U508,0)</x:f>
        <x:v>0</x:v>
      </x:c>
      <x:c r="X508" t="str">
        <x:f>IF(E508&lt;25,"Low &lt; 25",IF(E508&lt;100,"Medium 25-99",IF(E508&lt;300,"High 100-299","Premium 300+")))</x:f>
        <x:v>High 100-299</x:v>
      </x:c>
      <x:c r="Y508" t="n">
        <x:f>IF(C508="Active",1,0)</x:f>
        <x:v>1</x:v>
      </x:c>
    </x:row>
    <x:row r="509">
      <x:c r="A509" t="str">
        <x:v>SKU00508</x:v>
      </x:c>
      <x:c r="B509" t="str">
        <x:v>Sample Product 00508</x:v>
      </x:c>
      <x:c r="C509" t="str">
        <x:v>Active</x:v>
      </x:c>
      <x:c r="D509" t="str">
        <x:v>2026-03</x:v>
      </x:c>
      <x:c r="E509" s="12" t="n">
        <x:v>16.62</x:v>
      </x:c>
      <x:c r="F509" s="10" t="n">
        <x:v>0.478</x:v>
      </x:c>
      <x:c r="G509" t="str">
        <x:v>Nutrition</x:v>
      </x:c>
      <x:c r="H509" t="str">
        <x:v>Hydration</x:v>
      </x:c>
      <x:c r="I509" t="str">
        <x:v>MFG004</x:v>
      </x:c>
      <x:c r="J509" t="str">
        <x:v>Manufacturer 004</x:v>
      </x:c>
      <x:c r="K509" t="str">
        <x:v>SUP022</x:v>
      </x:c>
      <x:c r="L509" t="str">
        <x:v>Supplier 022</x:v>
      </x:c>
      <x:c r="M509" t="str">
        <x:v>REG-482040</x:v>
      </x:c>
      <x:c r="N509" t="str">
        <x:v>Generic Ingredient 056</x:v>
      </x:c>
      <x:c r="O509" t="str">
        <x:v>General Sale</x:v>
      </x:c>
      <x:c r="P509" t="n">
        <x:v>106</x:v>
      </x:c>
      <x:c r="Q509" t="n">
        <x:v>0</x:v>
      </x:c>
      <x:c r="R509" t="n">
        <x:v>63</x:v>
      </x:c>
      <x:c r="S509" s="12" t="n">
        <x:f>E509*Q509</x:f>
        <x:v>0</x:v>
      </x:c>
      <x:c r="T509" s="12" t="n">
        <x:f>ROUND(S509*F509+0.000000001,2)</x:f>
        <x:v>0</x:v>
      </x:c>
      <x:c r="U509" s="12" t="n">
        <x:f>E509*R509</x:f>
        <x:v>1047.0600000000002</x:v>
      </x:c>
      <x:c r="V509" t="str">
        <x:f>IF(AND(C509="Active",Q509=0),"Active Zero Sales","Not Zero Sales")</x:f>
        <x:v>Active Zero Sales</x:v>
      </x:c>
      <x:c r="W509" s="12" t="n">
        <x:f>IF(V509="Active Zero Sales",U509,0)</x:f>
        <x:v>1047.0600000000002</x:v>
      </x:c>
      <x:c r="X509" t="str">
        <x:f>IF(E509&lt;25,"Low &lt; 25",IF(E509&lt;100,"Medium 25-99",IF(E509&lt;300,"High 100-299","Premium 300+")))</x:f>
        <x:v>Low &lt; 25</x:v>
      </x:c>
      <x:c r="Y509" t="n">
        <x:f>IF(C509="Active",1,0)</x:f>
        <x:v>1</x:v>
      </x:c>
    </x:row>
    <x:row r="510">
      <x:c r="A510" t="str">
        <x:v>SKU00509</x:v>
      </x:c>
      <x:c r="B510" t="str">
        <x:v>Sample Product 00509</x:v>
      </x:c>
      <x:c r="C510" t="str">
        <x:v>Active</x:v>
      </x:c>
      <x:c r="D510" t="str">
        <x:v>2026-02</x:v>
      </x:c>
      <x:c r="E510" s="12" t="n">
        <x:v>20.13</x:v>
      </x:c>
      <x:c r="F510" s="10" t="n">
        <x:v>0.288</x:v>
      </x:c>
      <x:c r="G510" t="str">
        <x:v>Medical Devices</x:v>
      </x:c>
      <x:c r="H510" t="str">
        <x:v>Mobility Aids</x:v>
      </x:c>
      <x:c r="I510" t="str">
        <x:v>MFG013</x:v>
      </x:c>
      <x:c r="J510" t="str">
        <x:v>Manufacturer 013</x:v>
      </x:c>
      <x:c r="K510" t="str">
        <x:v>SUP011</x:v>
      </x:c>
      <x:c r="L510" t="str">
        <x:v>Supplier 011</x:v>
      </x:c>
      <x:c r="M510" t="str">
        <x:v>REG-606062</x:v>
      </x:c>
      <x:c r="N510" t="str">
        <x:v>Generic Ingredient 125</x:v>
      </x:c>
      <x:c r="O510" t="str">
        <x:v>Pharmacy Only</x:v>
      </x:c>
      <x:c r="P510" t="n">
        <x:v>48</x:v>
      </x:c>
      <x:c r="Q510" t="n">
        <x:v>28</x:v>
      </x:c>
      <x:c r="R510" t="n">
        <x:v>5</x:v>
      </x:c>
      <x:c r="S510" s="12" t="n">
        <x:f>E510*Q510</x:f>
        <x:v>563.64</x:v>
      </x:c>
      <x:c r="T510" s="12" t="n">
        <x:f>ROUND(S510*F510+0.000000001,2)</x:f>
        <x:v>162.33</x:v>
      </x:c>
      <x:c r="U510" s="12" t="n">
        <x:f>E510*R510</x:f>
        <x:v>100.64999999999999</x:v>
      </x:c>
      <x:c r="V510" t="str">
        <x:f>IF(AND(C510="Active",Q510=0),"Active Zero Sales","Not Zero Sales")</x:f>
        <x:v>Not Zero Sales</x:v>
      </x:c>
      <x:c r="W510" s="12" t="n">
        <x:f>IF(V510="Active Zero Sales",U510,0)</x:f>
        <x:v>0</x:v>
      </x:c>
      <x:c r="X510" t="str">
        <x:f>IF(E510&lt;25,"Low &lt; 25",IF(E510&lt;100,"Medium 25-99",IF(E510&lt;300,"High 100-299","Premium 300+")))</x:f>
        <x:v>Low &lt; 25</x:v>
      </x:c>
      <x:c r="Y510" t="n">
        <x:f>IF(C510="Active",1,0)</x:f>
        <x:v>1</x:v>
      </x:c>
    </x:row>
    <x:row r="511">
      <x:c r="A511" t="str">
        <x:v>SKU00510</x:v>
      </x:c>
      <x:c r="B511" t="str">
        <x:v>Sample Product 00510</x:v>
      </x:c>
      <x:c r="C511" t="str">
        <x:v>Active</x:v>
      </x:c>
      <x:c r="D511" t="str">
        <x:v>2026-03</x:v>
      </x:c>
      <x:c r="E511" s="12" t="n">
        <x:v>15.49</x:v>
      </x:c>
      <x:c r="F511" s="10" t="n">
        <x:v>0.308</x:v>
      </x:c>
      <x:c r="G511" t="str">
        <x:v>Nutrition</x:v>
      </x:c>
      <x:c r="H511" t="str">
        <x:v>Adult Nutrition</x:v>
      </x:c>
      <x:c r="I511" t="str">
        <x:v>MFG016</x:v>
      </x:c>
      <x:c r="J511" t="str">
        <x:v>Manufacturer 016</x:v>
      </x:c>
      <x:c r="K511" t="str">
        <x:v>SUP017</x:v>
      </x:c>
      <x:c r="L511" t="str">
        <x:v>Supplier 017</x:v>
      </x:c>
      <x:c r="M511" t="str">
        <x:v>REG-872926</x:v>
      </x:c>
      <x:c r="N511" t="str">
        <x:v>Generic Ingredient 112</x:v>
      </x:c>
      <x:c r="O511" t="str">
        <x:v>General Sale</x:v>
      </x:c>
      <x:c r="P511" t="n">
        <x:v>66</x:v>
      </x:c>
      <x:c r="Q511" t="n">
        <x:v>31</x:v>
      </x:c>
      <x:c r="R511" t="n">
        <x:v>7</x:v>
      </x:c>
      <x:c r="S511" s="12" t="n">
        <x:f>E511*Q511</x:f>
        <x:v>480.19</x:v>
      </x:c>
      <x:c r="T511" s="12" t="n">
        <x:f>ROUND(S511*F511+0.000000001,2)</x:f>
        <x:v>147.9</x:v>
      </x:c>
      <x:c r="U511" s="12" t="n">
        <x:f>E511*R511</x:f>
        <x:v>108.43</x:v>
      </x:c>
      <x:c r="V511" t="str">
        <x:f>IF(AND(C511="Active",Q511=0),"Active Zero Sales","Not Zero Sales")</x:f>
        <x:v>Not Zero Sales</x:v>
      </x:c>
      <x:c r="W511" s="12" t="n">
        <x:f>IF(V511="Active Zero Sales",U511,0)</x:f>
        <x:v>0</x:v>
      </x:c>
      <x:c r="X511" t="str">
        <x:f>IF(E511&lt;25,"Low &lt; 25",IF(E511&lt;100,"Medium 25-99",IF(E511&lt;300,"High 100-299","Premium 300+")))</x:f>
        <x:v>Low &lt; 25</x:v>
      </x:c>
      <x:c r="Y511" t="n">
        <x:f>IF(C511="Active",1,0)</x:f>
        <x:v>1</x:v>
      </x:c>
    </x:row>
    <x:row r="512">
      <x:c r="A512" t="str">
        <x:v>SKU00511</x:v>
      </x:c>
      <x:c r="B512" t="str">
        <x:v>Sample Product 00511</x:v>
      </x:c>
      <x:c r="C512" t="str">
        <x:v>Active</x:v>
      </x:c>
      <x:c r="D512" t="str">
        <x:v>2026-03</x:v>
      </x:c>
      <x:c r="E512" s="12" t="n">
        <x:v>70.01</x:v>
      </x:c>
      <x:c r="F512" s="10" t="n">
        <x:v>0.332</x:v>
      </x:c>
      <x:c r="G512" t="str">
        <x:v>General Merchandise</x:v>
      </x:c>
      <x:c r="H512" t="str">
        <x:v>Accessories</x:v>
      </x:c>
      <x:c r="I512" t="str">
        <x:v>MFG004</x:v>
      </x:c>
      <x:c r="J512" t="str">
        <x:v>Manufacturer 004</x:v>
      </x:c>
      <x:c r="K512" t="str">
        <x:v>SUP011</x:v>
      </x:c>
      <x:c r="L512" t="str">
        <x:v>Supplier 011</x:v>
      </x:c>
      <x:c r="M512" t="str">
        <x:v>REG-652490</x:v>
      </x:c>
      <x:c r="N512" t="str">
        <x:v>Generic Ingredient 023</x:v>
      </x:c>
      <x:c r="O512" t="str">
        <x:v>General Sale</x:v>
      </x:c>
      <x:c r="P512" t="n">
        <x:v>52</x:v>
      </x:c>
      <x:c r="Q512" t="n">
        <x:v>9</x:v>
      </x:c>
      <x:c r="R512" t="n">
        <x:v>11</x:v>
      </x:c>
      <x:c r="S512" s="12" t="n">
        <x:f>E512*Q512</x:f>
        <x:v>630.09</x:v>
      </x:c>
      <x:c r="T512" s="12" t="n">
        <x:f>ROUND(S512*F512+0.000000001,2)</x:f>
        <x:v>209.19</x:v>
      </x:c>
      <x:c r="U512" s="12" t="n">
        <x:f>E512*R512</x:f>
        <x:v>770.11</x:v>
      </x:c>
      <x:c r="V512" t="str">
        <x:f>IF(AND(C512="Active",Q512=0),"Active Zero Sales","Not Zero Sales")</x:f>
        <x:v>Not Zero Sales</x:v>
      </x:c>
      <x:c r="W512" s="12" t="n">
        <x:f>IF(V512="Active Zero Sales",U512,0)</x:f>
        <x:v>0</x:v>
      </x:c>
      <x:c r="X512" t="str">
        <x:f>IF(E512&lt;25,"Low &lt; 25",IF(E512&lt;100,"Medium 25-99",IF(E512&lt;300,"High 100-299","Premium 300+")))</x:f>
        <x:v>Medium 25-99</x:v>
      </x:c>
      <x:c r="Y512" t="n">
        <x:f>IF(C512="Active",1,0)</x:f>
        <x:v>1</x:v>
      </x:c>
    </x:row>
    <x:row r="513">
      <x:c r="A513" t="str">
        <x:v>SKU00512</x:v>
      </x:c>
      <x:c r="B513" t="str">
        <x:v>Sample Product 00512</x:v>
      </x:c>
      <x:c r="C513" t="str">
        <x:v>Blocked</x:v>
      </x:c>
      <x:c r="D513" t="str">
        <x:v>2026-02</x:v>
      </x:c>
      <x:c r="E513" s="12" t="n">
        <x:v>124.96</x:v>
      </x:c>
      <x:c r="F513" s="10" t="n">
        <x:v>0.25</x:v>
      </x:c>
      <x:c r="G513" t="str">
        <x:v>Nutrition</x:v>
      </x:c>
      <x:c r="H513" t="str">
        <x:v>Healthy Snacks</x:v>
      </x:c>
      <x:c r="I513" t="str">
        <x:v>MFG013</x:v>
      </x:c>
      <x:c r="J513" t="str">
        <x:v>Manufacturer 013</x:v>
      </x:c>
      <x:c r="K513" t="str">
        <x:v>SUP001</x:v>
      </x:c>
      <x:c r="L513" t="str">
        <x:v>Supplier 001</x:v>
      </x:c>
      <x:c r="M513" t="str">
        <x:v>REG-148464</x:v>
      </x:c>
      <x:c r="N513" t="str">
        <x:v>Generic Ingredient 150</x:v>
      </x:c>
      <x:c r="O513" t="str">
        <x:v>General Sale</x:v>
      </x:c>
      <x:c r="P513" t="n">
        <x:v>66</x:v>
      </x:c>
      <x:c r="Q513" t="n">
        <x:v>21</x:v>
      </x:c>
      <x:c r="R513" t="n">
        <x:v>0</x:v>
      </x:c>
      <x:c r="S513" s="12" t="n">
        <x:f>E513*Q513</x:f>
        <x:v>2624.16</x:v>
      </x:c>
      <x:c r="T513" s="12" t="n">
        <x:f>ROUND(S513*F513+0.000000001,2)</x:f>
        <x:v>656.04</x:v>
      </x:c>
      <x:c r="U513" s="12" t="n">
        <x:f>E513*R513</x:f>
        <x:v>0</x:v>
      </x:c>
      <x:c r="V513" t="str">
        <x:f>IF(AND(C513="Active",Q513=0),"Active Zero Sales","Not Zero Sales")</x:f>
        <x:v>Not Zero Sales</x:v>
      </x:c>
      <x:c r="W513" s="12" t="n">
        <x:f>IF(V513="Active Zero Sales",U513,0)</x:f>
        <x:v>0</x:v>
      </x:c>
      <x:c r="X513" t="str">
        <x:f>IF(E513&lt;25,"Low &lt; 25",IF(E513&lt;100,"Medium 25-99",IF(E513&lt;300,"High 100-299","Premium 300+")))</x:f>
        <x:v>High 100-299</x:v>
      </x:c>
      <x:c r="Y513" t="n">
        <x:f>IF(C513="Active",1,0)</x:f>
        <x:v>0</x:v>
      </x:c>
    </x:row>
    <x:row r="514">
      <x:c r="A514" t="str">
        <x:v>SKU00513</x:v>
      </x:c>
      <x:c r="B514" t="str">
        <x:v>Sample Product 00513</x:v>
      </x:c>
      <x:c r="C514" t="str">
        <x:v>Blocked</x:v>
      </x:c>
      <x:c r="D514" t="str">
        <x:v>2026-04</x:v>
      </x:c>
      <x:c r="E514" s="12" t="n">
        <x:v>6.83</x:v>
      </x:c>
      <x:c r="F514" s="10" t="n">
        <x:v>0.425</x:v>
      </x:c>
      <x:c r="G514" t="str">
        <x:v>General Merchandise</x:v>
      </x:c>
      <x:c r="H514" t="str">
        <x:v>Accessories</x:v>
      </x:c>
      <x:c r="I514" t="str">
        <x:v>MFG003</x:v>
      </x:c>
      <x:c r="J514" t="str">
        <x:v>Manufacturer 003</x:v>
      </x:c>
      <x:c r="K514" t="str">
        <x:v>SUP021</x:v>
      </x:c>
      <x:c r="L514" t="str">
        <x:v>Supplier 021</x:v>
      </x:c>
      <x:c r="M514" t="str">
        <x:v>REG-532965</x:v>
      </x:c>
      <x:c r="N514" t="str">
        <x:v>Generic Ingredient 119</x:v>
      </x:c>
      <x:c r="O514" t="str">
        <x:v>Pharmacy Only</x:v>
      </x:c>
      <x:c r="P514" t="n">
        <x:v>32</x:v>
      </x:c>
      <x:c r="Q514" t="n">
        <x:v>24</x:v>
      </x:c>
      <x:c r="R514" t="n">
        <x:v>0</x:v>
      </x:c>
      <x:c r="S514" s="12" t="n">
        <x:f>E514*Q514</x:f>
        <x:v>163.92000000000002</x:v>
      </x:c>
      <x:c r="T514" s="12" t="n">
        <x:f>ROUND(S514*F514+0.000000001,2)</x:f>
        <x:v>69.67</x:v>
      </x:c>
      <x:c r="U514" s="12" t="n">
        <x:f>E514*R514</x:f>
        <x:v>0</x:v>
      </x:c>
      <x:c r="V514" t="str">
        <x:f>IF(AND(C514="Active",Q514=0),"Active Zero Sales","Not Zero Sales")</x:f>
        <x:v>Not Zero Sales</x:v>
      </x:c>
      <x:c r="W514" s="12" t="n">
        <x:f>IF(V514="Active Zero Sales",U514,0)</x:f>
        <x:v>0</x:v>
      </x:c>
      <x:c r="X514" t="str">
        <x:f>IF(E514&lt;25,"Low &lt; 25",IF(E514&lt;100,"Medium 25-99",IF(E514&lt;300,"High 100-299","Premium 300+")))</x:f>
        <x:v>Low &lt; 25</x:v>
      </x:c>
      <x:c r="Y514" t="n">
        <x:f>IF(C514="Active",1,0)</x:f>
        <x:v>0</x:v>
      </x:c>
    </x:row>
    <x:row r="515">
      <x:c r="A515" t="str">
        <x:v>SKU00514</x:v>
      </x:c>
      <x:c r="B515" t="str">
        <x:v>Sample Product 00514</x:v>
      </x:c>
      <x:c r="C515" t="str">
        <x:v>Active</x:v>
      </x:c>
      <x:c r="D515" t="str">
        <x:v>2026-05</x:v>
      </x:c>
      <x:c r="E515" s="12" t="n">
        <x:v>111.48</x:v>
      </x:c>
      <x:c r="F515" s="10" t="n">
        <x:v>0.4</x:v>
      </x:c>
      <x:c r="G515" t="str">
        <x:v>General Merchandise</x:v>
      </x:c>
      <x:c r="H515" t="str">
        <x:v>Baby Essentials</x:v>
      </x:c>
      <x:c r="I515" t="str">
        <x:v>MFG009</x:v>
      </x:c>
      <x:c r="J515" t="str">
        <x:v>Manufacturer 009</x:v>
      </x:c>
      <x:c r="K515" t="str">
        <x:v>SUP014</x:v>
      </x:c>
      <x:c r="L515" t="str">
        <x:v>Supplier 014</x:v>
      </x:c>
      <x:c r="M515" t="str">
        <x:v>REG-737712</x:v>
      </x:c>
      <x:c r="N515" t="str">
        <x:v>Generic Ingredient 024</x:v>
      </x:c>
      <x:c r="O515" t="str">
        <x:v>General Sale</x:v>
      </x:c>
      <x:c r="P515" t="n">
        <x:v>57</x:v>
      </x:c>
      <x:c r="Q515" t="n">
        <x:v>13</x:v>
      </x:c>
      <x:c r="R515" t="n">
        <x:v>0</x:v>
      </x:c>
      <x:c r="S515" s="12" t="n">
        <x:f>E515*Q515</x:f>
        <x:v>1449.24</x:v>
      </x:c>
      <x:c r="T515" s="12" t="n">
        <x:f>ROUND(S515*F515+0.000000001,2)</x:f>
        <x:v>579.7</x:v>
      </x:c>
      <x:c r="U515" s="12" t="n">
        <x:f>E515*R515</x:f>
        <x:v>0</x:v>
      </x:c>
      <x:c r="V515" t="str">
        <x:f>IF(AND(C515="Active",Q515=0),"Active Zero Sales","Not Zero Sales")</x:f>
        <x:v>Not Zero Sales</x:v>
      </x:c>
      <x:c r="W515" s="12" t="n">
        <x:f>IF(V515="Active Zero Sales",U515,0)</x:f>
        <x:v>0</x:v>
      </x:c>
      <x:c r="X515" t="str">
        <x:f>IF(E515&lt;25,"Low &lt; 25",IF(E515&lt;100,"Medium 25-99",IF(E515&lt;300,"High 100-299","Premium 300+")))</x:f>
        <x:v>High 100-299</x:v>
      </x:c>
      <x:c r="Y515" t="n">
        <x:f>IF(C515="Active",1,0)</x:f>
        <x:v>1</x:v>
      </x:c>
    </x:row>
    <x:row r="516">
      <x:c r="A516" t="str">
        <x:v>SKU00515</x:v>
      </x:c>
      <x:c r="B516" t="str">
        <x:v>Sample Product 00515</x:v>
      </x:c>
      <x:c r="C516" t="str">
        <x:v>Blocked</x:v>
      </x:c>
      <x:c r="D516" t="str">
        <x:v>2026-01</x:v>
      </x:c>
      <x:c r="E516" s="12" t="n">
        <x:v>245.17</x:v>
      </x:c>
      <x:c r="F516" s="10" t="n">
        <x:v>0.331</x:v>
      </x:c>
      <x:c r="G516" t="str">
        <x:v>Personal Care</x:v>
      </x:c>
      <x:c r="H516" t="str">
        <x:v>Hair Care</x:v>
      </x:c>
      <x:c r="I516" t="str">
        <x:v>MFG015</x:v>
      </x:c>
      <x:c r="J516" t="str">
        <x:v>Manufacturer 015</x:v>
      </x:c>
      <x:c r="K516" t="str">
        <x:v>SUP009</x:v>
      </x:c>
      <x:c r="L516" t="str">
        <x:v>Supplier 009</x:v>
      </x:c>
      <x:c r="M516" t="str">
        <x:v>REG-487120</x:v>
      </x:c>
      <x:c r="N516" t="str">
        <x:v>Generic Ingredient 144</x:v>
      </x:c>
      <x:c r="O516" t="str">
        <x:v>General Sale</x:v>
      </x:c>
      <x:c r="P516" t="n">
        <x:v>27</x:v>
      </x:c>
      <x:c r="Q516" t="n">
        <x:v>0</x:v>
      </x:c>
      <x:c r="R516" t="n">
        <x:v>0</x:v>
      </x:c>
      <x:c r="S516" s="12" t="n">
        <x:f>E516*Q516</x:f>
        <x:v>0</x:v>
      </x:c>
      <x:c r="T516" s="12" t="n">
        <x:f>ROUND(S516*F516+0.000000001,2)</x:f>
        <x:v>0</x:v>
      </x:c>
      <x:c r="U516" s="12" t="n">
        <x:f>E516*R516</x:f>
        <x:v>0</x:v>
      </x:c>
      <x:c r="V516" t="str">
        <x:f>IF(AND(C516="Active",Q516=0),"Active Zero Sales","Not Zero Sales")</x:f>
        <x:v>Not Zero Sales</x:v>
      </x:c>
      <x:c r="W516" s="12" t="n">
        <x:f>IF(V516="Active Zero Sales",U516,0)</x:f>
        <x:v>0</x:v>
      </x:c>
      <x:c r="X516" t="str">
        <x:f>IF(E516&lt;25,"Low &lt; 25",IF(E516&lt;100,"Medium 25-99",IF(E516&lt;300,"High 100-299","Premium 300+")))</x:f>
        <x:v>High 100-299</x:v>
      </x:c>
      <x:c r="Y516" t="n">
        <x:f>IF(C516="Active",1,0)</x:f>
        <x:v>0</x:v>
      </x:c>
    </x:row>
    <x:row r="517">
      <x:c r="A517" t="str">
        <x:v>SKU00516</x:v>
      </x:c>
      <x:c r="B517" t="str">
        <x:v>Sample Product 00516</x:v>
      </x:c>
      <x:c r="C517" t="str">
        <x:v>Active</x:v>
      </x:c>
      <x:c r="D517" t="str">
        <x:v>2026-04</x:v>
      </x:c>
      <x:c r="E517" s="12" t="n">
        <x:v>60.94</x:v>
      </x:c>
      <x:c r="F517" s="10" t="n">
        <x:v>0.213</x:v>
      </x:c>
      <x:c r="G517" t="str">
        <x:v>Personal Care</x:v>
      </x:c>
      <x:c r="H517" t="str">
        <x:v>Hygiene</x:v>
      </x:c>
      <x:c r="I517" t="str">
        <x:v>MFG010</x:v>
      </x:c>
      <x:c r="J517" t="str">
        <x:v>Manufacturer 010</x:v>
      </x:c>
      <x:c r="K517" t="str">
        <x:v>SUP007</x:v>
      </x:c>
      <x:c r="L517" t="str">
        <x:v>Supplier 007</x:v>
      </x:c>
      <x:c r="M517" t="str">
        <x:v>REG-189122</x:v>
      </x:c>
      <x:c r="N517" t="str">
        <x:v>Generic Ingredient 073</x:v>
      </x:c>
      <x:c r="O517" t="str">
        <x:v>General Sale</x:v>
      </x:c>
      <x:c r="P517" t="n">
        <x:v>25</x:v>
      </x:c>
      <x:c r="Q517" t="n">
        <x:v>14</x:v>
      </x:c>
      <x:c r="R517" t="n">
        <x:v>10</x:v>
      </x:c>
      <x:c r="S517" s="12" t="n">
        <x:f>E517*Q517</x:f>
        <x:v>853.16</x:v>
      </x:c>
      <x:c r="T517" s="12" t="n">
        <x:f>ROUND(S517*F517+0.000000001,2)</x:f>
        <x:v>181.72</x:v>
      </x:c>
      <x:c r="U517" s="12" t="n">
        <x:f>E517*R517</x:f>
        <x:v>609.4</x:v>
      </x:c>
      <x:c r="V517" t="str">
        <x:f>IF(AND(C517="Active",Q517=0),"Active Zero Sales","Not Zero Sales")</x:f>
        <x:v>Not Zero Sales</x:v>
      </x:c>
      <x:c r="W517" s="12" t="n">
        <x:f>IF(V517="Active Zero Sales",U517,0)</x:f>
        <x:v>0</x:v>
      </x:c>
      <x:c r="X517" t="str">
        <x:f>IF(E517&lt;25,"Low &lt; 25",IF(E517&lt;100,"Medium 25-99",IF(E517&lt;300,"High 100-299","Premium 300+")))</x:f>
        <x:v>Medium 25-99</x:v>
      </x:c>
      <x:c r="Y517" t="n">
        <x:f>IF(C517="Active",1,0)</x:f>
        <x:v>1</x:v>
      </x:c>
    </x:row>
    <x:row r="518">
      <x:c r="A518" t="str">
        <x:v>SKU00517</x:v>
      </x:c>
      <x:c r="B518" t="str">
        <x:v>Sample Product 00517</x:v>
      </x:c>
      <x:c r="C518" t="str">
        <x:v>Active</x:v>
      </x:c>
      <x:c r="D518" t="str">
        <x:v>2026-05</x:v>
      </x:c>
      <x:c r="E518" s="12" t="n">
        <x:v>28.64</x:v>
      </x:c>
      <x:c r="F518" s="10" t="n">
        <x:v>0.37</x:v>
      </x:c>
      <x:c r="G518" t="str">
        <x:v>General Merchandise</x:v>
      </x:c>
      <x:c r="H518" t="str">
        <x:v>Baby Essentials</x:v>
      </x:c>
      <x:c r="I518" t="str">
        <x:v>MFG006</x:v>
      </x:c>
      <x:c r="J518" t="str">
        <x:v>Manufacturer 006</x:v>
      </x:c>
      <x:c r="K518" t="str">
        <x:v>SUP018</x:v>
      </x:c>
      <x:c r="L518" t="str">
        <x:v>Supplier 018</x:v>
      </x:c>
      <x:c r="M518" t="str">
        <x:v>REG-638079</x:v>
      </x:c>
      <x:c r="N518" t="str">
        <x:v>Generic Ingredient 014</x:v>
      </x:c>
      <x:c r="O518" t="str">
        <x:v>General Sale</x:v>
      </x:c>
      <x:c r="P518" t="n">
        <x:v>22</x:v>
      </x:c>
      <x:c r="Q518" t="n">
        <x:v>9</x:v>
      </x:c>
      <x:c r="R518" t="n">
        <x:v>0</x:v>
      </x:c>
      <x:c r="S518" s="12" t="n">
        <x:f>E518*Q518</x:f>
        <x:v>257.76</x:v>
      </x:c>
      <x:c r="T518" s="12" t="n">
        <x:f>ROUND(S518*F518+0.000000001,2)</x:f>
        <x:v>95.37</x:v>
      </x:c>
      <x:c r="U518" s="12" t="n">
        <x:f>E518*R518</x:f>
        <x:v>0</x:v>
      </x:c>
      <x:c r="V518" t="str">
        <x:f>IF(AND(C518="Active",Q518=0),"Active Zero Sales","Not Zero Sales")</x:f>
        <x:v>Not Zero Sales</x:v>
      </x:c>
      <x:c r="W518" s="12" t="n">
        <x:f>IF(V518="Active Zero Sales",U518,0)</x:f>
        <x:v>0</x:v>
      </x:c>
      <x:c r="X518" t="str">
        <x:f>IF(E518&lt;25,"Low &lt; 25",IF(E518&lt;100,"Medium 25-99",IF(E518&lt;300,"High 100-299","Premium 300+")))</x:f>
        <x:v>Medium 25-99</x:v>
      </x:c>
      <x:c r="Y518" t="n">
        <x:f>IF(C518="Active",1,0)</x:f>
        <x:v>1</x:v>
      </x:c>
    </x:row>
    <x:row r="519">
      <x:c r="A519" t="str">
        <x:v>SKU00518</x:v>
      </x:c>
      <x:c r="B519" t="str">
        <x:v>Sample Product 00518</x:v>
      </x:c>
      <x:c r="C519" t="str">
        <x:v>Active</x:v>
      </x:c>
      <x:c r="D519" t="str">
        <x:v>2026-05</x:v>
      </x:c>
      <x:c r="E519" s="12" t="n">
        <x:v>20.49</x:v>
      </x:c>
      <x:c r="F519" s="10" t="n">
        <x:v>0.236</x:v>
      </x:c>
      <x:c r="G519" t="str">
        <x:v>Nutrition</x:v>
      </x:c>
      <x:c r="H519" t="str">
        <x:v>Adult Nutrition</x:v>
      </x:c>
      <x:c r="I519" t="str">
        <x:v>MFG019</x:v>
      </x:c>
      <x:c r="J519" t="str">
        <x:v>Manufacturer 019</x:v>
      </x:c>
      <x:c r="K519" t="str">
        <x:v>SUP026</x:v>
      </x:c>
      <x:c r="L519" t="str">
        <x:v>Supplier 026</x:v>
      </x:c>
      <x:c r="M519" t="str">
        <x:v>REG-441391</x:v>
      </x:c>
      <x:c r="N519" t="str">
        <x:v>Generic Ingredient 036</x:v>
      </x:c>
      <x:c r="O519" t="str">
        <x:v>General Sale</x:v>
      </x:c>
      <x:c r="P519" t="n">
        <x:v>50</x:v>
      </x:c>
      <x:c r="Q519" t="n">
        <x:v>27</x:v>
      </x:c>
      <x:c r="R519" t="n">
        <x:v>19</x:v>
      </x:c>
      <x:c r="S519" s="12" t="n">
        <x:f>E519*Q519</x:f>
        <x:v>553.2299999999999</x:v>
      </x:c>
      <x:c r="T519" s="12" t="n">
        <x:f>ROUND(S519*F519+0.000000001,2)</x:f>
        <x:v>130.56</x:v>
      </x:c>
      <x:c r="U519" s="12" t="n">
        <x:f>E519*R519</x:f>
        <x:v>389.30999999999995</x:v>
      </x:c>
      <x:c r="V519" t="str">
        <x:f>IF(AND(C519="Active",Q519=0),"Active Zero Sales","Not Zero Sales")</x:f>
        <x:v>Not Zero Sales</x:v>
      </x:c>
      <x:c r="W519" s="12" t="n">
        <x:f>IF(V519="Active Zero Sales",U519,0)</x:f>
        <x:v>0</x:v>
      </x:c>
      <x:c r="X519" t="str">
        <x:f>IF(E519&lt;25,"Low &lt; 25",IF(E519&lt;100,"Medium 25-99",IF(E519&lt;300,"High 100-299","Premium 300+")))</x:f>
        <x:v>Low &lt; 25</x:v>
      </x:c>
      <x:c r="Y519" t="n">
        <x:f>IF(C519="Active",1,0)</x:f>
        <x:v>1</x:v>
      </x:c>
    </x:row>
    <x:row r="520">
      <x:c r="A520" t="str">
        <x:v>SKU00519</x:v>
      </x:c>
      <x:c r="B520" t="str">
        <x:v>Sample Product 00519</x:v>
      </x:c>
      <x:c r="C520" t="str">
        <x:v>Active</x:v>
      </x:c>
      <x:c r="D520" t="str">
        <x:v>2026-05</x:v>
      </x:c>
      <x:c r="E520" s="12" t="n">
        <x:v>260.49</x:v>
      </x:c>
      <x:c r="F520" s="10" t="n">
        <x:v>0.302</x:v>
      </x:c>
      <x:c r="G520" t="str">
        <x:v>Personal Care</x:v>
      </x:c>
      <x:c r="H520" t="str">
        <x:v>Hair Care</x:v>
      </x:c>
      <x:c r="I520" t="str">
        <x:v>MFG007</x:v>
      </x:c>
      <x:c r="J520" t="str">
        <x:v>Manufacturer 007</x:v>
      </x:c>
      <x:c r="K520" t="str">
        <x:v>SUP012</x:v>
      </x:c>
      <x:c r="L520" t="str">
        <x:v>Supplier 012</x:v>
      </x:c>
      <x:c r="M520" t="str">
        <x:v>REG-559154</x:v>
      </x:c>
      <x:c r="N520" t="str">
        <x:v>Generic Ingredient 037</x:v>
      </x:c>
      <x:c r="O520" t="str">
        <x:v>General Sale</x:v>
      </x:c>
      <x:c r="P520" t="n">
        <x:v>161</x:v>
      </x:c>
      <x:c r="Q520" t="n">
        <x:v>110</x:v>
      </x:c>
      <x:c r="R520" t="n">
        <x:v>24</x:v>
      </x:c>
      <x:c r="S520" s="12" t="n">
        <x:f>E520*Q520</x:f>
        <x:v>28653.9</x:v>
      </x:c>
      <x:c r="T520" s="12" t="n">
        <x:f>ROUND(S520*F520+0.000000001,2)</x:f>
        <x:v>8653.48</x:v>
      </x:c>
      <x:c r="U520" s="12" t="n">
        <x:f>E520*R520</x:f>
        <x:v>6251.76</x:v>
      </x:c>
      <x:c r="V520" t="str">
        <x:f>IF(AND(C520="Active",Q520=0),"Active Zero Sales","Not Zero Sales")</x:f>
        <x:v>Not Zero Sales</x:v>
      </x:c>
      <x:c r="W520" s="12" t="n">
        <x:f>IF(V520="Active Zero Sales",U520,0)</x:f>
        <x:v>0</x:v>
      </x:c>
      <x:c r="X520" t="str">
        <x:f>IF(E520&lt;25,"Low &lt; 25",IF(E520&lt;100,"Medium 25-99",IF(E520&lt;300,"High 100-299","Premium 300+")))</x:f>
        <x:v>High 100-299</x:v>
      </x:c>
      <x:c r="Y520" t="n">
        <x:f>IF(C520="Active",1,0)</x:f>
        <x:v>1</x:v>
      </x:c>
    </x:row>
    <x:row r="521">
      <x:c r="A521" t="str">
        <x:v>SKU00520</x:v>
      </x:c>
      <x:c r="B521" t="str">
        <x:v>Sample Product 00520</x:v>
      </x:c>
      <x:c r="C521" t="str">
        <x:v>Active</x:v>
      </x:c>
      <x:c r="D521" t="str">
        <x:v>2026-03</x:v>
      </x:c>
      <x:c r="E521" s="12" t="n">
        <x:v>61.5</x:v>
      </x:c>
      <x:c r="F521" s="10" t="n">
        <x:v>0.272</x:v>
      </x:c>
      <x:c r="G521" t="str">
        <x:v>Personal Care</x:v>
      </x:c>
      <x:c r="H521" t="str">
        <x:v>Hygiene</x:v>
      </x:c>
      <x:c r="I521" t="str">
        <x:v>MFG009</x:v>
      </x:c>
      <x:c r="J521" t="str">
        <x:v>Manufacturer 009</x:v>
      </x:c>
      <x:c r="K521" t="str">
        <x:v>SUP022</x:v>
      </x:c>
      <x:c r="L521" t="str">
        <x:v>Supplier 022</x:v>
      </x:c>
      <x:c r="M521" t="str">
        <x:v>REG-565469</x:v>
      </x:c>
      <x:c r="N521" t="str">
        <x:v>Generic Ingredient 128</x:v>
      </x:c>
      <x:c r="O521" t="str">
        <x:v>Pharmacy Only</x:v>
      </x:c>
      <x:c r="P521" t="n">
        <x:v>54</x:v>
      </x:c>
      <x:c r="Q521" t="n">
        <x:v>38</x:v>
      </x:c>
      <x:c r="R521" t="n">
        <x:v>16</x:v>
      </x:c>
      <x:c r="S521" s="12" t="n">
        <x:f>E521*Q521</x:f>
        <x:v>2337</x:v>
      </x:c>
      <x:c r="T521" s="12" t="n">
        <x:f>ROUND(S521*F521+0.000000001,2)</x:f>
        <x:v>635.66</x:v>
      </x:c>
      <x:c r="U521" s="12" t="n">
        <x:f>E521*R521</x:f>
        <x:v>984</x:v>
      </x:c>
      <x:c r="V521" t="str">
        <x:f>IF(AND(C521="Active",Q521=0),"Active Zero Sales","Not Zero Sales")</x:f>
        <x:v>Not Zero Sales</x:v>
      </x:c>
      <x:c r="W521" s="12" t="n">
        <x:f>IF(V521="Active Zero Sales",U521,0)</x:f>
        <x:v>0</x:v>
      </x:c>
      <x:c r="X521" t="str">
        <x:f>IF(E521&lt;25,"Low &lt; 25",IF(E521&lt;100,"Medium 25-99",IF(E521&lt;300,"High 100-299","Premium 300+")))</x:f>
        <x:v>Medium 25-99</x:v>
      </x:c>
      <x:c r="Y521" t="n">
        <x:f>IF(C521="Active",1,0)</x:f>
        <x:v>1</x:v>
      </x:c>
    </x:row>
    <x:row r="522">
      <x:c r="A522" t="str">
        <x:v>SKU00521</x:v>
      </x:c>
      <x:c r="B522" t="str">
        <x:v>Sample Product 00521</x:v>
      </x:c>
      <x:c r="C522" t="str">
        <x:v>Active</x:v>
      </x:c>
      <x:c r="D522" t="str">
        <x:v>2026-06</x:v>
      </x:c>
      <x:c r="E522" s="12" t="n">
        <x:v>289.48</x:v>
      </x:c>
      <x:c r="F522" s="10" t="n">
        <x:v>0.438</x:v>
      </x:c>
      <x:c r="G522" t="str">
        <x:v>General Merchandise</x:v>
      </x:c>
      <x:c r="H522" t="str">
        <x:v>Travel Health</x:v>
      </x:c>
      <x:c r="I522" t="str">
        <x:v>MFG020</x:v>
      </x:c>
      <x:c r="J522" t="str">
        <x:v>Manufacturer 020</x:v>
      </x:c>
      <x:c r="K522" t="str">
        <x:v>SUP019</x:v>
      </x:c>
      <x:c r="L522" t="str">
        <x:v>Supplier 019</x:v>
      </x:c>
      <x:c r="M522" t="str">
        <x:v>REG-660580</x:v>
      </x:c>
      <x:c r="N522" t="str">
        <x:v>Generic Ingredient 171</x:v>
      </x:c>
      <x:c r="O522" t="str">
        <x:v>General Sale</x:v>
      </x:c>
      <x:c r="P522" t="n">
        <x:v>59</x:v>
      </x:c>
      <x:c r="Q522" t="n">
        <x:v>22</x:v>
      </x:c>
      <x:c r="R522" t="n">
        <x:v>27</x:v>
      </x:c>
      <x:c r="S522" s="12" t="n">
        <x:f>E522*Q522</x:f>
        <x:v>6368.56</x:v>
      </x:c>
      <x:c r="T522" s="12" t="n">
        <x:f>ROUND(S522*F522+0.000000001,2)</x:f>
        <x:v>2789.43</x:v>
      </x:c>
      <x:c r="U522" s="12" t="n">
        <x:f>E522*R522</x:f>
        <x:v>7815.960000000001</x:v>
      </x:c>
      <x:c r="V522" t="str">
        <x:f>IF(AND(C522="Active",Q522=0),"Active Zero Sales","Not Zero Sales")</x:f>
        <x:v>Not Zero Sales</x:v>
      </x:c>
      <x:c r="W522" s="12" t="n">
        <x:f>IF(V522="Active Zero Sales",U522,0)</x:f>
        <x:v>0</x:v>
      </x:c>
      <x:c r="X522" t="str">
        <x:f>IF(E522&lt;25,"Low &lt; 25",IF(E522&lt;100,"Medium 25-99",IF(E522&lt;300,"High 100-299","Premium 300+")))</x:f>
        <x:v>High 100-299</x:v>
      </x:c>
      <x:c r="Y522" t="n">
        <x:f>IF(C522="Active",1,0)</x:f>
        <x:v>1</x:v>
      </x:c>
    </x:row>
    <x:row r="523">
      <x:c r="A523" t="str">
        <x:v>SKU00522</x:v>
      </x:c>
      <x:c r="B523" t="str">
        <x:v>Sample Product 00522</x:v>
      </x:c>
      <x:c r="C523" t="str">
        <x:v>Active</x:v>
      </x:c>
      <x:c r="D523" t="str">
        <x:v>2026-02</x:v>
      </x:c>
      <x:c r="E523" s="12" t="n">
        <x:v>8.23</x:v>
      </x:c>
      <x:c r="F523" s="10" t="n">
        <x:v>0.251</x:v>
      </x:c>
      <x:c r="G523" t="str">
        <x:v>OTC &amp; Wellness</x:v>
      </x:c>
      <x:c r="H523" t="str">
        <x:v>Pain Relief</x:v>
      </x:c>
      <x:c r="I523" t="str">
        <x:v>MFG016</x:v>
      </x:c>
      <x:c r="J523" t="str">
        <x:v>Manufacturer 016</x:v>
      </x:c>
      <x:c r="K523" t="str">
        <x:v>SUP026</x:v>
      </x:c>
      <x:c r="L523" t="str">
        <x:v>Supplier 026</x:v>
      </x:c>
      <x:c r="M523" t="str">
        <x:v>REG-202970</x:v>
      </x:c>
      <x:c r="N523" t="str">
        <x:v>Generic Ingredient 043</x:v>
      </x:c>
      <x:c r="O523" t="str">
        <x:v>General Sale</x:v>
      </x:c>
      <x:c r="P523" t="n">
        <x:v>81</x:v>
      </x:c>
      <x:c r="Q523" t="n">
        <x:v>46</x:v>
      </x:c>
      <x:c r="R523" t="n">
        <x:v>11</x:v>
      </x:c>
      <x:c r="S523" s="12" t="n">
        <x:f>E523*Q523</x:f>
        <x:v>378.58000000000004</x:v>
      </x:c>
      <x:c r="T523" s="12" t="n">
        <x:f>ROUND(S523*F523+0.000000001,2)</x:f>
        <x:v>95.02</x:v>
      </x:c>
      <x:c r="U523" s="12" t="n">
        <x:f>E523*R523</x:f>
        <x:v>90.53</x:v>
      </x:c>
      <x:c r="V523" t="str">
        <x:f>IF(AND(C523="Active",Q523=0),"Active Zero Sales","Not Zero Sales")</x:f>
        <x:v>Not Zero Sales</x:v>
      </x:c>
      <x:c r="W523" s="12" t="n">
        <x:f>IF(V523="Active Zero Sales",U523,0)</x:f>
        <x:v>0</x:v>
      </x:c>
      <x:c r="X523" t="str">
        <x:f>IF(E523&lt;25,"Low &lt; 25",IF(E523&lt;100,"Medium 25-99",IF(E523&lt;300,"High 100-299","Premium 300+")))</x:f>
        <x:v>Low &lt; 25</x:v>
      </x:c>
      <x:c r="Y523" t="n">
        <x:f>IF(C523="Active",1,0)</x:f>
        <x:v>1</x:v>
      </x:c>
    </x:row>
    <x:row r="524">
      <x:c r="A524" t="str">
        <x:v>SKU00523</x:v>
      </x:c>
      <x:c r="B524" t="str">
        <x:v>Sample Product 00523</x:v>
      </x:c>
      <x:c r="C524" t="str">
        <x:v>Active</x:v>
      </x:c>
      <x:c r="D524" t="str">
        <x:v>2026-02</x:v>
      </x:c>
      <x:c r="E524" s="12" t="n">
        <x:v>17.99</x:v>
      </x:c>
      <x:c r="F524" s="10" t="n">
        <x:v>0.441</x:v>
      </x:c>
      <x:c r="G524" t="str">
        <x:v>OTC &amp; Wellness</x:v>
      </x:c>
      <x:c r="H524" t="str">
        <x:v>Pain Relief</x:v>
      </x:c>
      <x:c r="I524" t="str">
        <x:v>MFG012</x:v>
      </x:c>
      <x:c r="J524" t="str">
        <x:v>Manufacturer 012</x:v>
      </x:c>
      <x:c r="K524" t="str">
        <x:v>SUP010</x:v>
      </x:c>
      <x:c r="L524" t="str">
        <x:v>Supplier 010</x:v>
      </x:c>
      <x:c r="M524" t="str">
        <x:v>REG-328974</x:v>
      </x:c>
      <x:c r="N524" t="str">
        <x:v>Generic Ingredient 051</x:v>
      </x:c>
      <x:c r="O524" t="str">
        <x:v>General Sale</x:v>
      </x:c>
      <x:c r="P524" t="n">
        <x:v>29</x:v>
      </x:c>
      <x:c r="Q524" t="n">
        <x:v>18</x:v>
      </x:c>
      <x:c r="R524" t="n">
        <x:v>0</x:v>
      </x:c>
      <x:c r="S524" s="12" t="n">
        <x:f>E524*Q524</x:f>
        <x:v>323.82</x:v>
      </x:c>
      <x:c r="T524" s="12" t="n">
        <x:f>ROUND(S524*F524+0.000000001,2)</x:f>
        <x:v>142.8</x:v>
      </x:c>
      <x:c r="U524" s="12" t="n">
        <x:f>E524*R524</x:f>
        <x:v>0</x:v>
      </x:c>
      <x:c r="V524" t="str">
        <x:f>IF(AND(C524="Active",Q524=0),"Active Zero Sales","Not Zero Sales")</x:f>
        <x:v>Not Zero Sales</x:v>
      </x:c>
      <x:c r="W524" s="12" t="n">
        <x:f>IF(V524="Active Zero Sales",U524,0)</x:f>
        <x:v>0</x:v>
      </x:c>
      <x:c r="X524" t="str">
        <x:f>IF(E524&lt;25,"Low &lt; 25",IF(E524&lt;100,"Medium 25-99",IF(E524&lt;300,"High 100-299","Premium 300+")))</x:f>
        <x:v>Low &lt; 25</x:v>
      </x:c>
      <x:c r="Y524" t="n">
        <x:f>IF(C524="Active",1,0)</x:f>
        <x:v>1</x:v>
      </x:c>
    </x:row>
    <x:row r="525">
      <x:c r="A525" t="str">
        <x:v>SKU00524</x:v>
      </x:c>
      <x:c r="B525" t="str">
        <x:v>Sample Product 00524</x:v>
      </x:c>
      <x:c r="C525" t="str">
        <x:v>Active</x:v>
      </x:c>
      <x:c r="D525" t="str">
        <x:v>2026-03</x:v>
      </x:c>
      <x:c r="E525" s="12" t="n">
        <x:v>166.68</x:v>
      </x:c>
      <x:c r="F525" s="10" t="n">
        <x:v>0.294</x:v>
      </x:c>
      <x:c r="G525" t="str">
        <x:v>Nutrition</x:v>
      </x:c>
      <x:c r="H525" t="str">
        <x:v>Sports Nutrition</x:v>
      </x:c>
      <x:c r="I525" t="str">
        <x:v>MFG001</x:v>
      </x:c>
      <x:c r="J525" t="str">
        <x:v>Manufacturer 001</x:v>
      </x:c>
      <x:c r="K525" t="str">
        <x:v>SUP007</x:v>
      </x:c>
      <x:c r="L525" t="str">
        <x:v>Supplier 007</x:v>
      </x:c>
      <x:c r="M525" t="str">
        <x:v>REG-381268</x:v>
      </x:c>
      <x:c r="N525" t="str">
        <x:v>Generic Ingredient 013</x:v>
      </x:c>
      <x:c r="O525" t="str">
        <x:v>Restricted Sale</x:v>
      </x:c>
      <x:c r="P525" t="n">
        <x:v>50</x:v>
      </x:c>
      <x:c r="Q525" t="n">
        <x:v>0</x:v>
      </x:c>
      <x:c r="R525" t="n">
        <x:v>13</x:v>
      </x:c>
      <x:c r="S525" s="12" t="n">
        <x:f>E525*Q525</x:f>
        <x:v>0</x:v>
      </x:c>
      <x:c r="T525" s="12" t="n">
        <x:f>ROUND(S525*F525+0.000000001,2)</x:f>
        <x:v>0</x:v>
      </x:c>
      <x:c r="U525" s="12" t="n">
        <x:f>E525*R525</x:f>
        <x:v>2166.84</x:v>
      </x:c>
      <x:c r="V525" t="str">
        <x:f>IF(AND(C525="Active",Q525=0),"Active Zero Sales","Not Zero Sales")</x:f>
        <x:v>Active Zero Sales</x:v>
      </x:c>
      <x:c r="W525" s="12" t="n">
        <x:f>IF(V525="Active Zero Sales",U525,0)</x:f>
        <x:v>2166.84</x:v>
      </x:c>
      <x:c r="X525" t="str">
        <x:f>IF(E525&lt;25,"Low &lt; 25",IF(E525&lt;100,"Medium 25-99",IF(E525&lt;300,"High 100-299","Premium 300+")))</x:f>
        <x:v>High 100-299</x:v>
      </x:c>
      <x:c r="Y525" t="n">
        <x:f>IF(C525="Active",1,0)</x:f>
        <x:v>1</x:v>
      </x:c>
    </x:row>
    <x:row r="526">
      <x:c r="A526" t="str">
        <x:v>SKU00525</x:v>
      </x:c>
      <x:c r="B526" t="str">
        <x:v>Sample Product 00525</x:v>
      </x:c>
      <x:c r="C526" t="str">
        <x:v>Active</x:v>
      </x:c>
      <x:c r="D526" t="str">
        <x:v>2026-02</x:v>
      </x:c>
      <x:c r="E526" s="12" t="n">
        <x:v>212.22</x:v>
      </x:c>
      <x:c r="F526" s="10" t="n">
        <x:v>0.365</x:v>
      </x:c>
      <x:c r="G526" t="str">
        <x:v>Nutrition</x:v>
      </x:c>
      <x:c r="H526" t="str">
        <x:v>Sports Nutrition</x:v>
      </x:c>
      <x:c r="I526" t="str">
        <x:v>MFG009</x:v>
      </x:c>
      <x:c r="J526" t="str">
        <x:v>Manufacturer 009</x:v>
      </x:c>
      <x:c r="K526" t="str">
        <x:v>SUP026</x:v>
      </x:c>
      <x:c r="L526" t="str">
        <x:v>Supplier 026</x:v>
      </x:c>
      <x:c r="M526" t="str">
        <x:v>REG-985978</x:v>
      </x:c>
      <x:c r="N526" t="str">
        <x:v>Generic Ingredient 104</x:v>
      </x:c>
      <x:c r="O526" t="str">
        <x:v>Pharmacy Only</x:v>
      </x:c>
      <x:c r="P526" t="n">
        <x:v>36</x:v>
      </x:c>
      <x:c r="Q526" t="n">
        <x:v>28</x:v>
      </x:c>
      <x:c r="R526" t="n">
        <x:v>15</x:v>
      </x:c>
      <x:c r="S526" s="12" t="n">
        <x:f>E526*Q526</x:f>
        <x:v>5942.16</x:v>
      </x:c>
      <x:c r="T526" s="12" t="n">
        <x:f>ROUND(S526*F526+0.000000001,2)</x:f>
        <x:v>2168.89</x:v>
      </x:c>
      <x:c r="U526" s="12" t="n">
        <x:f>E526*R526</x:f>
        <x:v>3183.3</x:v>
      </x:c>
      <x:c r="V526" t="str">
        <x:f>IF(AND(C526="Active",Q526=0),"Active Zero Sales","Not Zero Sales")</x:f>
        <x:v>Not Zero Sales</x:v>
      </x:c>
      <x:c r="W526" s="12" t="n">
        <x:f>IF(V526="Active Zero Sales",U526,0)</x:f>
        <x:v>0</x:v>
      </x:c>
      <x:c r="X526" t="str">
        <x:f>IF(E526&lt;25,"Low &lt; 25",IF(E526&lt;100,"Medium 25-99",IF(E526&lt;300,"High 100-299","Premium 300+")))</x:f>
        <x:v>High 100-299</x:v>
      </x:c>
      <x:c r="Y526" t="n">
        <x:f>IF(C526="Active",1,0)</x:f>
        <x:v>1</x:v>
      </x:c>
    </x:row>
    <x:row r="527">
      <x:c r="A527" t="str">
        <x:v>SKU00526</x:v>
      </x:c>
      <x:c r="B527" t="str">
        <x:v>Sample Product 00526</x:v>
      </x:c>
      <x:c r="C527" t="str">
        <x:v>Active</x:v>
      </x:c>
      <x:c r="D527" t="str">
        <x:v>2026-04</x:v>
      </x:c>
      <x:c r="E527" s="12" t="n">
        <x:v>33.07</x:v>
      </x:c>
      <x:c r="F527" s="10" t="n">
        <x:v>0.422</x:v>
      </x:c>
      <x:c r="G527" t="str">
        <x:v>Nutrition</x:v>
      </x:c>
      <x:c r="H527" t="str">
        <x:v>Sports Nutrition</x:v>
      </x:c>
      <x:c r="I527" t="str">
        <x:v>MFG015</x:v>
      </x:c>
      <x:c r="J527" t="str">
        <x:v>Manufacturer 015</x:v>
      </x:c>
      <x:c r="K527" t="str">
        <x:v>SUP008</x:v>
      </x:c>
      <x:c r="L527" t="str">
        <x:v>Supplier 008</x:v>
      </x:c>
      <x:c r="M527" t="str">
        <x:v>REG-875305</x:v>
      </x:c>
      <x:c r="N527" t="str">
        <x:v>Generic Ingredient 161</x:v>
      </x:c>
      <x:c r="O527" t="str">
        <x:v>General Sale</x:v>
      </x:c>
      <x:c r="P527" t="n">
        <x:v>24</x:v>
      </x:c>
      <x:c r="Q527" t="n">
        <x:v>19</x:v>
      </x:c>
      <x:c r="R527" t="n">
        <x:v>0</x:v>
      </x:c>
      <x:c r="S527" s="12" t="n">
        <x:f>E527*Q527</x:f>
        <x:v>628.33</x:v>
      </x:c>
      <x:c r="T527" s="12" t="n">
        <x:f>ROUND(S527*F527+0.000000001,2)</x:f>
        <x:v>265.16</x:v>
      </x:c>
      <x:c r="U527" s="12" t="n">
        <x:f>E527*R527</x:f>
        <x:v>0</x:v>
      </x:c>
      <x:c r="V527" t="str">
        <x:f>IF(AND(C527="Active",Q527=0),"Active Zero Sales","Not Zero Sales")</x:f>
        <x:v>Not Zero Sales</x:v>
      </x:c>
      <x:c r="W527" s="12" t="n">
        <x:f>IF(V527="Active Zero Sales",U527,0)</x:f>
        <x:v>0</x:v>
      </x:c>
      <x:c r="X527" t="str">
        <x:f>IF(E527&lt;25,"Low &lt; 25",IF(E527&lt;100,"Medium 25-99",IF(E527&lt;300,"High 100-299","Premium 300+")))</x:f>
        <x:v>Medium 25-99</x:v>
      </x:c>
      <x:c r="Y527" t="n">
        <x:f>IF(C527="Active",1,0)</x:f>
        <x:v>1</x:v>
      </x:c>
    </x:row>
    <x:row r="528">
      <x:c r="A528" t="str">
        <x:v>SKU00527</x:v>
      </x:c>
      <x:c r="B528" t="str">
        <x:v>Sample Product 00527</x:v>
      </x:c>
      <x:c r="C528" t="str">
        <x:v>Active</x:v>
      </x:c>
      <x:c r="D528" t="str">
        <x:v>2026-06</x:v>
      </x:c>
      <x:c r="E528" s="12" t="n">
        <x:v>9.18</x:v>
      </x:c>
      <x:c r="F528" s="10" t="n">
        <x:v>0.379</x:v>
      </x:c>
      <x:c r="G528" t="str">
        <x:v>Personal Care</x:v>
      </x:c>
      <x:c r="H528" t="str">
        <x:v>Oral Care</x:v>
      </x:c>
      <x:c r="I528" t="str">
        <x:v>MFG004</x:v>
      </x:c>
      <x:c r="J528" t="str">
        <x:v>Manufacturer 004</x:v>
      </x:c>
      <x:c r="K528" t="str">
        <x:v>SUP021</x:v>
      </x:c>
      <x:c r="L528" t="str">
        <x:v>Supplier 021</x:v>
      </x:c>
      <x:c r="M528" t="str">
        <x:v>REG-685079</x:v>
      </x:c>
      <x:c r="N528" t="str">
        <x:v>Generic Ingredient 151</x:v>
      </x:c>
      <x:c r="O528" t="str">
        <x:v>General Sale</x:v>
      </x:c>
      <x:c r="P528" t="n">
        <x:v>116</x:v>
      </x:c>
      <x:c r="Q528" t="n">
        <x:v>34</x:v>
      </x:c>
      <x:c r="R528" t="n">
        <x:v>35</x:v>
      </x:c>
      <x:c r="S528" s="12" t="n">
        <x:f>E528*Q528</x:f>
        <x:v>312.12</x:v>
      </x:c>
      <x:c r="T528" s="12" t="n">
        <x:f>ROUND(S528*F528+0.000000001,2)</x:f>
        <x:v>118.29</x:v>
      </x:c>
      <x:c r="U528" s="12" t="n">
        <x:f>E528*R528</x:f>
        <x:v>321.3</x:v>
      </x:c>
      <x:c r="V528" t="str">
        <x:f>IF(AND(C528="Active",Q528=0),"Active Zero Sales","Not Zero Sales")</x:f>
        <x:v>Not Zero Sales</x:v>
      </x:c>
      <x:c r="W528" s="12" t="n">
        <x:f>IF(V528="Active Zero Sales",U528,0)</x:f>
        <x:v>0</x:v>
      </x:c>
      <x:c r="X528" t="str">
        <x:f>IF(E528&lt;25,"Low &lt; 25",IF(E528&lt;100,"Medium 25-99",IF(E528&lt;300,"High 100-299","Premium 300+")))</x:f>
        <x:v>Low &lt; 25</x:v>
      </x:c>
      <x:c r="Y528" t="n">
        <x:f>IF(C528="Active",1,0)</x:f>
        <x:v>1</x:v>
      </x:c>
    </x:row>
    <x:row r="529">
      <x:c r="A529" t="str">
        <x:v>SKU00528</x:v>
      </x:c>
      <x:c r="B529" t="str">
        <x:v>Sample Product 00528</x:v>
      </x:c>
      <x:c r="C529" t="str">
        <x:v>Active</x:v>
      </x:c>
      <x:c r="D529" t="str">
        <x:v>2026-01</x:v>
      </x:c>
      <x:c r="E529" s="12" t="n">
        <x:v>138.26</x:v>
      </x:c>
      <x:c r="F529" s="10" t="n">
        <x:v>0.378</x:v>
      </x:c>
      <x:c r="G529" t="str">
        <x:v>Personal Care</x:v>
      </x:c>
      <x:c r="H529" t="str">
        <x:v>Skin Care</x:v>
      </x:c>
      <x:c r="I529" t="str">
        <x:v>MFG011</x:v>
      </x:c>
      <x:c r="J529" t="str">
        <x:v>Manufacturer 011</x:v>
      </x:c>
      <x:c r="K529" t="str">
        <x:v>SUP022</x:v>
      </x:c>
      <x:c r="L529" t="str">
        <x:v>Supplier 022</x:v>
      </x:c>
      <x:c r="M529" t="str">
        <x:v>REG-245586</x:v>
      </x:c>
      <x:c r="N529" t="str">
        <x:v>Generic Ingredient 154</x:v>
      </x:c>
      <x:c r="O529" t="str">
        <x:v>General Sale</x:v>
      </x:c>
      <x:c r="P529" t="n">
        <x:v>73</x:v>
      </x:c>
      <x:c r="Q529" t="n">
        <x:v>32</x:v>
      </x:c>
      <x:c r="R529" t="n">
        <x:v>0</x:v>
      </x:c>
      <x:c r="S529" s="12" t="n">
        <x:f>E529*Q529</x:f>
        <x:v>4424.32</x:v>
      </x:c>
      <x:c r="T529" s="12" t="n">
        <x:f>ROUND(S529*F529+0.000000001,2)</x:f>
        <x:v>1672.39</x:v>
      </x:c>
      <x:c r="U529" s="12" t="n">
        <x:f>E529*R529</x:f>
        <x:v>0</x:v>
      </x:c>
      <x:c r="V529" t="str">
        <x:f>IF(AND(C529="Active",Q529=0),"Active Zero Sales","Not Zero Sales")</x:f>
        <x:v>Not Zero Sales</x:v>
      </x:c>
      <x:c r="W529" s="12" t="n">
        <x:f>IF(V529="Active Zero Sales",U529,0)</x:f>
        <x:v>0</x:v>
      </x:c>
      <x:c r="X529" t="str">
        <x:f>IF(E529&lt;25,"Low &lt; 25",IF(E529&lt;100,"Medium 25-99",IF(E529&lt;300,"High 100-299","Premium 300+")))</x:f>
        <x:v>High 100-299</x:v>
      </x:c>
      <x:c r="Y529" t="n">
        <x:f>IF(C529="Active",1,0)</x:f>
        <x:v>1</x:v>
      </x:c>
    </x:row>
    <x:row r="530">
      <x:c r="A530" t="str">
        <x:v>SKU00529</x:v>
      </x:c>
      <x:c r="B530" t="str">
        <x:v>Sample Product 00529</x:v>
      </x:c>
      <x:c r="C530" t="str">
        <x:v>Active</x:v>
      </x:c>
      <x:c r="D530" t="str">
        <x:v>2026-03</x:v>
      </x:c>
      <x:c r="E530" s="12" t="n">
        <x:v>194.14</x:v>
      </x:c>
      <x:c r="F530" s="10" t="n">
        <x:v>0.302</x:v>
      </x:c>
      <x:c r="G530" t="str">
        <x:v>Personal Care</x:v>
      </x:c>
      <x:c r="H530" t="str">
        <x:v>Hygiene</x:v>
      </x:c>
      <x:c r="I530" t="str">
        <x:v>MFG008</x:v>
      </x:c>
      <x:c r="J530" t="str">
        <x:v>Manufacturer 008</x:v>
      </x:c>
      <x:c r="K530" t="str">
        <x:v>SUP021</x:v>
      </x:c>
      <x:c r="L530" t="str">
        <x:v>Supplier 021</x:v>
      </x:c>
      <x:c r="M530" t="str">
        <x:v>REG-486261</x:v>
      </x:c>
      <x:c r="N530" t="str">
        <x:v>Generic Ingredient 148</x:v>
      </x:c>
      <x:c r="O530" t="str">
        <x:v>General Sale</x:v>
      </x:c>
      <x:c r="P530" t="n">
        <x:v>67</x:v>
      </x:c>
      <x:c r="Q530" t="n">
        <x:v>18</x:v>
      </x:c>
      <x:c r="R530" t="n">
        <x:v>7</x:v>
      </x:c>
      <x:c r="S530" s="12" t="n">
        <x:f>E530*Q530</x:f>
        <x:v>3494.5199999999995</x:v>
      </x:c>
      <x:c r="T530" s="12" t="n">
        <x:f>ROUND(S530*F530+0.000000001,2)</x:f>
        <x:v>1055.35</x:v>
      </x:c>
      <x:c r="U530" s="12" t="n">
        <x:f>E530*R530</x:f>
        <x:v>1358.98</x:v>
      </x:c>
      <x:c r="V530" t="str">
        <x:f>IF(AND(C530="Active",Q530=0),"Active Zero Sales","Not Zero Sales")</x:f>
        <x:v>Not Zero Sales</x:v>
      </x:c>
      <x:c r="W530" s="12" t="n">
        <x:f>IF(V530="Active Zero Sales",U530,0)</x:f>
        <x:v>0</x:v>
      </x:c>
      <x:c r="X530" t="str">
        <x:f>IF(E530&lt;25,"Low &lt; 25",IF(E530&lt;100,"Medium 25-99",IF(E530&lt;300,"High 100-299","Premium 300+")))</x:f>
        <x:v>High 100-299</x:v>
      </x:c>
      <x:c r="Y530" t="n">
        <x:f>IF(C530="Active",1,0)</x:f>
        <x:v>1</x:v>
      </x:c>
    </x:row>
    <x:row r="531">
      <x:c r="A531" t="str">
        <x:v>SKU00530</x:v>
      </x:c>
      <x:c r="B531" t="str">
        <x:v>Sample Product 00530</x:v>
      </x:c>
      <x:c r="C531" t="str">
        <x:v>Active</x:v>
      </x:c>
      <x:c r="D531" t="str">
        <x:v>2026-03</x:v>
      </x:c>
      <x:c r="E531" s="12" t="n">
        <x:v>16.1</x:v>
      </x:c>
      <x:c r="F531" s="10" t="n">
        <x:v>0.313</x:v>
      </x:c>
      <x:c r="G531" t="str">
        <x:v>Personal Care</x:v>
      </x:c>
      <x:c r="H531" t="str">
        <x:v>Oral Care</x:v>
      </x:c>
      <x:c r="I531" t="str">
        <x:v>MFG004</x:v>
      </x:c>
      <x:c r="J531" t="str">
        <x:v>Manufacturer 004</x:v>
      </x:c>
      <x:c r="K531" t="str">
        <x:v>SUP021</x:v>
      </x:c>
      <x:c r="L531" t="str">
        <x:v>Supplier 021</x:v>
      </x:c>
      <x:c r="M531" t="str">
        <x:v>REG-805966</x:v>
      </x:c>
      <x:c r="N531" t="str">
        <x:v>Generic Ingredient 069</x:v>
      </x:c>
      <x:c r="O531" t="str">
        <x:v>Pharmacy Only</x:v>
      </x:c>
      <x:c r="P531" t="n">
        <x:v>20</x:v>
      </x:c>
      <x:c r="Q531" t="n">
        <x:v>0</x:v>
      </x:c>
      <x:c r="R531" t="n">
        <x:v>17</x:v>
      </x:c>
      <x:c r="S531" s="12" t="n">
        <x:f>E531*Q531</x:f>
        <x:v>0</x:v>
      </x:c>
      <x:c r="T531" s="12" t="n">
        <x:f>ROUND(S531*F531+0.000000001,2)</x:f>
        <x:v>0</x:v>
      </x:c>
      <x:c r="U531" s="12" t="n">
        <x:f>E531*R531</x:f>
        <x:v>273.70000000000005</x:v>
      </x:c>
      <x:c r="V531" t="str">
        <x:f>IF(AND(C531="Active",Q531=0),"Active Zero Sales","Not Zero Sales")</x:f>
        <x:v>Active Zero Sales</x:v>
      </x:c>
      <x:c r="W531" s="12" t="n">
        <x:f>IF(V531="Active Zero Sales",U531,0)</x:f>
        <x:v>273.70000000000005</x:v>
      </x:c>
      <x:c r="X531" t="str">
        <x:f>IF(E531&lt;25,"Low &lt; 25",IF(E531&lt;100,"Medium 25-99",IF(E531&lt;300,"High 100-299","Premium 300+")))</x:f>
        <x:v>Low &lt; 25</x:v>
      </x:c>
      <x:c r="Y531" t="n">
        <x:f>IF(C531="Active",1,0)</x:f>
        <x:v>1</x:v>
      </x:c>
    </x:row>
    <x:row r="532">
      <x:c r="A532" t="str">
        <x:v>SKU00531</x:v>
      </x:c>
      <x:c r="B532" t="str">
        <x:v>Sample Product 00531</x:v>
      </x:c>
      <x:c r="C532" t="str">
        <x:v>Active</x:v>
      </x:c>
      <x:c r="D532" t="str">
        <x:v>2026-05</x:v>
      </x:c>
      <x:c r="E532" s="12" t="n">
        <x:v>70.07</x:v>
      </x:c>
      <x:c r="F532" s="10" t="n">
        <x:v>0.311</x:v>
      </x:c>
      <x:c r="G532" t="str">
        <x:v>Nutrition</x:v>
      </x:c>
      <x:c r="H532" t="str">
        <x:v>Hydration</x:v>
      </x:c>
      <x:c r="I532" t="str">
        <x:v>MFG015</x:v>
      </x:c>
      <x:c r="J532" t="str">
        <x:v>Manufacturer 015</x:v>
      </x:c>
      <x:c r="K532" t="str">
        <x:v>SUP030</x:v>
      </x:c>
      <x:c r="L532" t="str">
        <x:v>Supplier 030</x:v>
      </x:c>
      <x:c r="M532" t="str">
        <x:v>REG-362191</x:v>
      </x:c>
      <x:c r="N532" t="str">
        <x:v>Generic Ingredient 075</x:v>
      </x:c>
      <x:c r="O532" t="str">
        <x:v>General Sale</x:v>
      </x:c>
      <x:c r="P532" t="n">
        <x:v>55</x:v>
      </x:c>
      <x:c r="Q532" t="n">
        <x:v>8</x:v>
      </x:c>
      <x:c r="R532" t="n">
        <x:v>15</x:v>
      </x:c>
      <x:c r="S532" s="12" t="n">
        <x:f>E532*Q532</x:f>
        <x:v>560.56</x:v>
      </x:c>
      <x:c r="T532" s="12" t="n">
        <x:f>ROUND(S532*F532+0.000000001,2)</x:f>
        <x:v>174.33</x:v>
      </x:c>
      <x:c r="U532" s="12" t="n">
        <x:f>E532*R532</x:f>
        <x:v>1051.05</x:v>
      </x:c>
      <x:c r="V532" t="str">
        <x:f>IF(AND(C532="Active",Q532=0),"Active Zero Sales","Not Zero Sales")</x:f>
        <x:v>Not Zero Sales</x:v>
      </x:c>
      <x:c r="W532" s="12" t="n">
        <x:f>IF(V532="Active Zero Sales",U532,0)</x:f>
        <x:v>0</x:v>
      </x:c>
      <x:c r="X532" t="str">
        <x:f>IF(E532&lt;25,"Low &lt; 25",IF(E532&lt;100,"Medium 25-99",IF(E532&lt;300,"High 100-299","Premium 300+")))</x:f>
        <x:v>Medium 25-99</x:v>
      </x:c>
      <x:c r="Y532" t="n">
        <x:f>IF(C532="Active",1,0)</x:f>
        <x:v>1</x:v>
      </x:c>
    </x:row>
    <x:row r="533">
      <x:c r="A533" t="str">
        <x:v>SKU00532</x:v>
      </x:c>
      <x:c r="B533" t="str">
        <x:v>Sample Product 00532</x:v>
      </x:c>
      <x:c r="C533" t="str">
        <x:v>Active</x:v>
      </x:c>
      <x:c r="D533" t="str">
        <x:v>2026-01</x:v>
      </x:c>
      <x:c r="E533" s="12" t="n">
        <x:v>289.66</x:v>
      </x:c>
      <x:c r="F533" s="10" t="n">
        <x:v>0.252</x:v>
      </x:c>
      <x:c r="G533" t="str">
        <x:v>Medical Devices</x:v>
      </x:c>
      <x:c r="H533" t="str">
        <x:v>First Aid</x:v>
      </x:c>
      <x:c r="I533" t="str">
        <x:v>MFG013</x:v>
      </x:c>
      <x:c r="J533" t="str">
        <x:v>Manufacturer 013</x:v>
      </x:c>
      <x:c r="K533" t="str">
        <x:v>SUP020</x:v>
      </x:c>
      <x:c r="L533" t="str">
        <x:v>Supplier 020</x:v>
      </x:c>
      <x:c r="M533" t="str">
        <x:v>REG-175751</x:v>
      </x:c>
      <x:c r="N533" t="str">
        <x:v>Generic Ingredient 093</x:v>
      </x:c>
      <x:c r="O533" t="str">
        <x:v>General Sale</x:v>
      </x:c>
      <x:c r="P533" t="n">
        <x:v>59</x:v>
      </x:c>
      <x:c r="Q533" t="n">
        <x:v>15</x:v>
      </x:c>
      <x:c r="R533" t="n">
        <x:v>0</x:v>
      </x:c>
      <x:c r="S533" s="12" t="n">
        <x:f>E533*Q533</x:f>
        <x:v>4344.900000000001</x:v>
      </x:c>
      <x:c r="T533" s="12" t="n">
        <x:f>ROUND(S533*F533+0.000000001,2)</x:f>
        <x:v>1094.91</x:v>
      </x:c>
      <x:c r="U533" s="12" t="n">
        <x:f>E533*R533</x:f>
        <x:v>0</x:v>
      </x:c>
      <x:c r="V533" t="str">
        <x:f>IF(AND(C533="Active",Q533=0),"Active Zero Sales","Not Zero Sales")</x:f>
        <x:v>Not Zero Sales</x:v>
      </x:c>
      <x:c r="W533" s="12" t="n">
        <x:f>IF(V533="Active Zero Sales",U533,0)</x:f>
        <x:v>0</x:v>
      </x:c>
      <x:c r="X533" t="str">
        <x:f>IF(E533&lt;25,"Low &lt; 25",IF(E533&lt;100,"Medium 25-99",IF(E533&lt;300,"High 100-299","Premium 300+")))</x:f>
        <x:v>High 100-299</x:v>
      </x:c>
      <x:c r="Y533" t="n">
        <x:f>IF(C533="Active",1,0)</x:f>
        <x:v>1</x:v>
      </x:c>
    </x:row>
    <x:row r="534">
      <x:c r="A534" t="str">
        <x:v>SKU00533</x:v>
      </x:c>
      <x:c r="B534" t="str">
        <x:v>Sample Product 00533</x:v>
      </x:c>
      <x:c r="C534" t="str">
        <x:v>Active</x:v>
      </x:c>
      <x:c r="D534" t="str">
        <x:v>2026-02</x:v>
      </x:c>
      <x:c r="E534" s="12" t="n">
        <x:v>11.15</x:v>
      </x:c>
      <x:c r="F534" s="10" t="n">
        <x:v>0.265</x:v>
      </x:c>
      <x:c r="G534" t="str">
        <x:v>OTC &amp; Wellness</x:v>
      </x:c>
      <x:c r="H534" t="str">
        <x:v>Digestive Care</x:v>
      </x:c>
      <x:c r="I534" t="str">
        <x:v>MFG018</x:v>
      </x:c>
      <x:c r="J534" t="str">
        <x:v>Manufacturer 018</x:v>
      </x:c>
      <x:c r="K534" t="str">
        <x:v>SUP006</x:v>
      </x:c>
      <x:c r="L534" t="str">
        <x:v>Supplier 006</x:v>
      </x:c>
      <x:c r="M534" t="str">
        <x:v>REG-360956</x:v>
      </x:c>
      <x:c r="N534" t="str">
        <x:v>Generic Ingredient 048</x:v>
      </x:c>
      <x:c r="O534" t="str">
        <x:v>General Sale</x:v>
      </x:c>
      <x:c r="P534" t="n">
        <x:v>42</x:v>
      </x:c>
      <x:c r="Q534" t="n">
        <x:v>0</x:v>
      </x:c>
      <x:c r="R534" t="n">
        <x:v>23</x:v>
      </x:c>
      <x:c r="S534" s="12" t="n">
        <x:f>E534*Q534</x:f>
        <x:v>0</x:v>
      </x:c>
      <x:c r="T534" s="12" t="n">
        <x:f>ROUND(S534*F534+0.000000001,2)</x:f>
        <x:v>0</x:v>
      </x:c>
      <x:c r="U534" s="12" t="n">
        <x:f>E534*R534</x:f>
        <x:v>256.45</x:v>
      </x:c>
      <x:c r="V534" t="str">
        <x:f>IF(AND(C534="Active",Q534=0),"Active Zero Sales","Not Zero Sales")</x:f>
        <x:v>Active Zero Sales</x:v>
      </x:c>
      <x:c r="W534" s="12" t="n">
        <x:f>IF(V534="Active Zero Sales",U534,0)</x:f>
        <x:v>256.45</x:v>
      </x:c>
      <x:c r="X534" t="str">
        <x:f>IF(E534&lt;25,"Low &lt; 25",IF(E534&lt;100,"Medium 25-99",IF(E534&lt;300,"High 100-299","Premium 300+")))</x:f>
        <x:v>Low &lt; 25</x:v>
      </x:c>
      <x:c r="Y534" t="n">
        <x:f>IF(C534="Active",1,0)</x:f>
        <x:v>1</x:v>
      </x:c>
    </x:row>
    <x:row r="535">
      <x:c r="A535" t="str">
        <x:v>SKU00534</x:v>
      </x:c>
      <x:c r="B535" t="str">
        <x:v>Sample Product 00534</x:v>
      </x:c>
      <x:c r="C535" t="str">
        <x:v>Active</x:v>
      </x:c>
      <x:c r="D535" t="str">
        <x:v>2026-05</x:v>
      </x:c>
      <x:c r="E535" s="12" t="n">
        <x:v>194.2</x:v>
      </x:c>
      <x:c r="F535" s="10" t="n">
        <x:v>0.33</x:v>
      </x:c>
      <x:c r="G535" t="str">
        <x:v>Medical Devices</x:v>
      </x:c>
      <x:c r="H535" t="str">
        <x:v>Home Diagnostics</x:v>
      </x:c>
      <x:c r="I535" t="str">
        <x:v>MFG003</x:v>
      </x:c>
      <x:c r="J535" t="str">
        <x:v>Manufacturer 003</x:v>
      </x:c>
      <x:c r="K535" t="str">
        <x:v>SUP003</x:v>
      </x:c>
      <x:c r="L535" t="str">
        <x:v>Supplier 003</x:v>
      </x:c>
      <x:c r="M535" t="str">
        <x:v>REG-510864</x:v>
      </x:c>
      <x:c r="N535" t="str">
        <x:v>Generic Ingredient 173</x:v>
      </x:c>
      <x:c r="O535" t="str">
        <x:v>General Sale</x:v>
      </x:c>
      <x:c r="P535" t="n">
        <x:v>48</x:v>
      </x:c>
      <x:c r="Q535" t="n">
        <x:v>54</x:v>
      </x:c>
      <x:c r="R535" t="n">
        <x:v>0</x:v>
      </x:c>
      <x:c r="S535" s="12" t="n">
        <x:f>E535*Q535</x:f>
        <x:v>10486.8</x:v>
      </x:c>
      <x:c r="T535" s="12" t="n">
        <x:f>ROUND(S535*F535+0.000000001,2)</x:f>
        <x:v>3460.64</x:v>
      </x:c>
      <x:c r="U535" s="12" t="n">
        <x:f>E535*R535</x:f>
        <x:v>0</x:v>
      </x:c>
      <x:c r="V535" t="str">
        <x:f>IF(AND(C535="Active",Q535=0),"Active Zero Sales","Not Zero Sales")</x:f>
        <x:v>Not Zero Sales</x:v>
      </x:c>
      <x:c r="W535" s="12" t="n">
        <x:f>IF(V535="Active Zero Sales",U535,0)</x:f>
        <x:v>0</x:v>
      </x:c>
      <x:c r="X535" t="str">
        <x:f>IF(E535&lt;25,"Low &lt; 25",IF(E535&lt;100,"Medium 25-99",IF(E535&lt;300,"High 100-299","Premium 300+")))</x:f>
        <x:v>High 100-299</x:v>
      </x:c>
      <x:c r="Y535" t="n">
        <x:f>IF(C535="Active",1,0)</x:f>
        <x:v>1</x:v>
      </x:c>
    </x:row>
    <x:row r="536">
      <x:c r="A536" t="str">
        <x:v>SKU00535</x:v>
      </x:c>
      <x:c r="B536" t="str">
        <x:v>Sample Product 00535</x:v>
      </x:c>
      <x:c r="C536" t="str">
        <x:v>Blocked</x:v>
      </x:c>
      <x:c r="D536" t="str">
        <x:v>2026-04</x:v>
      </x:c>
      <x:c r="E536" s="12" t="n">
        <x:v>32.84</x:v>
      </x:c>
      <x:c r="F536" s="10" t="n">
        <x:v>0.273</x:v>
      </x:c>
      <x:c r="G536" t="str">
        <x:v>OTC &amp; Wellness</x:v>
      </x:c>
      <x:c r="H536" t="str">
        <x:v>Digestive Care</x:v>
      </x:c>
      <x:c r="I536" t="str">
        <x:v>MFG003</x:v>
      </x:c>
      <x:c r="J536" t="str">
        <x:v>Manufacturer 003</x:v>
      </x:c>
      <x:c r="K536" t="str">
        <x:v>SUP001</x:v>
      </x:c>
      <x:c r="L536" t="str">
        <x:v>Supplier 001</x:v>
      </x:c>
      <x:c r="M536" t="str">
        <x:v>REG-363739</x:v>
      </x:c>
      <x:c r="N536" t="str">
        <x:v>Generic Ingredient 173</x:v>
      </x:c>
      <x:c r="O536" t="str">
        <x:v>Pharmacy Only</x:v>
      </x:c>
      <x:c r="P536" t="n">
        <x:v>46</x:v>
      </x:c>
      <x:c r="Q536" t="n">
        <x:v>0</x:v>
      </x:c>
      <x:c r="R536" t="n">
        <x:v>0</x:v>
      </x:c>
      <x:c r="S536" s="12" t="n">
        <x:f>E536*Q536</x:f>
        <x:v>0</x:v>
      </x:c>
      <x:c r="T536" s="12" t="n">
        <x:f>ROUND(S536*F536+0.000000001,2)</x:f>
        <x:v>0</x:v>
      </x:c>
      <x:c r="U536" s="12" t="n">
        <x:f>E536*R536</x:f>
        <x:v>0</x:v>
      </x:c>
      <x:c r="V536" t="str">
        <x:f>IF(AND(C536="Active",Q536=0),"Active Zero Sales","Not Zero Sales")</x:f>
        <x:v>Not Zero Sales</x:v>
      </x:c>
      <x:c r="W536" s="12" t="n">
        <x:f>IF(V536="Active Zero Sales",U536,0)</x:f>
        <x:v>0</x:v>
      </x:c>
      <x:c r="X536" t="str">
        <x:f>IF(E536&lt;25,"Low &lt; 25",IF(E536&lt;100,"Medium 25-99",IF(E536&lt;300,"High 100-299","Premium 300+")))</x:f>
        <x:v>Medium 25-99</x:v>
      </x:c>
      <x:c r="Y536" t="n">
        <x:f>IF(C536="Active",1,0)</x:f>
        <x:v>0</x:v>
      </x:c>
    </x:row>
    <x:row r="537">
      <x:c r="A537" t="str">
        <x:v>SKU00536</x:v>
      </x:c>
      <x:c r="B537" t="str">
        <x:v>Sample Product 00536</x:v>
      </x:c>
      <x:c r="C537" t="str">
        <x:v>Active</x:v>
      </x:c>
      <x:c r="D537" t="str">
        <x:v>2026-06</x:v>
      </x:c>
      <x:c r="E537" s="12" t="n">
        <x:v>7.35</x:v>
      </x:c>
      <x:c r="F537" s="10" t="n">
        <x:v>0.356</x:v>
      </x:c>
      <x:c r="G537" t="str">
        <x:v>Medical Devices</x:v>
      </x:c>
      <x:c r="H537" t="str">
        <x:v>Monitoring Supplies</x:v>
      </x:c>
      <x:c r="I537" t="str">
        <x:v>MFG020</x:v>
      </x:c>
      <x:c r="J537" t="str">
        <x:v>Manufacturer 020</x:v>
      </x:c>
      <x:c r="K537" t="str">
        <x:v>SUP019</x:v>
      </x:c>
      <x:c r="L537" t="str">
        <x:v>Supplier 019</x:v>
      </x:c>
      <x:c r="M537" t="str">
        <x:v>REG-389106</x:v>
      </x:c>
      <x:c r="N537" t="str">
        <x:v>Generic Ingredient 056</x:v>
      </x:c>
      <x:c r="O537" t="str">
        <x:v>General Sale</x:v>
      </x:c>
      <x:c r="P537" t="n">
        <x:v>23</x:v>
      </x:c>
      <x:c r="Q537" t="n">
        <x:v>8</x:v>
      </x:c>
      <x:c r="R537" t="n">
        <x:v>0</x:v>
      </x:c>
      <x:c r="S537" s="12" t="n">
        <x:f>E537*Q537</x:f>
        <x:v>58.8</x:v>
      </x:c>
      <x:c r="T537" s="12" t="n">
        <x:f>ROUND(S537*F537+0.000000001,2)</x:f>
        <x:v>20.93</x:v>
      </x:c>
      <x:c r="U537" s="12" t="n">
        <x:f>E537*R537</x:f>
        <x:v>0</x:v>
      </x:c>
      <x:c r="V537" t="str">
        <x:f>IF(AND(C537="Active",Q537=0),"Active Zero Sales","Not Zero Sales")</x:f>
        <x:v>Not Zero Sales</x:v>
      </x:c>
      <x:c r="W537" s="12" t="n">
        <x:f>IF(V537="Active Zero Sales",U537,0)</x:f>
        <x:v>0</x:v>
      </x:c>
      <x:c r="X537" t="str">
        <x:f>IF(E537&lt;25,"Low &lt; 25",IF(E537&lt;100,"Medium 25-99",IF(E537&lt;300,"High 100-299","Premium 300+")))</x:f>
        <x:v>Low &lt; 25</x:v>
      </x:c>
      <x:c r="Y537" t="n">
        <x:f>IF(C537="Active",1,0)</x:f>
        <x:v>1</x:v>
      </x:c>
    </x:row>
    <x:row r="538">
      <x:c r="A538" t="str">
        <x:v>SKU00537</x:v>
      </x:c>
      <x:c r="B538" t="str">
        <x:v>Sample Product 00537</x:v>
      </x:c>
      <x:c r="C538" t="str">
        <x:v>Active</x:v>
      </x:c>
      <x:c r="D538" t="str">
        <x:v>2026-03</x:v>
      </x:c>
      <x:c r="E538" s="12" t="n">
        <x:v>238.42</x:v>
      </x:c>
      <x:c r="F538" s="10" t="n">
        <x:v>0.416</x:v>
      </x:c>
      <x:c r="G538" t="str">
        <x:v>Nutrition</x:v>
      </x:c>
      <x:c r="H538" t="str">
        <x:v>Healthy Snacks</x:v>
      </x:c>
      <x:c r="I538" t="str">
        <x:v>MFG016</x:v>
      </x:c>
      <x:c r="J538" t="str">
        <x:v>Manufacturer 016</x:v>
      </x:c>
      <x:c r="K538" t="str">
        <x:v>SUP023</x:v>
      </x:c>
      <x:c r="L538" t="str">
        <x:v>Supplier 023</x:v>
      </x:c>
      <x:c r="M538" t="str">
        <x:v>REG-651719</x:v>
      </x:c>
      <x:c r="N538" t="str">
        <x:v>Generic Ingredient 083</x:v>
      </x:c>
      <x:c r="O538" t="str">
        <x:v>General Sale</x:v>
      </x:c>
      <x:c r="P538" t="n">
        <x:v>36</x:v>
      </x:c>
      <x:c r="Q538" t="n">
        <x:v>4</x:v>
      </x:c>
      <x:c r="R538" t="n">
        <x:v>0</x:v>
      </x:c>
      <x:c r="S538" s="12" t="n">
        <x:f>E538*Q538</x:f>
        <x:v>953.68</x:v>
      </x:c>
      <x:c r="T538" s="12" t="n">
        <x:f>ROUND(S538*F538+0.000000001,2)</x:f>
        <x:v>396.73</x:v>
      </x:c>
      <x:c r="U538" s="12" t="n">
        <x:f>E538*R538</x:f>
        <x:v>0</x:v>
      </x:c>
      <x:c r="V538" t="str">
        <x:f>IF(AND(C538="Active",Q538=0),"Active Zero Sales","Not Zero Sales")</x:f>
        <x:v>Not Zero Sales</x:v>
      </x:c>
      <x:c r="W538" s="12" t="n">
        <x:f>IF(V538="Active Zero Sales",U538,0)</x:f>
        <x:v>0</x:v>
      </x:c>
      <x:c r="X538" t="str">
        <x:f>IF(E538&lt;25,"Low &lt; 25",IF(E538&lt;100,"Medium 25-99",IF(E538&lt;300,"High 100-299","Premium 300+")))</x:f>
        <x:v>High 100-299</x:v>
      </x:c>
      <x:c r="Y538" t="n">
        <x:f>IF(C538="Active",1,0)</x:f>
        <x:v>1</x:v>
      </x:c>
    </x:row>
    <x:row r="539">
      <x:c r="A539" t="str">
        <x:v>SKU00538</x:v>
      </x:c>
      <x:c r="B539" t="str">
        <x:v>Sample Product 00538</x:v>
      </x:c>
      <x:c r="C539" t="str">
        <x:v>Active</x:v>
      </x:c>
      <x:c r="D539" t="str">
        <x:v>2026-02</x:v>
      </x:c>
      <x:c r="E539" s="12" t="n">
        <x:v>80.58</x:v>
      </x:c>
      <x:c r="F539" s="10" t="n">
        <x:v>0.42</x:v>
      </x:c>
      <x:c r="G539" t="str">
        <x:v>OTC &amp; Wellness</x:v>
      </x:c>
      <x:c r="H539" t="str">
        <x:v>Pain Relief</x:v>
      </x:c>
      <x:c r="I539" t="str">
        <x:v>MFG001</x:v>
      </x:c>
      <x:c r="J539" t="str">
        <x:v>Manufacturer 001</x:v>
      </x:c>
      <x:c r="K539" t="str">
        <x:v>SUP020</x:v>
      </x:c>
      <x:c r="L539" t="str">
        <x:v>Supplier 020</x:v>
      </x:c>
      <x:c r="M539" t="str">
        <x:v>REG-448845</x:v>
      </x:c>
      <x:c r="N539" t="str">
        <x:v>Generic Ingredient 071</x:v>
      </x:c>
      <x:c r="O539" t="str">
        <x:v>General Sale</x:v>
      </x:c>
      <x:c r="P539" t="n">
        <x:v>11</x:v>
      </x:c>
      <x:c r="Q539" t="n">
        <x:v>9</x:v>
      </x:c>
      <x:c r="R539" t="n">
        <x:v>12</x:v>
      </x:c>
      <x:c r="S539" s="12" t="n">
        <x:f>E539*Q539</x:f>
        <x:v>725.22</x:v>
      </x:c>
      <x:c r="T539" s="12" t="n">
        <x:f>ROUND(S539*F539+0.000000001,2)</x:f>
        <x:v>304.59</x:v>
      </x:c>
      <x:c r="U539" s="12" t="n">
        <x:f>E539*R539</x:f>
        <x:v>966.96</x:v>
      </x:c>
      <x:c r="V539" t="str">
        <x:f>IF(AND(C539="Active",Q539=0),"Active Zero Sales","Not Zero Sales")</x:f>
        <x:v>Not Zero Sales</x:v>
      </x:c>
      <x:c r="W539" s="12" t="n">
        <x:f>IF(V539="Active Zero Sales",U539,0)</x:f>
        <x:v>0</x:v>
      </x:c>
      <x:c r="X539" t="str">
        <x:f>IF(E539&lt;25,"Low &lt; 25",IF(E539&lt;100,"Medium 25-99",IF(E539&lt;300,"High 100-299","Premium 300+")))</x:f>
        <x:v>Medium 25-99</x:v>
      </x:c>
      <x:c r="Y539" t="n">
        <x:f>IF(C539="Active",1,0)</x:f>
        <x:v>1</x:v>
      </x:c>
    </x:row>
    <x:row r="540">
      <x:c r="A540" t="str">
        <x:v>SKU00539</x:v>
      </x:c>
      <x:c r="B540" t="str">
        <x:v>Sample Product 00539</x:v>
      </x:c>
      <x:c r="C540" t="str">
        <x:v>Active</x:v>
      </x:c>
      <x:c r="D540" t="str">
        <x:v>2026-06</x:v>
      </x:c>
      <x:c r="E540" s="12" t="n">
        <x:v>4.22</x:v>
      </x:c>
      <x:c r="F540" s="10" t="n">
        <x:v>0.349</x:v>
      </x:c>
      <x:c r="G540" t="str">
        <x:v>General Merchandise</x:v>
      </x:c>
      <x:c r="H540" t="str">
        <x:v>Baby Essentials</x:v>
      </x:c>
      <x:c r="I540" t="str">
        <x:v>MFG011</x:v>
      </x:c>
      <x:c r="J540" t="str">
        <x:v>Manufacturer 011</x:v>
      </x:c>
      <x:c r="K540" t="str">
        <x:v>SUP005</x:v>
      </x:c>
      <x:c r="L540" t="str">
        <x:v>Supplier 005</x:v>
      </x:c>
      <x:c r="M540" t="str">
        <x:v>REG-750379</x:v>
      </x:c>
      <x:c r="N540" t="str">
        <x:v>Generic Ingredient 119</x:v>
      </x:c>
      <x:c r="O540" t="str">
        <x:v>General Sale</x:v>
      </x:c>
      <x:c r="P540" t="n">
        <x:v>54</x:v>
      </x:c>
      <x:c r="Q540" t="n">
        <x:v>0</x:v>
      </x:c>
      <x:c r="R540" t="n">
        <x:v>10</x:v>
      </x:c>
      <x:c r="S540" s="12" t="n">
        <x:f>E540*Q540</x:f>
        <x:v>0</x:v>
      </x:c>
      <x:c r="T540" s="12" t="n">
        <x:f>ROUND(S540*F540+0.000000001,2)</x:f>
        <x:v>0</x:v>
      </x:c>
      <x:c r="U540" s="12" t="n">
        <x:f>E540*R540</x:f>
        <x:v>42.199999999999996</x:v>
      </x:c>
      <x:c r="V540" t="str">
        <x:f>IF(AND(C540="Active",Q540=0),"Active Zero Sales","Not Zero Sales")</x:f>
        <x:v>Active Zero Sales</x:v>
      </x:c>
      <x:c r="W540" s="12" t="n">
        <x:f>IF(V540="Active Zero Sales",U540,0)</x:f>
        <x:v>42.199999999999996</x:v>
      </x:c>
      <x:c r="X540" t="str">
        <x:f>IF(E540&lt;25,"Low &lt; 25",IF(E540&lt;100,"Medium 25-99",IF(E540&lt;300,"High 100-299","Premium 300+")))</x:f>
        <x:v>Low &lt; 25</x:v>
      </x:c>
      <x:c r="Y540" t="n">
        <x:f>IF(C540="Active",1,0)</x:f>
        <x:v>1</x:v>
      </x:c>
    </x:row>
    <x:row r="541">
      <x:c r="A541" t="str">
        <x:v>SKU00540</x:v>
      </x:c>
      <x:c r="B541" t="str">
        <x:v>Sample Product 00540</x:v>
      </x:c>
      <x:c r="C541" t="str">
        <x:v>Active</x:v>
      </x:c>
      <x:c r="D541" t="str">
        <x:v>2026-04</x:v>
      </x:c>
      <x:c r="E541" s="12" t="n">
        <x:v>66.29</x:v>
      </x:c>
      <x:c r="F541" s="10" t="n">
        <x:v>0.301</x:v>
      </x:c>
      <x:c r="G541" t="str">
        <x:v>Medical Devices</x:v>
      </x:c>
      <x:c r="H541" t="str">
        <x:v>Monitoring Supplies</x:v>
      </x:c>
      <x:c r="I541" t="str">
        <x:v>MFG015</x:v>
      </x:c>
      <x:c r="J541" t="str">
        <x:v>Manufacturer 015</x:v>
      </x:c>
      <x:c r="K541" t="str">
        <x:v>SUP019</x:v>
      </x:c>
      <x:c r="L541" t="str">
        <x:v>Supplier 019</x:v>
      </x:c>
      <x:c r="M541" t="str">
        <x:v>REG-283248</x:v>
      </x:c>
      <x:c r="N541" t="str">
        <x:v>Generic Ingredient 033</x:v>
      </x:c>
      <x:c r="O541" t="str">
        <x:v>General Sale</x:v>
      </x:c>
      <x:c r="P541" t="n">
        <x:v>40</x:v>
      </x:c>
      <x:c r="Q541" t="n">
        <x:v>23</x:v>
      </x:c>
      <x:c r="R541" t="n">
        <x:v>0</x:v>
      </x:c>
      <x:c r="S541" s="12" t="n">
        <x:f>E541*Q541</x:f>
        <x:v>1524.67</x:v>
      </x:c>
      <x:c r="T541" s="12" t="n">
        <x:f>ROUND(S541*F541+0.000000001,2)</x:f>
        <x:v>458.93</x:v>
      </x:c>
      <x:c r="U541" s="12" t="n">
        <x:f>E541*R541</x:f>
        <x:v>0</x:v>
      </x:c>
      <x:c r="V541" t="str">
        <x:f>IF(AND(C541="Active",Q541=0),"Active Zero Sales","Not Zero Sales")</x:f>
        <x:v>Not Zero Sales</x:v>
      </x:c>
      <x:c r="W541" s="12" t="n">
        <x:f>IF(V541="Active Zero Sales",U541,0)</x:f>
        <x:v>0</x:v>
      </x:c>
      <x:c r="X541" t="str">
        <x:f>IF(E541&lt;25,"Low &lt; 25",IF(E541&lt;100,"Medium 25-99",IF(E541&lt;300,"High 100-299","Premium 300+")))</x:f>
        <x:v>Medium 25-99</x:v>
      </x:c>
      <x:c r="Y541" t="n">
        <x:f>IF(C541="Active",1,0)</x:f>
        <x:v>1</x:v>
      </x:c>
    </x:row>
    <x:row r="542">
      <x:c r="A542" t="str">
        <x:v>SKU00541</x:v>
      </x:c>
      <x:c r="B542" t="str">
        <x:v>Sample Product 00541</x:v>
      </x:c>
      <x:c r="C542" t="str">
        <x:v>Active</x:v>
      </x:c>
      <x:c r="D542" t="str">
        <x:v>2026-05</x:v>
      </x:c>
      <x:c r="E542" s="12" t="n">
        <x:v>113.95</x:v>
      </x:c>
      <x:c r="F542" s="10" t="n">
        <x:v>0.338</x:v>
      </x:c>
      <x:c r="G542" t="str">
        <x:v>Medical Devices</x:v>
      </x:c>
      <x:c r="H542" t="str">
        <x:v>Monitoring Supplies</x:v>
      </x:c>
      <x:c r="I542" t="str">
        <x:v>MFG005</x:v>
      </x:c>
      <x:c r="J542" t="str">
        <x:v>Manufacturer 005</x:v>
      </x:c>
      <x:c r="K542" t="str">
        <x:v>SUP030</x:v>
      </x:c>
      <x:c r="L542" t="str">
        <x:v>Supplier 030</x:v>
      </x:c>
      <x:c r="M542" t="str">
        <x:v>REG-333229</x:v>
      </x:c>
      <x:c r="N542" t="str">
        <x:v>Generic Ingredient 002</x:v>
      </x:c>
      <x:c r="O542" t="str">
        <x:v>Pharmacy Only</x:v>
      </x:c>
      <x:c r="P542" t="n">
        <x:v>77</x:v>
      </x:c>
      <x:c r="Q542" t="n">
        <x:v>67</x:v>
      </x:c>
      <x:c r="R542" t="n">
        <x:v>13</x:v>
      </x:c>
      <x:c r="S542" s="12" t="n">
        <x:f>E542*Q542</x:f>
        <x:v>7634.650000000001</x:v>
      </x:c>
      <x:c r="T542" s="12" t="n">
        <x:f>ROUND(S542*F542+0.000000001,2)</x:f>
        <x:v>2580.51</x:v>
      </x:c>
      <x:c r="U542" s="12" t="n">
        <x:f>E542*R542</x:f>
        <x:v>1481.3500000000001</x:v>
      </x:c>
      <x:c r="V542" t="str">
        <x:f>IF(AND(C542="Active",Q542=0),"Active Zero Sales","Not Zero Sales")</x:f>
        <x:v>Not Zero Sales</x:v>
      </x:c>
      <x:c r="W542" s="12" t="n">
        <x:f>IF(V542="Active Zero Sales",U542,0)</x:f>
        <x:v>0</x:v>
      </x:c>
      <x:c r="X542" t="str">
        <x:f>IF(E542&lt;25,"Low &lt; 25",IF(E542&lt;100,"Medium 25-99",IF(E542&lt;300,"High 100-299","Premium 300+")))</x:f>
        <x:v>High 100-299</x:v>
      </x:c>
      <x:c r="Y542" t="n">
        <x:f>IF(C542="Active",1,0)</x:f>
        <x:v>1</x:v>
      </x:c>
    </x:row>
    <x:row r="543">
      <x:c r="A543" t="str">
        <x:v>SKU00542</x:v>
      </x:c>
      <x:c r="B543" t="str">
        <x:v>Sample Product 00542</x:v>
      </x:c>
      <x:c r="C543" t="str">
        <x:v>Active</x:v>
      </x:c>
      <x:c r="D543" t="str">
        <x:v>2026-05</x:v>
      </x:c>
      <x:c r="E543" s="12" t="n">
        <x:v>64.83</x:v>
      </x:c>
      <x:c r="F543" s="10" t="n">
        <x:v>0.484</x:v>
      </x:c>
      <x:c r="G543" t="str">
        <x:v>Personal Care</x:v>
      </x:c>
      <x:c r="H543" t="str">
        <x:v>Skin Care</x:v>
      </x:c>
      <x:c r="I543" t="str">
        <x:v>MFG003</x:v>
      </x:c>
      <x:c r="J543" t="str">
        <x:v>Manufacturer 003</x:v>
      </x:c>
      <x:c r="K543" t="str">
        <x:v>SUP003</x:v>
      </x:c>
      <x:c r="L543" t="str">
        <x:v>Supplier 003</x:v>
      </x:c>
      <x:c r="M543" t="str">
        <x:v>REG-571827</x:v>
      </x:c>
      <x:c r="N543" t="str">
        <x:v>Generic Ingredient 015</x:v>
      </x:c>
      <x:c r="O543" t="str">
        <x:v>General Sale</x:v>
      </x:c>
      <x:c r="P543" t="n">
        <x:v>95</x:v>
      </x:c>
      <x:c r="Q543" t="n">
        <x:v>73</x:v>
      </x:c>
      <x:c r="R543" t="n">
        <x:v>15</x:v>
      </x:c>
      <x:c r="S543" s="12" t="n">
        <x:f>E543*Q543</x:f>
        <x:v>4732.59</x:v>
      </x:c>
      <x:c r="T543" s="12" t="n">
        <x:f>ROUND(S543*F543+0.000000001,2)</x:f>
        <x:v>2290.57</x:v>
      </x:c>
      <x:c r="U543" s="12" t="n">
        <x:f>E543*R543</x:f>
        <x:v>972.4499999999999</x:v>
      </x:c>
      <x:c r="V543" t="str">
        <x:f>IF(AND(C543="Active",Q543=0),"Active Zero Sales","Not Zero Sales")</x:f>
        <x:v>Not Zero Sales</x:v>
      </x:c>
      <x:c r="W543" s="12" t="n">
        <x:f>IF(V543="Active Zero Sales",U543,0)</x:f>
        <x:v>0</x:v>
      </x:c>
      <x:c r="X543" t="str">
        <x:f>IF(E543&lt;25,"Low &lt; 25",IF(E543&lt;100,"Medium 25-99",IF(E543&lt;300,"High 100-299","Premium 300+")))</x:f>
        <x:v>Medium 25-99</x:v>
      </x:c>
      <x:c r="Y543" t="n">
        <x:f>IF(C543="Active",1,0)</x:f>
        <x:v>1</x:v>
      </x:c>
    </x:row>
    <x:row r="544">
      <x:c r="A544" t="str">
        <x:v>SKU00543</x:v>
      </x:c>
      <x:c r="B544" t="str">
        <x:v>Sample Product 00543</x:v>
      </x:c>
      <x:c r="C544" t="str">
        <x:v>Blocked</x:v>
      </x:c>
      <x:c r="D544" t="str">
        <x:v>2026-03</x:v>
      </x:c>
      <x:c r="E544" s="12" t="n">
        <x:v>26.13</x:v>
      </x:c>
      <x:c r="F544" s="10" t="n">
        <x:v>0.342</x:v>
      </x:c>
      <x:c r="G544" t="str">
        <x:v>Nutrition</x:v>
      </x:c>
      <x:c r="H544" t="str">
        <x:v>Healthy Snacks</x:v>
      </x:c>
      <x:c r="I544" t="str">
        <x:v>MFG004</x:v>
      </x:c>
      <x:c r="J544" t="str">
        <x:v>Manufacturer 004</x:v>
      </x:c>
      <x:c r="K544" t="str">
        <x:v>SUP009</x:v>
      </x:c>
      <x:c r="L544" t="str">
        <x:v>Supplier 009</x:v>
      </x:c>
      <x:c r="M544" t="str">
        <x:v>REG-582828</x:v>
      </x:c>
      <x:c r="N544" t="str">
        <x:v>Generic Ingredient 157</x:v>
      </x:c>
      <x:c r="O544" t="str">
        <x:v>General Sale</x:v>
      </x:c>
      <x:c r="P544" t="n">
        <x:v>34</x:v>
      </x:c>
      <x:c r="Q544" t="n">
        <x:v>0</x:v>
      </x:c>
      <x:c r="R544" t="n">
        <x:v>0</x:v>
      </x:c>
      <x:c r="S544" s="12" t="n">
        <x:f>E544*Q544</x:f>
        <x:v>0</x:v>
      </x:c>
      <x:c r="T544" s="12" t="n">
        <x:f>ROUND(S544*F544+0.000000001,2)</x:f>
        <x:v>0</x:v>
      </x:c>
      <x:c r="U544" s="12" t="n">
        <x:f>E544*R544</x:f>
        <x:v>0</x:v>
      </x:c>
      <x:c r="V544" t="str">
        <x:f>IF(AND(C544="Active",Q544=0),"Active Zero Sales","Not Zero Sales")</x:f>
        <x:v>Not Zero Sales</x:v>
      </x:c>
      <x:c r="W544" s="12" t="n">
        <x:f>IF(V544="Active Zero Sales",U544,0)</x:f>
        <x:v>0</x:v>
      </x:c>
      <x:c r="X544" t="str">
        <x:f>IF(E544&lt;25,"Low &lt; 25",IF(E544&lt;100,"Medium 25-99",IF(E544&lt;300,"High 100-299","Premium 300+")))</x:f>
        <x:v>Medium 25-99</x:v>
      </x:c>
      <x:c r="Y544" t="n">
        <x:f>IF(C544="Active",1,0)</x:f>
        <x:v>0</x:v>
      </x:c>
    </x:row>
    <x:row r="545">
      <x:c r="A545" t="str">
        <x:v>SKU00544</x:v>
      </x:c>
      <x:c r="B545" t="str">
        <x:v>Sample Product 00544</x:v>
      </x:c>
      <x:c r="C545" t="str">
        <x:v>Blocked</x:v>
      </x:c>
      <x:c r="D545" t="str">
        <x:v>2026-02</x:v>
      </x:c>
      <x:c r="E545" s="12" t="n">
        <x:v>5.58</x:v>
      </x:c>
      <x:c r="F545" s="10" t="n">
        <x:v>0.329</x:v>
      </x:c>
      <x:c r="G545" t="str">
        <x:v>Nutrition</x:v>
      </x:c>
      <x:c r="H545" t="str">
        <x:v>Adult Nutrition</x:v>
      </x:c>
      <x:c r="I545" t="str">
        <x:v>MFG011</x:v>
      </x:c>
      <x:c r="J545" t="str">
        <x:v>Manufacturer 011</x:v>
      </x:c>
      <x:c r="K545" t="str">
        <x:v>SUP003</x:v>
      </x:c>
      <x:c r="L545" t="str">
        <x:v>Supplier 003</x:v>
      </x:c>
      <x:c r="M545" t="str">
        <x:v>REG-466512</x:v>
      </x:c>
      <x:c r="N545" t="str">
        <x:v>Generic Ingredient 060</x:v>
      </x:c>
      <x:c r="O545" t="str">
        <x:v>General Sale</x:v>
      </x:c>
      <x:c r="P545" t="n">
        <x:v>25</x:v>
      </x:c>
      <x:c r="Q545" t="n">
        <x:v>0</x:v>
      </x:c>
      <x:c r="R545" t="n">
        <x:v>0</x:v>
      </x:c>
      <x:c r="S545" s="12" t="n">
        <x:f>E545*Q545</x:f>
        <x:v>0</x:v>
      </x:c>
      <x:c r="T545" s="12" t="n">
        <x:f>ROUND(S545*F545+0.000000001,2)</x:f>
        <x:v>0</x:v>
      </x:c>
      <x:c r="U545" s="12" t="n">
        <x:f>E545*R545</x:f>
        <x:v>0</x:v>
      </x:c>
      <x:c r="V545" t="str">
        <x:f>IF(AND(C545="Active",Q545=0),"Active Zero Sales","Not Zero Sales")</x:f>
        <x:v>Not Zero Sales</x:v>
      </x:c>
      <x:c r="W545" s="12" t="n">
        <x:f>IF(V545="Active Zero Sales",U545,0)</x:f>
        <x:v>0</x:v>
      </x:c>
      <x:c r="X545" t="str">
        <x:f>IF(E545&lt;25,"Low &lt; 25",IF(E545&lt;100,"Medium 25-99",IF(E545&lt;300,"High 100-299","Premium 300+")))</x:f>
        <x:v>Low &lt; 25</x:v>
      </x:c>
      <x:c r="Y545" t="n">
        <x:f>IF(C545="Active",1,0)</x:f>
        <x:v>0</x:v>
      </x:c>
    </x:row>
    <x:row r="546">
      <x:c r="A546" t="str">
        <x:v>SKU00545</x:v>
      </x:c>
      <x:c r="B546" t="str">
        <x:v>Sample Product 00545</x:v>
      </x:c>
      <x:c r="C546" t="str">
        <x:v>Active</x:v>
      </x:c>
      <x:c r="D546" t="str">
        <x:v>2026-02</x:v>
      </x:c>
      <x:c r="E546" s="12" t="n">
        <x:v>11.5</x:v>
      </x:c>
      <x:c r="F546" s="10" t="n">
        <x:v>0.436</x:v>
      </x:c>
      <x:c r="G546" t="str">
        <x:v>Personal Care</x:v>
      </x:c>
      <x:c r="H546" t="str">
        <x:v>Hygiene</x:v>
      </x:c>
      <x:c r="I546" t="str">
        <x:v>MFG011</x:v>
      </x:c>
      <x:c r="J546" t="str">
        <x:v>Manufacturer 011</x:v>
      </x:c>
      <x:c r="K546" t="str">
        <x:v>SUP007</x:v>
      </x:c>
      <x:c r="L546" t="str">
        <x:v>Supplier 007</x:v>
      </x:c>
      <x:c r="M546" t="str">
        <x:v>REG-285415</x:v>
      </x:c>
      <x:c r="N546" t="str">
        <x:v>Generic Ingredient 052</x:v>
      </x:c>
      <x:c r="O546" t="str">
        <x:v>Restricted Sale</x:v>
      </x:c>
      <x:c r="P546" t="n">
        <x:v>54</x:v>
      </x:c>
      <x:c r="Q546" t="n">
        <x:v>6</x:v>
      </x:c>
      <x:c r="R546" t="n">
        <x:v>25</x:v>
      </x:c>
      <x:c r="S546" s="12" t="n">
        <x:f>E546*Q546</x:f>
        <x:v>69</x:v>
      </x:c>
      <x:c r="T546" s="12" t="n">
        <x:f>ROUND(S546*F546+0.000000001,2)</x:f>
        <x:v>30.08</x:v>
      </x:c>
      <x:c r="U546" s="12" t="n">
        <x:f>E546*R546</x:f>
        <x:v>287.5</x:v>
      </x:c>
      <x:c r="V546" t="str">
        <x:f>IF(AND(C546="Active",Q546=0),"Active Zero Sales","Not Zero Sales")</x:f>
        <x:v>Not Zero Sales</x:v>
      </x:c>
      <x:c r="W546" s="12" t="n">
        <x:f>IF(V546="Active Zero Sales",U546,0)</x:f>
        <x:v>0</x:v>
      </x:c>
      <x:c r="X546" t="str">
        <x:f>IF(E546&lt;25,"Low &lt; 25",IF(E546&lt;100,"Medium 25-99",IF(E546&lt;300,"High 100-299","Premium 300+")))</x:f>
        <x:v>Low &lt; 25</x:v>
      </x:c>
      <x:c r="Y546" t="n">
        <x:f>IF(C546="Active",1,0)</x:f>
        <x:v>1</x:v>
      </x:c>
    </x:row>
    <x:row r="547">
      <x:c r="A547" t="str">
        <x:v>SKU00546</x:v>
      </x:c>
      <x:c r="B547" t="str">
        <x:v>Sample Product 00546</x:v>
      </x:c>
      <x:c r="C547" t="str">
        <x:v>Active</x:v>
      </x:c>
      <x:c r="D547" t="str">
        <x:v>2026-01</x:v>
      </x:c>
      <x:c r="E547" s="12" t="n">
        <x:v>146.49</x:v>
      </x:c>
      <x:c r="F547" s="10" t="n">
        <x:v>0.361</x:v>
      </x:c>
      <x:c r="G547" t="str">
        <x:v>Nutrition</x:v>
      </x:c>
      <x:c r="H547" t="str">
        <x:v>Healthy Snacks</x:v>
      </x:c>
      <x:c r="I547" t="str">
        <x:v>MFG001</x:v>
      </x:c>
      <x:c r="J547" t="str">
        <x:v>Manufacturer 001</x:v>
      </x:c>
      <x:c r="K547" t="str">
        <x:v>SUP009</x:v>
      </x:c>
      <x:c r="L547" t="str">
        <x:v>Supplier 009</x:v>
      </x:c>
      <x:c r="M547" t="str">
        <x:v>REG-678773</x:v>
      </x:c>
      <x:c r="N547" t="str">
        <x:v>Generic Ingredient 101</x:v>
      </x:c>
      <x:c r="O547" t="str">
        <x:v>General Sale</x:v>
      </x:c>
      <x:c r="P547" t="n">
        <x:v>55</x:v>
      </x:c>
      <x:c r="Q547" t="n">
        <x:v>15</x:v>
      </x:c>
      <x:c r="R547" t="n">
        <x:v>0</x:v>
      </x:c>
      <x:c r="S547" s="12" t="n">
        <x:f>E547*Q547</x:f>
        <x:v>2197.3500000000004</x:v>
      </x:c>
      <x:c r="T547" s="12" t="n">
        <x:f>ROUND(S547*F547+0.000000001,2)</x:f>
        <x:v>793.24</x:v>
      </x:c>
      <x:c r="U547" s="12" t="n">
        <x:f>E547*R547</x:f>
        <x:v>0</x:v>
      </x:c>
      <x:c r="V547" t="str">
        <x:f>IF(AND(C547="Active",Q547=0),"Active Zero Sales","Not Zero Sales")</x:f>
        <x:v>Not Zero Sales</x:v>
      </x:c>
      <x:c r="W547" s="12" t="n">
        <x:f>IF(V547="Active Zero Sales",U547,0)</x:f>
        <x:v>0</x:v>
      </x:c>
      <x:c r="X547" t="str">
        <x:f>IF(E547&lt;25,"Low &lt; 25",IF(E547&lt;100,"Medium 25-99",IF(E547&lt;300,"High 100-299","Premium 300+")))</x:f>
        <x:v>High 100-299</x:v>
      </x:c>
      <x:c r="Y547" t="n">
        <x:f>IF(C547="Active",1,0)</x:f>
        <x:v>1</x:v>
      </x:c>
    </x:row>
    <x:row r="548">
      <x:c r="A548" t="str">
        <x:v>SKU00547</x:v>
      </x:c>
      <x:c r="B548" t="str">
        <x:v>Sample Product 00547</x:v>
      </x:c>
      <x:c r="C548" t="str">
        <x:v>Active</x:v>
      </x:c>
      <x:c r="D548" t="str">
        <x:v>2026-06</x:v>
      </x:c>
      <x:c r="E548" s="12" t="n">
        <x:v>22.72</x:v>
      </x:c>
      <x:c r="F548" s="10" t="n">
        <x:v>0.323</x:v>
      </x:c>
      <x:c r="G548" t="str">
        <x:v>Nutrition</x:v>
      </x:c>
      <x:c r="H548" t="str">
        <x:v>Adult Nutrition</x:v>
      </x:c>
      <x:c r="I548" t="str">
        <x:v>MFG004</x:v>
      </x:c>
      <x:c r="J548" t="str">
        <x:v>Manufacturer 004</x:v>
      </x:c>
      <x:c r="K548" t="str">
        <x:v>SUP030</x:v>
      </x:c>
      <x:c r="L548" t="str">
        <x:v>Supplier 030</x:v>
      </x:c>
      <x:c r="M548" t="str">
        <x:v>REG-972580</x:v>
      </x:c>
      <x:c r="N548" t="str">
        <x:v>Generic Ingredient 133</x:v>
      </x:c>
      <x:c r="O548" t="str">
        <x:v>General Sale</x:v>
      </x:c>
      <x:c r="P548" t="n">
        <x:v>47</x:v>
      </x:c>
      <x:c r="Q548" t="n">
        <x:v>21</x:v>
      </x:c>
      <x:c r="R548" t="n">
        <x:v>0</x:v>
      </x:c>
      <x:c r="S548" s="12" t="n">
        <x:f>E548*Q548</x:f>
        <x:v>477.12</x:v>
      </x:c>
      <x:c r="T548" s="12" t="n">
        <x:f>ROUND(S548*F548+0.000000001,2)</x:f>
        <x:v>154.11</x:v>
      </x:c>
      <x:c r="U548" s="12" t="n">
        <x:f>E548*R548</x:f>
        <x:v>0</x:v>
      </x:c>
      <x:c r="V548" t="str">
        <x:f>IF(AND(C548="Active",Q548=0),"Active Zero Sales","Not Zero Sales")</x:f>
        <x:v>Not Zero Sales</x:v>
      </x:c>
      <x:c r="W548" s="12" t="n">
        <x:f>IF(V548="Active Zero Sales",U548,0)</x:f>
        <x:v>0</x:v>
      </x:c>
      <x:c r="X548" t="str">
        <x:f>IF(E548&lt;25,"Low &lt; 25",IF(E548&lt;100,"Medium 25-99",IF(E548&lt;300,"High 100-299","Premium 300+")))</x:f>
        <x:v>Low &lt; 25</x:v>
      </x:c>
      <x:c r="Y548" t="n">
        <x:f>IF(C548="Active",1,0)</x:f>
        <x:v>1</x:v>
      </x:c>
    </x:row>
    <x:row r="549">
      <x:c r="A549" t="str">
        <x:v>SKU00548</x:v>
      </x:c>
      <x:c r="B549" t="str">
        <x:v>Sample Product 00548</x:v>
      </x:c>
      <x:c r="C549" t="str">
        <x:v>Active</x:v>
      </x:c>
      <x:c r="D549" t="str">
        <x:v>2026-04</x:v>
      </x:c>
      <x:c r="E549" s="12" t="n">
        <x:v>30.6</x:v>
      </x:c>
      <x:c r="F549" s="10" t="n">
        <x:v>0.311</x:v>
      </x:c>
      <x:c r="G549" t="str">
        <x:v>OTC &amp; Wellness</x:v>
      </x:c>
      <x:c r="H549" t="str">
        <x:v>Digestive Care</x:v>
      </x:c>
      <x:c r="I549" t="str">
        <x:v>MFG018</x:v>
      </x:c>
      <x:c r="J549" t="str">
        <x:v>Manufacturer 018</x:v>
      </x:c>
      <x:c r="K549" t="str">
        <x:v>SUP027</x:v>
      </x:c>
      <x:c r="L549" t="str">
        <x:v>Supplier 027</x:v>
      </x:c>
      <x:c r="M549" t="str">
        <x:v>REG-740774</x:v>
      </x:c>
      <x:c r="N549" t="str">
        <x:v>Generic Ingredient 102</x:v>
      </x:c>
      <x:c r="O549" t="str">
        <x:v>General Sale</x:v>
      </x:c>
      <x:c r="P549" t="n">
        <x:v>102</x:v>
      </x:c>
      <x:c r="Q549" t="n">
        <x:v>47</x:v>
      </x:c>
      <x:c r="R549" t="n">
        <x:v>9</x:v>
      </x:c>
      <x:c r="S549" s="12" t="n">
        <x:f>E549*Q549</x:f>
        <x:v>1438.2</x:v>
      </x:c>
      <x:c r="T549" s="12" t="n">
        <x:f>ROUND(S549*F549+0.000000001,2)</x:f>
        <x:v>447.28</x:v>
      </x:c>
      <x:c r="U549" s="12" t="n">
        <x:f>E549*R549</x:f>
        <x:v>275.40000000000003</x:v>
      </x:c>
      <x:c r="V549" t="str">
        <x:f>IF(AND(C549="Active",Q549=0),"Active Zero Sales","Not Zero Sales")</x:f>
        <x:v>Not Zero Sales</x:v>
      </x:c>
      <x:c r="W549" s="12" t="n">
        <x:f>IF(V549="Active Zero Sales",U549,0)</x:f>
        <x:v>0</x:v>
      </x:c>
      <x:c r="X549" t="str">
        <x:f>IF(E549&lt;25,"Low &lt; 25",IF(E549&lt;100,"Medium 25-99",IF(E549&lt;300,"High 100-299","Premium 300+")))</x:f>
        <x:v>Medium 25-99</x:v>
      </x:c>
      <x:c r="Y549" t="n">
        <x:f>IF(C549="Active",1,0)</x:f>
        <x:v>1</x:v>
      </x:c>
    </x:row>
    <x:row r="550">
      <x:c r="A550" t="str">
        <x:v>SKU00549</x:v>
      </x:c>
      <x:c r="B550" t="str">
        <x:v>Sample Product 00549</x:v>
      </x:c>
      <x:c r="C550" t="str">
        <x:v>Active</x:v>
      </x:c>
      <x:c r="D550" t="str">
        <x:v>2026-05</x:v>
      </x:c>
      <x:c r="E550" s="12" t="n">
        <x:v>21.51</x:v>
      </x:c>
      <x:c r="F550" s="10" t="n">
        <x:v>0.459</x:v>
      </x:c>
      <x:c r="G550" t="str">
        <x:v>General Merchandise</x:v>
      </x:c>
      <x:c r="H550" t="str">
        <x:v>Baby Essentials</x:v>
      </x:c>
      <x:c r="I550" t="str">
        <x:v>MFG007</x:v>
      </x:c>
      <x:c r="J550" t="str">
        <x:v>Manufacturer 007</x:v>
      </x:c>
      <x:c r="K550" t="str">
        <x:v>SUP015</x:v>
      </x:c>
      <x:c r="L550" t="str">
        <x:v>Supplier 015</x:v>
      </x:c>
      <x:c r="M550" t="str">
        <x:v>REG-189412</x:v>
      </x:c>
      <x:c r="N550" t="str">
        <x:v>Generic Ingredient 110</x:v>
      </x:c>
      <x:c r="O550" t="str">
        <x:v>General Sale</x:v>
      </x:c>
      <x:c r="P550" t="n">
        <x:v>22</x:v>
      </x:c>
      <x:c r="Q550" t="n">
        <x:v>4</x:v>
      </x:c>
      <x:c r="R550" t="n">
        <x:v>15</x:v>
      </x:c>
      <x:c r="S550" s="12" t="n">
        <x:f>E550*Q550</x:f>
        <x:v>86.04</x:v>
      </x:c>
      <x:c r="T550" s="12" t="n">
        <x:f>ROUND(S550*F550+0.000000001,2)</x:f>
        <x:v>39.49</x:v>
      </x:c>
      <x:c r="U550" s="12" t="n">
        <x:f>E550*R550</x:f>
        <x:v>322.65000000000003</x:v>
      </x:c>
      <x:c r="V550" t="str">
        <x:f>IF(AND(C550="Active",Q550=0),"Active Zero Sales","Not Zero Sales")</x:f>
        <x:v>Not Zero Sales</x:v>
      </x:c>
      <x:c r="W550" s="12" t="n">
        <x:f>IF(V550="Active Zero Sales",U550,0)</x:f>
        <x:v>0</x:v>
      </x:c>
      <x:c r="X550" t="str">
        <x:f>IF(E550&lt;25,"Low &lt; 25",IF(E550&lt;100,"Medium 25-99",IF(E550&lt;300,"High 100-299","Premium 300+")))</x:f>
        <x:v>Low &lt; 25</x:v>
      </x:c>
      <x:c r="Y550" t="n">
        <x:f>IF(C550="Active",1,0)</x:f>
        <x:v>1</x:v>
      </x:c>
    </x:row>
    <x:row r="551">
      <x:c r="A551" t="str">
        <x:v>SKU00550</x:v>
      </x:c>
      <x:c r="B551" t="str">
        <x:v>Sample Product 00550</x:v>
      </x:c>
      <x:c r="C551" t="str">
        <x:v>Active</x:v>
      </x:c>
      <x:c r="D551" t="str">
        <x:v>2026-05</x:v>
      </x:c>
      <x:c r="E551" s="12" t="n">
        <x:v>17.61</x:v>
      </x:c>
      <x:c r="F551" s="10" t="n">
        <x:v>0.374</x:v>
      </x:c>
      <x:c r="G551" t="str">
        <x:v>Nutrition</x:v>
      </x:c>
      <x:c r="H551" t="str">
        <x:v>Healthy Snacks</x:v>
      </x:c>
      <x:c r="I551" t="str">
        <x:v>MFG007</x:v>
      </x:c>
      <x:c r="J551" t="str">
        <x:v>Manufacturer 007</x:v>
      </x:c>
      <x:c r="K551" t="str">
        <x:v>SUP029</x:v>
      </x:c>
      <x:c r="L551" t="str">
        <x:v>Supplier 029</x:v>
      </x:c>
      <x:c r="M551" t="str">
        <x:v>REG-667677</x:v>
      </x:c>
      <x:c r="N551" t="str">
        <x:v>Generic Ingredient 005</x:v>
      </x:c>
      <x:c r="O551" t="str">
        <x:v>General Sale</x:v>
      </x:c>
      <x:c r="P551" t="n">
        <x:v>107</x:v>
      </x:c>
      <x:c r="Q551" t="n">
        <x:v>100</x:v>
      </x:c>
      <x:c r="R551" t="n">
        <x:v>15</x:v>
      </x:c>
      <x:c r="S551" s="12" t="n">
        <x:f>E551*Q551</x:f>
        <x:v>1761</x:v>
      </x:c>
      <x:c r="T551" s="12" t="n">
        <x:f>ROUND(S551*F551+0.000000001,2)</x:f>
        <x:v>658.61</x:v>
      </x:c>
      <x:c r="U551" s="12" t="n">
        <x:f>E551*R551</x:f>
        <x:v>264.15</x:v>
      </x:c>
      <x:c r="V551" t="str">
        <x:f>IF(AND(C551="Active",Q551=0),"Active Zero Sales","Not Zero Sales")</x:f>
        <x:v>Not Zero Sales</x:v>
      </x:c>
      <x:c r="W551" s="12" t="n">
        <x:f>IF(V551="Active Zero Sales",U551,0)</x:f>
        <x:v>0</x:v>
      </x:c>
      <x:c r="X551" t="str">
        <x:f>IF(E551&lt;25,"Low &lt; 25",IF(E551&lt;100,"Medium 25-99",IF(E551&lt;300,"High 100-299","Premium 300+")))</x:f>
        <x:v>Low &lt; 25</x:v>
      </x:c>
      <x:c r="Y551" t="n">
        <x:f>IF(C551="Active",1,0)</x:f>
        <x:v>1</x:v>
      </x:c>
    </x:row>
    <x:row r="552">
      <x:c r="A552" t="str">
        <x:v>SKU00551</x:v>
      </x:c>
      <x:c r="B552" t="str">
        <x:v>Sample Product 00551</x:v>
      </x:c>
      <x:c r="C552" t="str">
        <x:v>Active</x:v>
      </x:c>
      <x:c r="D552" t="str">
        <x:v>2026-06</x:v>
      </x:c>
      <x:c r="E552" s="12" t="n">
        <x:v>9.03</x:v>
      </x:c>
      <x:c r="F552" s="10" t="n">
        <x:v>0.131</x:v>
      </x:c>
      <x:c r="G552" t="str">
        <x:v>OTC &amp; Wellness</x:v>
      </x:c>
      <x:c r="H552" t="str">
        <x:v>Vitamins</x:v>
      </x:c>
      <x:c r="I552" t="str">
        <x:v>MFG016</x:v>
      </x:c>
      <x:c r="J552" t="str">
        <x:v>Manufacturer 016</x:v>
      </x:c>
      <x:c r="K552" t="str">
        <x:v>SUP030</x:v>
      </x:c>
      <x:c r="L552" t="str">
        <x:v>Supplier 030</x:v>
      </x:c>
      <x:c r="M552" t="str">
        <x:v>REG-425206</x:v>
      </x:c>
      <x:c r="N552" t="str">
        <x:v>Generic Ingredient 096</x:v>
      </x:c>
      <x:c r="O552" t="str">
        <x:v>General Sale</x:v>
      </x:c>
      <x:c r="P552" t="n">
        <x:v>36</x:v>
      </x:c>
      <x:c r="Q552" t="n">
        <x:v>18</x:v>
      </x:c>
      <x:c r="R552" t="n">
        <x:v>0</x:v>
      </x:c>
      <x:c r="S552" s="12" t="n">
        <x:f>E552*Q552</x:f>
        <x:v>162.54</x:v>
      </x:c>
      <x:c r="T552" s="12" t="n">
        <x:f>ROUND(S552*F552+0.000000001,2)</x:f>
        <x:v>21.29</x:v>
      </x:c>
      <x:c r="U552" s="12" t="n">
        <x:f>E552*R552</x:f>
        <x:v>0</x:v>
      </x:c>
      <x:c r="V552" t="str">
        <x:f>IF(AND(C552="Active",Q552=0),"Active Zero Sales","Not Zero Sales")</x:f>
        <x:v>Not Zero Sales</x:v>
      </x:c>
      <x:c r="W552" s="12" t="n">
        <x:f>IF(V552="Active Zero Sales",U552,0)</x:f>
        <x:v>0</x:v>
      </x:c>
      <x:c r="X552" t="str">
        <x:f>IF(E552&lt;25,"Low &lt; 25",IF(E552&lt;100,"Medium 25-99",IF(E552&lt;300,"High 100-299","Premium 300+")))</x:f>
        <x:v>Low &lt; 25</x:v>
      </x:c>
      <x:c r="Y552" t="n">
        <x:f>IF(C552="Active",1,0)</x:f>
        <x:v>1</x:v>
      </x:c>
    </x:row>
    <x:row r="553">
      <x:c r="A553" t="str">
        <x:v>SKU00552</x:v>
      </x:c>
      <x:c r="B553" t="str">
        <x:v>Sample Product 00552</x:v>
      </x:c>
      <x:c r="C553" t="str">
        <x:v>Active</x:v>
      </x:c>
      <x:c r="D553" t="str">
        <x:v>2026-01</x:v>
      </x:c>
      <x:c r="E553" s="12" t="n">
        <x:v>131.11</x:v>
      </x:c>
      <x:c r="F553" s="10" t="n">
        <x:v>0.403</x:v>
      </x:c>
      <x:c r="G553" t="str">
        <x:v>Personal Care</x:v>
      </x:c>
      <x:c r="H553" t="str">
        <x:v>Skin Care</x:v>
      </x:c>
      <x:c r="I553" t="str">
        <x:v>MFG006</x:v>
      </x:c>
      <x:c r="J553" t="str">
        <x:v>Manufacturer 006</x:v>
      </x:c>
      <x:c r="K553" t="str">
        <x:v>SUP020</x:v>
      </x:c>
      <x:c r="L553" t="str">
        <x:v>Supplier 020</x:v>
      </x:c>
      <x:c r="M553" t="str">
        <x:v>REG-277955</x:v>
      </x:c>
      <x:c r="N553" t="str">
        <x:v>Generic Ingredient 120</x:v>
      </x:c>
      <x:c r="O553" t="str">
        <x:v>Pharmacy Only</x:v>
      </x:c>
      <x:c r="P553" t="n">
        <x:v>56</x:v>
      </x:c>
      <x:c r="Q553" t="n">
        <x:v>40</x:v>
      </x:c>
      <x:c r="R553" t="n">
        <x:v>0</x:v>
      </x:c>
      <x:c r="S553" s="12" t="n">
        <x:f>E553*Q553</x:f>
        <x:v>5244.400000000001</x:v>
      </x:c>
      <x:c r="T553" s="12" t="n">
        <x:f>ROUND(S553*F553+0.000000001,2)</x:f>
        <x:v>2113.49</x:v>
      </x:c>
      <x:c r="U553" s="12" t="n">
        <x:f>E553*R553</x:f>
        <x:v>0</x:v>
      </x:c>
      <x:c r="V553" t="str">
        <x:f>IF(AND(C553="Active",Q553=0),"Active Zero Sales","Not Zero Sales")</x:f>
        <x:v>Not Zero Sales</x:v>
      </x:c>
      <x:c r="W553" s="12" t="n">
        <x:f>IF(V553="Active Zero Sales",U553,0)</x:f>
        <x:v>0</x:v>
      </x:c>
      <x:c r="X553" t="str">
        <x:f>IF(E553&lt;25,"Low &lt; 25",IF(E553&lt;100,"Medium 25-99",IF(E553&lt;300,"High 100-299","Premium 300+")))</x:f>
        <x:v>High 100-299</x:v>
      </x:c>
      <x:c r="Y553" t="n">
        <x:f>IF(C553="Active",1,0)</x:f>
        <x:v>1</x:v>
      </x:c>
    </x:row>
    <x:row r="554">
      <x:c r="A554" t="str">
        <x:v>SKU00553</x:v>
      </x:c>
      <x:c r="B554" t="str">
        <x:v>Sample Product 00553</x:v>
      </x:c>
      <x:c r="C554" t="str">
        <x:v>Active</x:v>
      </x:c>
      <x:c r="D554" t="str">
        <x:v>2026-06</x:v>
      </x:c>
      <x:c r="E554" s="12" t="n">
        <x:v>156.75</x:v>
      </x:c>
      <x:c r="F554" s="10" t="n">
        <x:v>0.304</x:v>
      </x:c>
      <x:c r="G554" t="str">
        <x:v>Nutrition</x:v>
      </x:c>
      <x:c r="H554" t="str">
        <x:v>Sports Nutrition</x:v>
      </x:c>
      <x:c r="I554" t="str">
        <x:v>MFG018</x:v>
      </x:c>
      <x:c r="J554" t="str">
        <x:v>Manufacturer 018</x:v>
      </x:c>
      <x:c r="K554" t="str">
        <x:v>SUP027</x:v>
      </x:c>
      <x:c r="L554" t="str">
        <x:v>Supplier 027</x:v>
      </x:c>
      <x:c r="M554" t="str">
        <x:v>REG-241168</x:v>
      </x:c>
      <x:c r="N554" t="str">
        <x:v>Generic Ingredient 099</x:v>
      </x:c>
      <x:c r="O554" t="str">
        <x:v>General Sale</x:v>
      </x:c>
      <x:c r="P554" t="n">
        <x:v>77</x:v>
      </x:c>
      <x:c r="Q554" t="n">
        <x:v>54</x:v>
      </x:c>
      <x:c r="R554" t="n">
        <x:v>31</x:v>
      </x:c>
      <x:c r="S554" s="12" t="n">
        <x:f>E554*Q554</x:f>
        <x:v>8464.5</x:v>
      </x:c>
      <x:c r="T554" s="12" t="n">
        <x:f>ROUND(S554*F554+0.000000001,2)</x:f>
        <x:v>2573.21</x:v>
      </x:c>
      <x:c r="U554" s="12" t="n">
        <x:f>E554*R554</x:f>
        <x:v>4859.25</x:v>
      </x:c>
      <x:c r="V554" t="str">
        <x:f>IF(AND(C554="Active",Q554=0),"Active Zero Sales","Not Zero Sales")</x:f>
        <x:v>Not Zero Sales</x:v>
      </x:c>
      <x:c r="W554" s="12" t="n">
        <x:f>IF(V554="Active Zero Sales",U554,0)</x:f>
        <x:v>0</x:v>
      </x:c>
      <x:c r="X554" t="str">
        <x:f>IF(E554&lt;25,"Low &lt; 25",IF(E554&lt;100,"Medium 25-99",IF(E554&lt;300,"High 100-299","Premium 300+")))</x:f>
        <x:v>High 100-299</x:v>
      </x:c>
      <x:c r="Y554" t="n">
        <x:f>IF(C554="Active",1,0)</x:f>
        <x:v>1</x:v>
      </x:c>
    </x:row>
    <x:row r="555">
      <x:c r="A555" t="str">
        <x:v>SKU00554</x:v>
      </x:c>
      <x:c r="B555" t="str">
        <x:v>Sample Product 00554</x:v>
      </x:c>
      <x:c r="C555" t="str">
        <x:v>Blocked</x:v>
      </x:c>
      <x:c r="D555" t="str">
        <x:v>2026-06</x:v>
      </x:c>
      <x:c r="E555" s="12" t="n">
        <x:v>44.91</x:v>
      </x:c>
      <x:c r="F555" s="10" t="n">
        <x:v>0.251</x:v>
      </x:c>
      <x:c r="G555" t="str">
        <x:v>Medical Devices</x:v>
      </x:c>
      <x:c r="H555" t="str">
        <x:v>Monitoring Supplies</x:v>
      </x:c>
      <x:c r="I555" t="str">
        <x:v>MFG010</x:v>
      </x:c>
      <x:c r="J555" t="str">
        <x:v>Manufacturer 010</x:v>
      </x:c>
      <x:c r="K555" t="str">
        <x:v>SUP023</x:v>
      </x:c>
      <x:c r="L555" t="str">
        <x:v>Supplier 023</x:v>
      </x:c>
      <x:c r="M555" t="str">
        <x:v>REG-255195</x:v>
      </x:c>
      <x:c r="N555" t="str">
        <x:v>Generic Ingredient 006</x:v>
      </x:c>
      <x:c r="O555" t="str">
        <x:v>General Sale</x:v>
      </x:c>
      <x:c r="P555" t="n">
        <x:v>26</x:v>
      </x:c>
      <x:c r="Q555" t="n">
        <x:v>0</x:v>
      </x:c>
      <x:c r="R555" t="n">
        <x:v>0</x:v>
      </x:c>
      <x:c r="S555" s="12" t="n">
        <x:f>E555*Q555</x:f>
        <x:v>0</x:v>
      </x:c>
      <x:c r="T555" s="12" t="n">
        <x:f>ROUND(S555*F555+0.000000001,2)</x:f>
        <x:v>0</x:v>
      </x:c>
      <x:c r="U555" s="12" t="n">
        <x:f>E555*R555</x:f>
        <x:v>0</x:v>
      </x:c>
      <x:c r="V555" t="str">
        <x:f>IF(AND(C555="Active",Q555=0),"Active Zero Sales","Not Zero Sales")</x:f>
        <x:v>Not Zero Sales</x:v>
      </x:c>
      <x:c r="W555" s="12" t="n">
        <x:f>IF(V555="Active Zero Sales",U555,0)</x:f>
        <x:v>0</x:v>
      </x:c>
      <x:c r="X555" t="str">
        <x:f>IF(E555&lt;25,"Low &lt; 25",IF(E555&lt;100,"Medium 25-99",IF(E555&lt;300,"High 100-299","Premium 300+")))</x:f>
        <x:v>Medium 25-99</x:v>
      </x:c>
      <x:c r="Y555" t="n">
        <x:f>IF(C555="Active",1,0)</x:f>
        <x:v>0</x:v>
      </x:c>
    </x:row>
    <x:row r="556">
      <x:c r="A556" t="str">
        <x:v>SKU00555</x:v>
      </x:c>
      <x:c r="B556" t="str">
        <x:v>Sample Product 00555</x:v>
      </x:c>
      <x:c r="C556" t="str">
        <x:v>Active</x:v>
      </x:c>
      <x:c r="D556" t="str">
        <x:v>2026-06</x:v>
      </x:c>
      <x:c r="E556" s="12" t="n">
        <x:v>61.39</x:v>
      </x:c>
      <x:c r="F556" s="10" t="n">
        <x:v>0.163</x:v>
      </x:c>
      <x:c r="G556" t="str">
        <x:v>General Merchandise</x:v>
      </x:c>
      <x:c r="H556" t="str">
        <x:v>Seasonal Care</x:v>
      </x:c>
      <x:c r="I556" t="str">
        <x:v>MFG004</x:v>
      </x:c>
      <x:c r="J556" t="str">
        <x:v>Manufacturer 004</x:v>
      </x:c>
      <x:c r="K556" t="str">
        <x:v>SUP002</x:v>
      </x:c>
      <x:c r="L556" t="str">
        <x:v>Supplier 002</x:v>
      </x:c>
      <x:c r="M556" t="str">
        <x:v>REG-615124</x:v>
      </x:c>
      <x:c r="N556" t="str">
        <x:v>Generic Ingredient 094</x:v>
      </x:c>
      <x:c r="O556" t="str">
        <x:v>General Sale</x:v>
      </x:c>
      <x:c r="P556" t="n">
        <x:v>17</x:v>
      </x:c>
      <x:c r="Q556" t="n">
        <x:v>27</x:v>
      </x:c>
      <x:c r="R556" t="n">
        <x:v>0</x:v>
      </x:c>
      <x:c r="S556" s="12" t="n">
        <x:f>E556*Q556</x:f>
        <x:v>1657.53</x:v>
      </x:c>
      <x:c r="T556" s="12" t="n">
        <x:f>ROUND(S556*F556+0.000000001,2)</x:f>
        <x:v>270.18</x:v>
      </x:c>
      <x:c r="U556" s="12" t="n">
        <x:f>E556*R556</x:f>
        <x:v>0</x:v>
      </x:c>
      <x:c r="V556" t="str">
        <x:f>IF(AND(C556="Active",Q556=0),"Active Zero Sales","Not Zero Sales")</x:f>
        <x:v>Not Zero Sales</x:v>
      </x:c>
      <x:c r="W556" s="12" t="n">
        <x:f>IF(V556="Active Zero Sales",U556,0)</x:f>
        <x:v>0</x:v>
      </x:c>
      <x:c r="X556" t="str">
        <x:f>IF(E556&lt;25,"Low &lt; 25",IF(E556&lt;100,"Medium 25-99",IF(E556&lt;300,"High 100-299","Premium 300+")))</x:f>
        <x:v>Medium 25-99</x:v>
      </x:c>
      <x:c r="Y556" t="n">
        <x:f>IF(C556="Active",1,0)</x:f>
        <x:v>1</x:v>
      </x:c>
    </x:row>
    <x:row r="557">
      <x:c r="A557" t="str">
        <x:v>SKU00556</x:v>
      </x:c>
      <x:c r="B557" t="str">
        <x:v>Sample Product 00556</x:v>
      </x:c>
      <x:c r="C557" t="str">
        <x:v>Blocked</x:v>
      </x:c>
      <x:c r="D557" t="str">
        <x:v>2026-01</x:v>
      </x:c>
      <x:c r="E557" s="12" t="n">
        <x:v>49.79</x:v>
      </x:c>
      <x:c r="F557" s="10" t="n">
        <x:v>0.31</x:v>
      </x:c>
      <x:c r="G557" t="str">
        <x:v>Personal Care</x:v>
      </x:c>
      <x:c r="H557" t="str">
        <x:v>Hygiene</x:v>
      </x:c>
      <x:c r="I557" t="str">
        <x:v>MFG019</x:v>
      </x:c>
      <x:c r="J557" t="str">
        <x:v>Manufacturer 019</x:v>
      </x:c>
      <x:c r="K557" t="str">
        <x:v>SUP018</x:v>
      </x:c>
      <x:c r="L557" t="str">
        <x:v>Supplier 018</x:v>
      </x:c>
      <x:c r="M557" t="str">
        <x:v>REG-505892</x:v>
      </x:c>
      <x:c r="N557" t="str">
        <x:v>Generic Ingredient 059</x:v>
      </x:c>
      <x:c r="O557" t="str">
        <x:v>Pharmacy Only</x:v>
      </x:c>
      <x:c r="P557" t="n">
        <x:v>0</x:v>
      </x:c>
      <x:c r="Q557" t="n">
        <x:v>0</x:v>
      </x:c>
      <x:c r="R557" t="n">
        <x:v>0</x:v>
      </x:c>
      <x:c r="S557" s="12" t="n">
        <x:f>E557*Q557</x:f>
        <x:v>0</x:v>
      </x:c>
      <x:c r="T557" s="12" t="n">
        <x:f>ROUND(S557*F557+0.000000001,2)</x:f>
        <x:v>0</x:v>
      </x:c>
      <x:c r="U557" s="12" t="n">
        <x:f>E557*R557</x:f>
        <x:v>0</x:v>
      </x:c>
      <x:c r="V557" t="str">
        <x:f>IF(AND(C557="Active",Q557=0),"Active Zero Sales","Not Zero Sales")</x:f>
        <x:v>Not Zero Sales</x:v>
      </x:c>
      <x:c r="W557" s="12" t="n">
        <x:f>IF(V557="Active Zero Sales",U557,0)</x:f>
        <x:v>0</x:v>
      </x:c>
      <x:c r="X557" t="str">
        <x:f>IF(E557&lt;25,"Low &lt; 25",IF(E557&lt;100,"Medium 25-99",IF(E557&lt;300,"High 100-299","Premium 300+")))</x:f>
        <x:v>Medium 25-99</x:v>
      </x:c>
      <x:c r="Y557" t="n">
        <x:f>IF(C557="Active",1,0)</x:f>
        <x:v>0</x:v>
      </x:c>
    </x:row>
    <x:row r="558">
      <x:c r="A558" t="str">
        <x:v>SKU00557</x:v>
      </x:c>
      <x:c r="B558" t="str">
        <x:v>Sample Product 00557</x:v>
      </x:c>
      <x:c r="C558" t="str">
        <x:v>Active</x:v>
      </x:c>
      <x:c r="D558" t="str">
        <x:v>2026-03</x:v>
      </x:c>
      <x:c r="E558" s="12" t="n">
        <x:v>88.61</x:v>
      </x:c>
      <x:c r="F558" s="10" t="n">
        <x:v>0.447</x:v>
      </x:c>
      <x:c r="G558" t="str">
        <x:v>OTC &amp; Wellness</x:v>
      </x:c>
      <x:c r="H558" t="str">
        <x:v>Pain Relief</x:v>
      </x:c>
      <x:c r="I558" t="str">
        <x:v>MFG014</x:v>
      </x:c>
      <x:c r="J558" t="str">
        <x:v>Manufacturer 014</x:v>
      </x:c>
      <x:c r="K558" t="str">
        <x:v>SUP012</x:v>
      </x:c>
      <x:c r="L558" t="str">
        <x:v>Supplier 012</x:v>
      </x:c>
      <x:c r="M558" t="str">
        <x:v>REG-974404</x:v>
      </x:c>
      <x:c r="N558" t="str">
        <x:v>Generic Ingredient 027</x:v>
      </x:c>
      <x:c r="O558" t="str">
        <x:v>General Sale</x:v>
      </x:c>
      <x:c r="P558" t="n">
        <x:v>36</x:v>
      </x:c>
      <x:c r="Q558" t="n">
        <x:v>37</x:v>
      </x:c>
      <x:c r="R558" t="n">
        <x:v>7</x:v>
      </x:c>
      <x:c r="S558" s="12" t="n">
        <x:f>E558*Q558</x:f>
        <x:v>3278.57</x:v>
      </x:c>
      <x:c r="T558" s="12" t="n">
        <x:f>ROUND(S558*F558+0.000000001,2)</x:f>
        <x:v>1465.52</x:v>
      </x:c>
      <x:c r="U558" s="12" t="n">
        <x:f>E558*R558</x:f>
        <x:v>620.27</x:v>
      </x:c>
      <x:c r="V558" t="str">
        <x:f>IF(AND(C558="Active",Q558=0),"Active Zero Sales","Not Zero Sales")</x:f>
        <x:v>Not Zero Sales</x:v>
      </x:c>
      <x:c r="W558" s="12" t="n">
        <x:f>IF(V558="Active Zero Sales",U558,0)</x:f>
        <x:v>0</x:v>
      </x:c>
      <x:c r="X558" t="str">
        <x:f>IF(E558&lt;25,"Low &lt; 25",IF(E558&lt;100,"Medium 25-99",IF(E558&lt;300,"High 100-299","Premium 300+")))</x:f>
        <x:v>Medium 25-99</x:v>
      </x:c>
      <x:c r="Y558" t="n">
        <x:f>IF(C558="Active",1,0)</x:f>
        <x:v>1</x:v>
      </x:c>
    </x:row>
    <x:row r="559">
      <x:c r="A559" t="str">
        <x:v>SKU00558</x:v>
      </x:c>
      <x:c r="B559" t="str">
        <x:v>Sample Product 00558</x:v>
      </x:c>
      <x:c r="C559" t="str">
        <x:v>Active</x:v>
      </x:c>
      <x:c r="D559" t="str">
        <x:v>2026-06</x:v>
      </x:c>
      <x:c r="E559" s="12" t="n">
        <x:v>24.58</x:v>
      </x:c>
      <x:c r="F559" s="10" t="n">
        <x:v>0.364</x:v>
      </x:c>
      <x:c r="G559" t="str">
        <x:v>General Merchandise</x:v>
      </x:c>
      <x:c r="H559" t="str">
        <x:v>Accessories</x:v>
      </x:c>
      <x:c r="I559" t="str">
        <x:v>MFG010</x:v>
      </x:c>
      <x:c r="J559" t="str">
        <x:v>Manufacturer 010</x:v>
      </x:c>
      <x:c r="K559" t="str">
        <x:v>SUP006</x:v>
      </x:c>
      <x:c r="L559" t="str">
        <x:v>Supplier 006</x:v>
      </x:c>
      <x:c r="M559" t="str">
        <x:v>REG-844093</x:v>
      </x:c>
      <x:c r="N559" t="str">
        <x:v>Generic Ingredient 152</x:v>
      </x:c>
      <x:c r="O559" t="str">
        <x:v>General Sale</x:v>
      </x:c>
      <x:c r="P559" t="n">
        <x:v>18</x:v>
      </x:c>
      <x:c r="Q559" t="n">
        <x:v>21</x:v>
      </x:c>
      <x:c r="R559" t="n">
        <x:v>0</x:v>
      </x:c>
      <x:c r="S559" s="12" t="n">
        <x:f>E559*Q559</x:f>
        <x:v>516.18</x:v>
      </x:c>
      <x:c r="T559" s="12" t="n">
        <x:f>ROUND(S559*F559+0.000000001,2)</x:f>
        <x:v>187.89</x:v>
      </x:c>
      <x:c r="U559" s="12" t="n">
        <x:f>E559*R559</x:f>
        <x:v>0</x:v>
      </x:c>
      <x:c r="V559" t="str">
        <x:f>IF(AND(C559="Active",Q559=0),"Active Zero Sales","Not Zero Sales")</x:f>
        <x:v>Not Zero Sales</x:v>
      </x:c>
      <x:c r="W559" s="12" t="n">
        <x:f>IF(V559="Active Zero Sales",U559,0)</x:f>
        <x:v>0</x:v>
      </x:c>
      <x:c r="X559" t="str">
        <x:f>IF(E559&lt;25,"Low &lt; 25",IF(E559&lt;100,"Medium 25-99",IF(E559&lt;300,"High 100-299","Premium 300+")))</x:f>
        <x:v>Low &lt; 25</x:v>
      </x:c>
      <x:c r="Y559" t="n">
        <x:f>IF(C559="Active",1,0)</x:f>
        <x:v>1</x:v>
      </x:c>
    </x:row>
    <x:row r="560">
      <x:c r="A560" t="str">
        <x:v>SKU00559</x:v>
      </x:c>
      <x:c r="B560" t="str">
        <x:v>Sample Product 00559</x:v>
      </x:c>
      <x:c r="C560" t="str">
        <x:v>Active</x:v>
      </x:c>
      <x:c r="D560" t="str">
        <x:v>2026-04</x:v>
      </x:c>
      <x:c r="E560" s="12" t="n">
        <x:v>149.99</x:v>
      </x:c>
      <x:c r="F560" s="10" t="n">
        <x:v>0.302</x:v>
      </x:c>
      <x:c r="G560" t="str">
        <x:v>Nutrition</x:v>
      </x:c>
      <x:c r="H560" t="str">
        <x:v>Hydration</x:v>
      </x:c>
      <x:c r="I560" t="str">
        <x:v>MFG018</x:v>
      </x:c>
      <x:c r="J560" t="str">
        <x:v>Manufacturer 018</x:v>
      </x:c>
      <x:c r="K560" t="str">
        <x:v>SUP001</x:v>
      </x:c>
      <x:c r="L560" t="str">
        <x:v>Supplier 001</x:v>
      </x:c>
      <x:c r="M560" t="str">
        <x:v>REG-759591</x:v>
      </x:c>
      <x:c r="N560" t="str">
        <x:v>Generic Ingredient 053</x:v>
      </x:c>
      <x:c r="O560" t="str">
        <x:v>Restricted Sale</x:v>
      </x:c>
      <x:c r="P560" t="n">
        <x:v>19</x:v>
      </x:c>
      <x:c r="Q560" t="n">
        <x:v>4</x:v>
      </x:c>
      <x:c r="R560" t="n">
        <x:v>0</x:v>
      </x:c>
      <x:c r="S560" s="12" t="n">
        <x:f>E560*Q560</x:f>
        <x:v>599.96</x:v>
      </x:c>
      <x:c r="T560" s="12" t="n">
        <x:f>ROUND(S560*F560+0.000000001,2)</x:f>
        <x:v>181.19</x:v>
      </x:c>
      <x:c r="U560" s="12" t="n">
        <x:f>E560*R560</x:f>
        <x:v>0</x:v>
      </x:c>
      <x:c r="V560" t="str">
        <x:f>IF(AND(C560="Active",Q560=0),"Active Zero Sales","Not Zero Sales")</x:f>
        <x:v>Not Zero Sales</x:v>
      </x:c>
      <x:c r="W560" s="12" t="n">
        <x:f>IF(V560="Active Zero Sales",U560,0)</x:f>
        <x:v>0</x:v>
      </x:c>
      <x:c r="X560" t="str">
        <x:f>IF(E560&lt;25,"Low &lt; 25",IF(E560&lt;100,"Medium 25-99",IF(E560&lt;300,"High 100-299","Premium 300+")))</x:f>
        <x:v>High 100-299</x:v>
      </x:c>
      <x:c r="Y560" t="n">
        <x:f>IF(C560="Active",1,0)</x:f>
        <x:v>1</x:v>
      </x:c>
    </x:row>
    <x:row r="561">
      <x:c r="A561" t="str">
        <x:v>SKU00560</x:v>
      </x:c>
      <x:c r="B561" t="str">
        <x:v>Sample Product 00560</x:v>
      </x:c>
      <x:c r="C561" t="str">
        <x:v>Active</x:v>
      </x:c>
      <x:c r="D561" t="str">
        <x:v>2026-01</x:v>
      </x:c>
      <x:c r="E561" s="12" t="n">
        <x:v>219.9</x:v>
      </x:c>
      <x:c r="F561" s="10" t="n">
        <x:v>0.335</x:v>
      </x:c>
      <x:c r="G561" t="str">
        <x:v>OTC &amp; Wellness</x:v>
      </x:c>
      <x:c r="H561" t="str">
        <x:v>Vitamins</x:v>
      </x:c>
      <x:c r="I561" t="str">
        <x:v>MFG015</x:v>
      </x:c>
      <x:c r="J561" t="str">
        <x:v>Manufacturer 015</x:v>
      </x:c>
      <x:c r="K561" t="str">
        <x:v>SUP002</x:v>
      </x:c>
      <x:c r="L561" t="str">
        <x:v>Supplier 002</x:v>
      </x:c>
      <x:c r="M561" t="str">
        <x:v>REG-381222</x:v>
      </x:c>
      <x:c r="N561" t="str">
        <x:v>Generic Ingredient 150</x:v>
      </x:c>
      <x:c r="O561" t="str">
        <x:v>General Sale</x:v>
      </x:c>
      <x:c r="P561" t="n">
        <x:v>52</x:v>
      </x:c>
      <x:c r="Q561" t="n">
        <x:v>20</x:v>
      </x:c>
      <x:c r="R561" t="n">
        <x:v>0</x:v>
      </x:c>
      <x:c r="S561" s="12" t="n">
        <x:f>E561*Q561</x:f>
        <x:v>4398</x:v>
      </x:c>
      <x:c r="T561" s="12" t="n">
        <x:f>ROUND(S561*F561+0.000000001,2)</x:f>
        <x:v>1473.33</x:v>
      </x:c>
      <x:c r="U561" s="12" t="n">
        <x:f>E561*R561</x:f>
        <x:v>0</x:v>
      </x:c>
      <x:c r="V561" t="str">
        <x:f>IF(AND(C561="Active",Q561=0),"Active Zero Sales","Not Zero Sales")</x:f>
        <x:v>Not Zero Sales</x:v>
      </x:c>
      <x:c r="W561" s="12" t="n">
        <x:f>IF(V561="Active Zero Sales",U561,0)</x:f>
        <x:v>0</x:v>
      </x:c>
      <x:c r="X561" t="str">
        <x:f>IF(E561&lt;25,"Low &lt; 25",IF(E561&lt;100,"Medium 25-99",IF(E561&lt;300,"High 100-299","Premium 300+")))</x:f>
        <x:v>High 100-299</x:v>
      </x:c>
      <x:c r="Y561" t="n">
        <x:f>IF(C561="Active",1,0)</x:f>
        <x:v>1</x:v>
      </x:c>
    </x:row>
    <x:row r="562">
      <x:c r="A562" t="str">
        <x:v>SKU00561</x:v>
      </x:c>
      <x:c r="B562" t="str">
        <x:v>Sample Product 00561</x:v>
      </x:c>
      <x:c r="C562" t="str">
        <x:v>Active</x:v>
      </x:c>
      <x:c r="D562" t="str">
        <x:v>2026-05</x:v>
      </x:c>
      <x:c r="E562" s="12" t="n">
        <x:v>33.6</x:v>
      </x:c>
      <x:c r="F562" s="10" t="n">
        <x:v>0.167</x:v>
      </x:c>
      <x:c r="G562" t="str">
        <x:v>Medical Devices</x:v>
      </x:c>
      <x:c r="H562" t="str">
        <x:v>Home Diagnostics</x:v>
      </x:c>
      <x:c r="I562" t="str">
        <x:v>MFG017</x:v>
      </x:c>
      <x:c r="J562" t="str">
        <x:v>Manufacturer 017</x:v>
      </x:c>
      <x:c r="K562" t="str">
        <x:v>SUP003</x:v>
      </x:c>
      <x:c r="L562" t="str">
        <x:v>Supplier 003</x:v>
      </x:c>
      <x:c r="M562" t="str">
        <x:v>REG-351643</x:v>
      </x:c>
      <x:c r="N562" t="str">
        <x:v>Generic Ingredient 149</x:v>
      </x:c>
      <x:c r="O562" t="str">
        <x:v>Pharmacy Only</x:v>
      </x:c>
      <x:c r="P562" t="n">
        <x:v>46</x:v>
      </x:c>
      <x:c r="Q562" t="n">
        <x:v>20</x:v>
      </x:c>
      <x:c r="R562" t="n">
        <x:v>1</x:v>
      </x:c>
      <x:c r="S562" s="12" t="n">
        <x:f>E562*Q562</x:f>
        <x:v>672</x:v>
      </x:c>
      <x:c r="T562" s="12" t="n">
        <x:f>ROUND(S562*F562+0.000000001,2)</x:f>
        <x:v>112.22</x:v>
      </x:c>
      <x:c r="U562" s="12" t="n">
        <x:f>E562*R562</x:f>
        <x:v>33.6</x:v>
      </x:c>
      <x:c r="V562" t="str">
        <x:f>IF(AND(C562="Active",Q562=0),"Active Zero Sales","Not Zero Sales")</x:f>
        <x:v>Not Zero Sales</x:v>
      </x:c>
      <x:c r="W562" s="12" t="n">
        <x:f>IF(V562="Active Zero Sales",U562,0)</x:f>
        <x:v>0</x:v>
      </x:c>
      <x:c r="X562" t="str">
        <x:f>IF(E562&lt;25,"Low &lt; 25",IF(E562&lt;100,"Medium 25-99",IF(E562&lt;300,"High 100-299","Premium 300+")))</x:f>
        <x:v>Medium 25-99</x:v>
      </x:c>
      <x:c r="Y562" t="n">
        <x:f>IF(C562="Active",1,0)</x:f>
        <x:v>1</x:v>
      </x:c>
    </x:row>
    <x:row r="563">
      <x:c r="A563" t="str">
        <x:v>SKU00562</x:v>
      </x:c>
      <x:c r="B563" t="str">
        <x:v>Sample Product 00562</x:v>
      </x:c>
      <x:c r="C563" t="str">
        <x:v>Blocked</x:v>
      </x:c>
      <x:c r="D563" t="str">
        <x:v>2026-01</x:v>
      </x:c>
      <x:c r="E563" s="12" t="n">
        <x:v>230.92</x:v>
      </x:c>
      <x:c r="F563" s="10" t="n">
        <x:v>0.243</x:v>
      </x:c>
      <x:c r="G563" t="str">
        <x:v>General Merchandise</x:v>
      </x:c>
      <x:c r="H563" t="str">
        <x:v>Accessories</x:v>
      </x:c>
      <x:c r="I563" t="str">
        <x:v>MFG002</x:v>
      </x:c>
      <x:c r="J563" t="str">
        <x:v>Manufacturer 002</x:v>
      </x:c>
      <x:c r="K563" t="str">
        <x:v>SUP003</x:v>
      </x:c>
      <x:c r="L563" t="str">
        <x:v>Supplier 003</x:v>
      </x:c>
      <x:c r="M563" t="str">
        <x:v>REG-634534</x:v>
      </x:c>
      <x:c r="N563" t="str">
        <x:v>Generic Ingredient 058</x:v>
      </x:c>
      <x:c r="O563" t="str">
        <x:v>General Sale</x:v>
      </x:c>
      <x:c r="P563" t="n">
        <x:v>43</x:v>
      </x:c>
      <x:c r="Q563" t="n">
        <x:v>0</x:v>
      </x:c>
      <x:c r="R563" t="n">
        <x:v>0</x:v>
      </x:c>
      <x:c r="S563" s="12" t="n">
        <x:f>E563*Q563</x:f>
        <x:v>0</x:v>
      </x:c>
      <x:c r="T563" s="12" t="n">
        <x:f>ROUND(S563*F563+0.000000001,2)</x:f>
        <x:v>0</x:v>
      </x:c>
      <x:c r="U563" s="12" t="n">
        <x:f>E563*R563</x:f>
        <x:v>0</x:v>
      </x:c>
      <x:c r="V563" t="str">
        <x:f>IF(AND(C563="Active",Q563=0),"Active Zero Sales","Not Zero Sales")</x:f>
        <x:v>Not Zero Sales</x:v>
      </x:c>
      <x:c r="W563" s="12" t="n">
        <x:f>IF(V563="Active Zero Sales",U563,0)</x:f>
        <x:v>0</x:v>
      </x:c>
      <x:c r="X563" t="str">
        <x:f>IF(E563&lt;25,"Low &lt; 25",IF(E563&lt;100,"Medium 25-99",IF(E563&lt;300,"High 100-299","Premium 300+")))</x:f>
        <x:v>High 100-299</x:v>
      </x:c>
      <x:c r="Y563" t="n">
        <x:f>IF(C563="Active",1,0)</x:f>
        <x:v>0</x:v>
      </x:c>
    </x:row>
    <x:row r="564">
      <x:c r="A564" t="str">
        <x:v>SKU00563</x:v>
      </x:c>
      <x:c r="B564" t="str">
        <x:v>Sample Product 00563</x:v>
      </x:c>
      <x:c r="C564" t="str">
        <x:v>Active</x:v>
      </x:c>
      <x:c r="D564" t="str">
        <x:v>2026-01</x:v>
      </x:c>
      <x:c r="E564" s="12" t="n">
        <x:v>36.9</x:v>
      </x:c>
      <x:c r="F564" s="10" t="n">
        <x:v>0.322</x:v>
      </x:c>
      <x:c r="G564" t="str">
        <x:v>Nutrition</x:v>
      </x:c>
      <x:c r="H564" t="str">
        <x:v>Adult Nutrition</x:v>
      </x:c>
      <x:c r="I564" t="str">
        <x:v>MFG010</x:v>
      </x:c>
      <x:c r="J564" t="str">
        <x:v>Manufacturer 010</x:v>
      </x:c>
      <x:c r="K564" t="str">
        <x:v>SUP019</x:v>
      </x:c>
      <x:c r="L564" t="str">
        <x:v>Supplier 019</x:v>
      </x:c>
      <x:c r="M564" t="str">
        <x:v>REG-337479</x:v>
      </x:c>
      <x:c r="N564" t="str">
        <x:v>Generic Ingredient 152</x:v>
      </x:c>
      <x:c r="O564" t="str">
        <x:v>General Sale</x:v>
      </x:c>
      <x:c r="P564" t="n">
        <x:v>61</x:v>
      </x:c>
      <x:c r="Q564" t="n">
        <x:v>34</x:v>
      </x:c>
      <x:c r="R564" t="n">
        <x:v>3</x:v>
      </x:c>
      <x:c r="S564" s="12" t="n">
        <x:f>E564*Q564</x:f>
        <x:v>1254.6</x:v>
      </x:c>
      <x:c r="T564" s="12" t="n">
        <x:f>ROUND(S564*F564+0.000000001,2)</x:f>
        <x:v>403.98</x:v>
      </x:c>
      <x:c r="U564" s="12" t="n">
        <x:f>E564*R564</x:f>
        <x:v>110.69999999999999</x:v>
      </x:c>
      <x:c r="V564" t="str">
        <x:f>IF(AND(C564="Active",Q564=0),"Active Zero Sales","Not Zero Sales")</x:f>
        <x:v>Not Zero Sales</x:v>
      </x:c>
      <x:c r="W564" s="12" t="n">
        <x:f>IF(V564="Active Zero Sales",U564,0)</x:f>
        <x:v>0</x:v>
      </x:c>
      <x:c r="X564" t="str">
        <x:f>IF(E564&lt;25,"Low &lt; 25",IF(E564&lt;100,"Medium 25-99",IF(E564&lt;300,"High 100-299","Premium 300+")))</x:f>
        <x:v>Medium 25-99</x:v>
      </x:c>
      <x:c r="Y564" t="n">
        <x:f>IF(C564="Active",1,0)</x:f>
        <x:v>1</x:v>
      </x:c>
    </x:row>
    <x:row r="565">
      <x:c r="A565" t="str">
        <x:v>SKU00564</x:v>
      </x:c>
      <x:c r="B565" t="str">
        <x:v>Sample Product 00564</x:v>
      </x:c>
      <x:c r="C565" t="str">
        <x:v>Active</x:v>
      </x:c>
      <x:c r="D565" t="str">
        <x:v>2026-02</x:v>
      </x:c>
      <x:c r="E565" s="12" t="n">
        <x:v>32.09</x:v>
      </x:c>
      <x:c r="F565" s="10" t="n">
        <x:v>0.346</x:v>
      </x:c>
      <x:c r="G565" t="str">
        <x:v>Personal Care</x:v>
      </x:c>
      <x:c r="H565" t="str">
        <x:v>Hygiene</x:v>
      </x:c>
      <x:c r="I565" t="str">
        <x:v>MFG016</x:v>
      </x:c>
      <x:c r="J565" t="str">
        <x:v>Manufacturer 016</x:v>
      </x:c>
      <x:c r="K565" t="str">
        <x:v>SUP013</x:v>
      </x:c>
      <x:c r="L565" t="str">
        <x:v>Supplier 013</x:v>
      </x:c>
      <x:c r="M565" t="str">
        <x:v>REG-436907</x:v>
      </x:c>
      <x:c r="N565" t="str">
        <x:v>Generic Ingredient 073</x:v>
      </x:c>
      <x:c r="O565" t="str">
        <x:v>Pharmacy Only</x:v>
      </x:c>
      <x:c r="P565" t="n">
        <x:v>269</x:v>
      </x:c>
      <x:c r="Q565" t="n">
        <x:v>168</x:v>
      </x:c>
      <x:c r="R565" t="n">
        <x:v>68</x:v>
      </x:c>
      <x:c r="S565" s="12" t="n">
        <x:f>E565*Q565</x:f>
        <x:v>5391.120000000001</x:v>
      </x:c>
      <x:c r="T565" s="12" t="n">
        <x:f>ROUND(S565*F565+0.000000001,2)</x:f>
        <x:v>1865.33</x:v>
      </x:c>
      <x:c r="U565" s="12" t="n">
        <x:f>E565*R565</x:f>
        <x:v>2182.1200000000003</x:v>
      </x:c>
      <x:c r="V565" t="str">
        <x:f>IF(AND(C565="Active",Q565=0),"Active Zero Sales","Not Zero Sales")</x:f>
        <x:v>Not Zero Sales</x:v>
      </x:c>
      <x:c r="W565" s="12" t="n">
        <x:f>IF(V565="Active Zero Sales",U565,0)</x:f>
        <x:v>0</x:v>
      </x:c>
      <x:c r="X565" t="str">
        <x:f>IF(E565&lt;25,"Low &lt; 25",IF(E565&lt;100,"Medium 25-99",IF(E565&lt;300,"High 100-299","Premium 300+")))</x:f>
        <x:v>Medium 25-99</x:v>
      </x:c>
      <x:c r="Y565" t="n">
        <x:f>IF(C565="Active",1,0)</x:f>
        <x:v>1</x:v>
      </x:c>
    </x:row>
    <x:row r="566">
      <x:c r="A566" t="str">
        <x:v>SKU00565</x:v>
      </x:c>
      <x:c r="B566" t="str">
        <x:v>Sample Product 00565</x:v>
      </x:c>
      <x:c r="C566" t="str">
        <x:v>Blocked</x:v>
      </x:c>
      <x:c r="D566" t="str">
        <x:v>2026-02</x:v>
      </x:c>
      <x:c r="E566" s="12" t="n">
        <x:v>33.87</x:v>
      </x:c>
      <x:c r="F566" s="10" t="n">
        <x:v>0.284</x:v>
      </x:c>
      <x:c r="G566" t="str">
        <x:v>Nutrition</x:v>
      </x:c>
      <x:c r="H566" t="str">
        <x:v>Sports Nutrition</x:v>
      </x:c>
      <x:c r="I566" t="str">
        <x:v>MFG003</x:v>
      </x:c>
      <x:c r="J566" t="str">
        <x:v>Manufacturer 003</x:v>
      </x:c>
      <x:c r="K566" t="str">
        <x:v>SUP022</x:v>
      </x:c>
      <x:c r="L566" t="str">
        <x:v>Supplier 022</x:v>
      </x:c>
      <x:c r="M566" t="str">
        <x:v>REG-785651</x:v>
      </x:c>
      <x:c r="N566" t="str">
        <x:v>Generic Ingredient 156</x:v>
      </x:c>
      <x:c r="O566" t="str">
        <x:v>Pharmacy Only</x:v>
      </x:c>
      <x:c r="P566" t="n">
        <x:v>37</x:v>
      </x:c>
      <x:c r="Q566" t="n">
        <x:v>0</x:v>
      </x:c>
      <x:c r="R566" t="n">
        <x:v>0</x:v>
      </x:c>
      <x:c r="S566" s="12" t="n">
        <x:f>E566*Q566</x:f>
        <x:v>0</x:v>
      </x:c>
      <x:c r="T566" s="12" t="n">
        <x:f>ROUND(S566*F566+0.000000001,2)</x:f>
        <x:v>0</x:v>
      </x:c>
      <x:c r="U566" s="12" t="n">
        <x:f>E566*R566</x:f>
        <x:v>0</x:v>
      </x:c>
      <x:c r="V566" t="str">
        <x:f>IF(AND(C566="Active",Q566=0),"Active Zero Sales","Not Zero Sales")</x:f>
        <x:v>Not Zero Sales</x:v>
      </x:c>
      <x:c r="W566" s="12" t="n">
        <x:f>IF(V566="Active Zero Sales",U566,0)</x:f>
        <x:v>0</x:v>
      </x:c>
      <x:c r="X566" t="str">
        <x:f>IF(E566&lt;25,"Low &lt; 25",IF(E566&lt;100,"Medium 25-99",IF(E566&lt;300,"High 100-299","Premium 300+")))</x:f>
        <x:v>Medium 25-99</x:v>
      </x:c>
      <x:c r="Y566" t="n">
        <x:f>IF(C566="Active",1,0)</x:f>
        <x:v>0</x:v>
      </x:c>
    </x:row>
    <x:row r="567">
      <x:c r="A567" t="str">
        <x:v>SKU00566</x:v>
      </x:c>
      <x:c r="B567" t="str">
        <x:v>Sample Product 00566</x:v>
      </x:c>
      <x:c r="C567" t="str">
        <x:v>Active</x:v>
      </x:c>
      <x:c r="D567" t="str">
        <x:v>2026-03</x:v>
      </x:c>
      <x:c r="E567" s="12" t="n">
        <x:v>176.63</x:v>
      </x:c>
      <x:c r="F567" s="10" t="n">
        <x:v>0.34</x:v>
      </x:c>
      <x:c r="G567" t="str">
        <x:v>General Merchandise</x:v>
      </x:c>
      <x:c r="H567" t="str">
        <x:v>Seasonal Care</x:v>
      </x:c>
      <x:c r="I567" t="str">
        <x:v>MFG020</x:v>
      </x:c>
      <x:c r="J567" t="str">
        <x:v>Manufacturer 020</x:v>
      </x:c>
      <x:c r="K567" t="str">
        <x:v>SUP001</x:v>
      </x:c>
      <x:c r="L567" t="str">
        <x:v>Supplier 001</x:v>
      </x:c>
      <x:c r="M567" t="str">
        <x:v>REG-553640</x:v>
      </x:c>
      <x:c r="N567" t="str">
        <x:v>Generic Ingredient 104</x:v>
      </x:c>
      <x:c r="O567" t="str">
        <x:v>General Sale</x:v>
      </x:c>
      <x:c r="P567" t="n">
        <x:v>122</x:v>
      </x:c>
      <x:c r="Q567" t="n">
        <x:v>69</x:v>
      </x:c>
      <x:c r="R567" t="n">
        <x:v>15</x:v>
      </x:c>
      <x:c r="S567" s="12" t="n">
        <x:f>E567*Q567</x:f>
        <x:v>12187.47</x:v>
      </x:c>
      <x:c r="T567" s="12" t="n">
        <x:f>ROUND(S567*F567+0.000000001,2)</x:f>
        <x:v>4143.74</x:v>
      </x:c>
      <x:c r="U567" s="12" t="n">
        <x:f>E567*R567</x:f>
        <x:v>2649.45</x:v>
      </x:c>
      <x:c r="V567" t="str">
        <x:f>IF(AND(C567="Active",Q567=0),"Active Zero Sales","Not Zero Sales")</x:f>
        <x:v>Not Zero Sales</x:v>
      </x:c>
      <x:c r="W567" s="12" t="n">
        <x:f>IF(V567="Active Zero Sales",U567,0)</x:f>
        <x:v>0</x:v>
      </x:c>
      <x:c r="X567" t="str">
        <x:f>IF(E567&lt;25,"Low &lt; 25",IF(E567&lt;100,"Medium 25-99",IF(E567&lt;300,"High 100-299","Premium 300+")))</x:f>
        <x:v>High 100-299</x:v>
      </x:c>
      <x:c r="Y567" t="n">
        <x:f>IF(C567="Active",1,0)</x:f>
        <x:v>1</x:v>
      </x:c>
    </x:row>
    <x:row r="568">
      <x:c r="A568" t="str">
        <x:v>SKU00567</x:v>
      </x:c>
      <x:c r="B568" t="str">
        <x:v>Sample Product 00567</x:v>
      </x:c>
      <x:c r="C568" t="str">
        <x:v>Active</x:v>
      </x:c>
      <x:c r="D568" t="str">
        <x:v>2026-06</x:v>
      </x:c>
      <x:c r="E568" s="12" t="n">
        <x:v>218.05</x:v>
      </x:c>
      <x:c r="F568" s="10" t="n">
        <x:v>0.343</x:v>
      </x:c>
      <x:c r="G568" t="str">
        <x:v>Nutrition</x:v>
      </x:c>
      <x:c r="H568" t="str">
        <x:v>Hydration</x:v>
      </x:c>
      <x:c r="I568" t="str">
        <x:v>MFG003</x:v>
      </x:c>
      <x:c r="J568" t="str">
        <x:v>Manufacturer 003</x:v>
      </x:c>
      <x:c r="K568" t="str">
        <x:v>SUP014</x:v>
      </x:c>
      <x:c r="L568" t="str">
        <x:v>Supplier 014</x:v>
      </x:c>
      <x:c r="M568" t="str">
        <x:v>REG-679250</x:v>
      </x:c>
      <x:c r="N568" t="str">
        <x:v>Generic Ingredient 015</x:v>
      </x:c>
      <x:c r="O568" t="str">
        <x:v>General Sale</x:v>
      </x:c>
      <x:c r="P568" t="n">
        <x:v>108</x:v>
      </x:c>
      <x:c r="Q568" t="n">
        <x:v>75</x:v>
      </x:c>
      <x:c r="R568" t="n">
        <x:v>24</x:v>
      </x:c>
      <x:c r="S568" s="12" t="n">
        <x:f>E568*Q568</x:f>
        <x:v>16353.75</x:v>
      </x:c>
      <x:c r="T568" s="12" t="n">
        <x:f>ROUND(S568*F568+0.000000001,2)</x:f>
        <x:v>5609.34</x:v>
      </x:c>
      <x:c r="U568" s="12" t="n">
        <x:f>E568*R568</x:f>
        <x:v>5233.200000000001</x:v>
      </x:c>
      <x:c r="V568" t="str">
        <x:f>IF(AND(C568="Active",Q568=0),"Active Zero Sales","Not Zero Sales")</x:f>
        <x:v>Not Zero Sales</x:v>
      </x:c>
      <x:c r="W568" s="12" t="n">
        <x:f>IF(V568="Active Zero Sales",U568,0)</x:f>
        <x:v>0</x:v>
      </x:c>
      <x:c r="X568" t="str">
        <x:f>IF(E568&lt;25,"Low &lt; 25",IF(E568&lt;100,"Medium 25-99",IF(E568&lt;300,"High 100-299","Premium 300+")))</x:f>
        <x:v>High 100-299</x:v>
      </x:c>
      <x:c r="Y568" t="n">
        <x:f>IF(C568="Active",1,0)</x:f>
        <x:v>1</x:v>
      </x:c>
    </x:row>
    <x:row r="569">
      <x:c r="A569" t="str">
        <x:v>SKU00568</x:v>
      </x:c>
      <x:c r="B569" t="str">
        <x:v>Sample Product 00568</x:v>
      </x:c>
      <x:c r="C569" t="str">
        <x:v>Active</x:v>
      </x:c>
      <x:c r="D569" t="str">
        <x:v>2026-02</x:v>
      </x:c>
      <x:c r="E569" s="12" t="n">
        <x:v>14.07</x:v>
      </x:c>
      <x:c r="F569" s="10" t="n">
        <x:v>0.229</x:v>
      </x:c>
      <x:c r="G569" t="str">
        <x:v>Medical Devices</x:v>
      </x:c>
      <x:c r="H569" t="str">
        <x:v>First Aid</x:v>
      </x:c>
      <x:c r="I569" t="str">
        <x:v>MFG006</x:v>
      </x:c>
      <x:c r="J569" t="str">
        <x:v>Manufacturer 006</x:v>
      </x:c>
      <x:c r="K569" t="str">
        <x:v>SUP010</x:v>
      </x:c>
      <x:c r="L569" t="str">
        <x:v>Supplier 010</x:v>
      </x:c>
      <x:c r="M569" t="str">
        <x:v>REG-100931</x:v>
      </x:c>
      <x:c r="N569" t="str">
        <x:v>Generic Ingredient 068</x:v>
      </x:c>
      <x:c r="O569" t="str">
        <x:v>General Sale</x:v>
      </x:c>
      <x:c r="P569" t="n">
        <x:v>59</x:v>
      </x:c>
      <x:c r="Q569" t="n">
        <x:v>31</x:v>
      </x:c>
      <x:c r="R569" t="n">
        <x:v>6</x:v>
      </x:c>
      <x:c r="S569" s="12" t="n">
        <x:f>E569*Q569</x:f>
        <x:v>436.17</x:v>
      </x:c>
      <x:c r="T569" s="12" t="n">
        <x:f>ROUND(S569*F569+0.000000001,2)</x:f>
        <x:v>99.88</x:v>
      </x:c>
      <x:c r="U569" s="12" t="n">
        <x:f>E569*R569</x:f>
        <x:v>84.42</x:v>
      </x:c>
      <x:c r="V569" t="str">
        <x:f>IF(AND(C569="Active",Q569=0),"Active Zero Sales","Not Zero Sales")</x:f>
        <x:v>Not Zero Sales</x:v>
      </x:c>
      <x:c r="W569" s="12" t="n">
        <x:f>IF(V569="Active Zero Sales",U569,0)</x:f>
        <x:v>0</x:v>
      </x:c>
      <x:c r="X569" t="str">
        <x:f>IF(E569&lt;25,"Low &lt; 25",IF(E569&lt;100,"Medium 25-99",IF(E569&lt;300,"High 100-299","Premium 300+")))</x:f>
        <x:v>Low &lt; 25</x:v>
      </x:c>
      <x:c r="Y569" t="n">
        <x:f>IF(C569="Active",1,0)</x:f>
        <x:v>1</x:v>
      </x:c>
    </x:row>
    <x:row r="570">
      <x:c r="A570" t="str">
        <x:v>SKU00569</x:v>
      </x:c>
      <x:c r="B570" t="str">
        <x:v>Sample Product 00569</x:v>
      </x:c>
      <x:c r="C570" t="str">
        <x:v>Active</x:v>
      </x:c>
      <x:c r="D570" t="str">
        <x:v>2026-01</x:v>
      </x:c>
      <x:c r="E570" s="12" t="n">
        <x:v>40.75</x:v>
      </x:c>
      <x:c r="F570" s="10" t="n">
        <x:v>0.377</x:v>
      </x:c>
      <x:c r="G570" t="str">
        <x:v>Personal Care</x:v>
      </x:c>
      <x:c r="H570" t="str">
        <x:v>Skin Care</x:v>
      </x:c>
      <x:c r="I570" t="str">
        <x:v>MFG019</x:v>
      </x:c>
      <x:c r="J570" t="str">
        <x:v>Manufacturer 019</x:v>
      </x:c>
      <x:c r="K570" t="str">
        <x:v>SUP023</x:v>
      </x:c>
      <x:c r="L570" t="str">
        <x:v>Supplier 023</x:v>
      </x:c>
      <x:c r="M570" t="str">
        <x:v>REG-396437</x:v>
      </x:c>
      <x:c r="N570" t="str">
        <x:v>Generic Ingredient 124</x:v>
      </x:c>
      <x:c r="O570" t="str">
        <x:v>General Sale</x:v>
      </x:c>
      <x:c r="P570" t="n">
        <x:v>84</x:v>
      </x:c>
      <x:c r="Q570" t="n">
        <x:v>16</x:v>
      </x:c>
      <x:c r="R570" t="n">
        <x:v>22</x:v>
      </x:c>
      <x:c r="S570" s="12" t="n">
        <x:f>E570*Q570</x:f>
        <x:v>652</x:v>
      </x:c>
      <x:c r="T570" s="12" t="n">
        <x:f>ROUND(S570*F570+0.000000001,2)</x:f>
        <x:v>245.8</x:v>
      </x:c>
      <x:c r="U570" s="12" t="n">
        <x:f>E570*R570</x:f>
        <x:v>896.5</x:v>
      </x:c>
      <x:c r="V570" t="str">
        <x:f>IF(AND(C570="Active",Q570=0),"Active Zero Sales","Not Zero Sales")</x:f>
        <x:v>Not Zero Sales</x:v>
      </x:c>
      <x:c r="W570" s="12" t="n">
        <x:f>IF(V570="Active Zero Sales",U570,0)</x:f>
        <x:v>0</x:v>
      </x:c>
      <x:c r="X570" t="str">
        <x:f>IF(E570&lt;25,"Low &lt; 25",IF(E570&lt;100,"Medium 25-99",IF(E570&lt;300,"High 100-299","Premium 300+")))</x:f>
        <x:v>Medium 25-99</x:v>
      </x:c>
      <x:c r="Y570" t="n">
        <x:f>IF(C570="Active",1,0)</x:f>
        <x:v>1</x:v>
      </x:c>
    </x:row>
    <x:row r="571">
      <x:c r="A571" t="str">
        <x:v>SKU00570</x:v>
      </x:c>
      <x:c r="B571" t="str">
        <x:v>Sample Product 00570</x:v>
      </x:c>
      <x:c r="C571" t="str">
        <x:v>Active</x:v>
      </x:c>
      <x:c r="D571" t="str">
        <x:v>2026-04</x:v>
      </x:c>
      <x:c r="E571" s="12" t="n">
        <x:v>125.77</x:v>
      </x:c>
      <x:c r="F571" s="10" t="n">
        <x:v>0.409</x:v>
      </x:c>
      <x:c r="G571" t="str">
        <x:v>OTC &amp; Wellness</x:v>
      </x:c>
      <x:c r="H571" t="str">
        <x:v>Digestive Care</x:v>
      </x:c>
      <x:c r="I571" t="str">
        <x:v>MFG003</x:v>
      </x:c>
      <x:c r="J571" t="str">
        <x:v>Manufacturer 003</x:v>
      </x:c>
      <x:c r="K571" t="str">
        <x:v>SUP013</x:v>
      </x:c>
      <x:c r="L571" t="str">
        <x:v>Supplier 013</x:v>
      </x:c>
      <x:c r="M571" t="str">
        <x:v>REG-645502</x:v>
      </x:c>
      <x:c r="N571" t="str">
        <x:v>Generic Ingredient 122</x:v>
      </x:c>
      <x:c r="O571" t="str">
        <x:v>Pharmacy Only</x:v>
      </x:c>
      <x:c r="P571" t="n">
        <x:v>49</x:v>
      </x:c>
      <x:c r="Q571" t="n">
        <x:v>16</x:v>
      </x:c>
      <x:c r="R571" t="n">
        <x:v>0</x:v>
      </x:c>
      <x:c r="S571" s="12" t="n">
        <x:f>E571*Q571</x:f>
        <x:v>2012.32</x:v>
      </x:c>
      <x:c r="T571" s="12" t="n">
        <x:f>ROUND(S571*F571+0.000000001,2)</x:f>
        <x:v>823.04</x:v>
      </x:c>
      <x:c r="U571" s="12" t="n">
        <x:f>E571*R571</x:f>
        <x:v>0</x:v>
      </x:c>
      <x:c r="V571" t="str">
        <x:f>IF(AND(C571="Active",Q571=0),"Active Zero Sales","Not Zero Sales")</x:f>
        <x:v>Not Zero Sales</x:v>
      </x:c>
      <x:c r="W571" s="12" t="n">
        <x:f>IF(V571="Active Zero Sales",U571,0)</x:f>
        <x:v>0</x:v>
      </x:c>
      <x:c r="X571" t="str">
        <x:f>IF(E571&lt;25,"Low &lt; 25",IF(E571&lt;100,"Medium 25-99",IF(E571&lt;300,"High 100-299","Premium 300+")))</x:f>
        <x:v>High 100-299</x:v>
      </x:c>
      <x:c r="Y571" t="n">
        <x:f>IF(C571="Active",1,0)</x:f>
        <x:v>1</x:v>
      </x:c>
    </x:row>
    <x:row r="572">
      <x:c r="A572" t="str">
        <x:v>SKU00571</x:v>
      </x:c>
      <x:c r="B572" t="str">
        <x:v>Sample Product 00571</x:v>
      </x:c>
      <x:c r="C572" t="str">
        <x:v>Active</x:v>
      </x:c>
      <x:c r="D572" t="str">
        <x:v>2026-06</x:v>
      </x:c>
      <x:c r="E572" s="12" t="n">
        <x:v>89.76</x:v>
      </x:c>
      <x:c r="F572" s="10" t="n">
        <x:v>0.283</x:v>
      </x:c>
      <x:c r="G572" t="str">
        <x:v>Medical Devices</x:v>
      </x:c>
      <x:c r="H572" t="str">
        <x:v>First Aid</x:v>
      </x:c>
      <x:c r="I572" t="str">
        <x:v>MFG005</x:v>
      </x:c>
      <x:c r="J572" t="str">
        <x:v>Manufacturer 005</x:v>
      </x:c>
      <x:c r="K572" t="str">
        <x:v>SUP030</x:v>
      </x:c>
      <x:c r="L572" t="str">
        <x:v>Supplier 030</x:v>
      </x:c>
      <x:c r="M572" t="str">
        <x:v>REG-728707</x:v>
      </x:c>
      <x:c r="N572" t="str">
        <x:v>Generic Ingredient 060</x:v>
      </x:c>
      <x:c r="O572" t="str">
        <x:v>General Sale</x:v>
      </x:c>
      <x:c r="P572" t="n">
        <x:v>56</x:v>
      </x:c>
      <x:c r="Q572" t="n">
        <x:v>25</x:v>
      </x:c>
      <x:c r="R572" t="n">
        <x:v>0</x:v>
      </x:c>
      <x:c r="S572" s="12" t="n">
        <x:f>E572*Q572</x:f>
        <x:v>2244</x:v>
      </x:c>
      <x:c r="T572" s="12" t="n">
        <x:f>ROUND(S572*F572+0.000000001,2)</x:f>
        <x:v>635.05</x:v>
      </x:c>
      <x:c r="U572" s="12" t="n">
        <x:f>E572*R572</x:f>
        <x:v>0</x:v>
      </x:c>
      <x:c r="V572" t="str">
        <x:f>IF(AND(C572="Active",Q572=0),"Active Zero Sales","Not Zero Sales")</x:f>
        <x:v>Not Zero Sales</x:v>
      </x:c>
      <x:c r="W572" s="12" t="n">
        <x:f>IF(V572="Active Zero Sales",U572,0)</x:f>
        <x:v>0</x:v>
      </x:c>
      <x:c r="X572" t="str">
        <x:f>IF(E572&lt;25,"Low &lt; 25",IF(E572&lt;100,"Medium 25-99",IF(E572&lt;300,"High 100-299","Premium 300+")))</x:f>
        <x:v>Medium 25-99</x:v>
      </x:c>
      <x:c r="Y572" t="n">
        <x:f>IF(C572="Active",1,0)</x:f>
        <x:v>1</x:v>
      </x:c>
    </x:row>
    <x:row r="573">
      <x:c r="A573" t="str">
        <x:v>SKU00572</x:v>
      </x:c>
      <x:c r="B573" t="str">
        <x:v>Sample Product 00572</x:v>
      </x:c>
      <x:c r="C573" t="str">
        <x:v>Blocked</x:v>
      </x:c>
      <x:c r="D573" t="str">
        <x:v>2026-03</x:v>
      </x:c>
      <x:c r="E573" s="12" t="n">
        <x:v>52.42</x:v>
      </x:c>
      <x:c r="F573" s="10" t="n">
        <x:v>0.387</x:v>
      </x:c>
      <x:c r="G573" t="str">
        <x:v>Nutrition</x:v>
      </x:c>
      <x:c r="H573" t="str">
        <x:v>Healthy Snacks</x:v>
      </x:c>
      <x:c r="I573" t="str">
        <x:v>MFG012</x:v>
      </x:c>
      <x:c r="J573" t="str">
        <x:v>Manufacturer 012</x:v>
      </x:c>
      <x:c r="K573" t="str">
        <x:v>SUP012</x:v>
      </x:c>
      <x:c r="L573" t="str">
        <x:v>Supplier 012</x:v>
      </x:c>
      <x:c r="M573" t="str">
        <x:v>REG-541132</x:v>
      </x:c>
      <x:c r="N573" t="str">
        <x:v>Generic Ingredient 097</x:v>
      </x:c>
      <x:c r="O573" t="str">
        <x:v>General Sale</x:v>
      </x:c>
      <x:c r="P573" t="n">
        <x:v>26</x:v>
      </x:c>
      <x:c r="Q573" t="n">
        <x:v>0</x:v>
      </x:c>
      <x:c r="R573" t="n">
        <x:v>0</x:v>
      </x:c>
      <x:c r="S573" s="12" t="n">
        <x:f>E573*Q573</x:f>
        <x:v>0</x:v>
      </x:c>
      <x:c r="T573" s="12" t="n">
        <x:f>ROUND(S573*F573+0.000000001,2)</x:f>
        <x:v>0</x:v>
      </x:c>
      <x:c r="U573" s="12" t="n">
        <x:f>E573*R573</x:f>
        <x:v>0</x:v>
      </x:c>
      <x:c r="V573" t="str">
        <x:f>IF(AND(C573="Active",Q573=0),"Active Zero Sales","Not Zero Sales")</x:f>
        <x:v>Not Zero Sales</x:v>
      </x:c>
      <x:c r="W573" s="12" t="n">
        <x:f>IF(V573="Active Zero Sales",U573,0)</x:f>
        <x:v>0</x:v>
      </x:c>
      <x:c r="X573" t="str">
        <x:f>IF(E573&lt;25,"Low &lt; 25",IF(E573&lt;100,"Medium 25-99",IF(E573&lt;300,"High 100-299","Premium 300+")))</x:f>
        <x:v>Medium 25-99</x:v>
      </x:c>
      <x:c r="Y573" t="n">
        <x:f>IF(C573="Active",1,0)</x:f>
        <x:v>0</x:v>
      </x:c>
    </x:row>
    <x:row r="574">
      <x:c r="A574" t="str">
        <x:v>SKU00573</x:v>
      </x:c>
      <x:c r="B574" t="str">
        <x:v>Sample Product 00573</x:v>
      </x:c>
      <x:c r="C574" t="str">
        <x:v>Active</x:v>
      </x:c>
      <x:c r="D574" t="str">
        <x:v>2026-04</x:v>
      </x:c>
      <x:c r="E574" s="12" t="n">
        <x:v>22.39</x:v>
      </x:c>
      <x:c r="F574" s="10" t="n">
        <x:v>0.314</x:v>
      </x:c>
      <x:c r="G574" t="str">
        <x:v>Personal Care</x:v>
      </x:c>
      <x:c r="H574" t="str">
        <x:v>Hygiene</x:v>
      </x:c>
      <x:c r="I574" t="str">
        <x:v>MFG003</x:v>
      </x:c>
      <x:c r="J574" t="str">
        <x:v>Manufacturer 003</x:v>
      </x:c>
      <x:c r="K574" t="str">
        <x:v>SUP023</x:v>
      </x:c>
      <x:c r="L574" t="str">
        <x:v>Supplier 023</x:v>
      </x:c>
      <x:c r="M574" t="str">
        <x:v>REG-870577</x:v>
      </x:c>
      <x:c r="N574" t="str">
        <x:v>Generic Ingredient 110</x:v>
      </x:c>
      <x:c r="O574" t="str">
        <x:v>Restricted Sale</x:v>
      </x:c>
      <x:c r="P574" t="n">
        <x:v>28</x:v>
      </x:c>
      <x:c r="Q574" t="n">
        <x:v>21</x:v>
      </x:c>
      <x:c r="R574" t="n">
        <x:v>0</x:v>
      </x:c>
      <x:c r="S574" s="12" t="n">
        <x:f>E574*Q574</x:f>
        <x:v>470.19</x:v>
      </x:c>
      <x:c r="T574" s="12" t="n">
        <x:f>ROUND(S574*F574+0.000000001,2)</x:f>
        <x:v>147.64</x:v>
      </x:c>
      <x:c r="U574" s="12" t="n">
        <x:f>E574*R574</x:f>
        <x:v>0</x:v>
      </x:c>
      <x:c r="V574" t="str">
        <x:f>IF(AND(C574="Active",Q574=0),"Active Zero Sales","Not Zero Sales")</x:f>
        <x:v>Not Zero Sales</x:v>
      </x:c>
      <x:c r="W574" s="12" t="n">
        <x:f>IF(V574="Active Zero Sales",U574,0)</x:f>
        <x:v>0</x:v>
      </x:c>
      <x:c r="X574" t="str">
        <x:f>IF(E574&lt;25,"Low &lt; 25",IF(E574&lt;100,"Medium 25-99",IF(E574&lt;300,"High 100-299","Premium 300+")))</x:f>
        <x:v>Low &lt; 25</x:v>
      </x:c>
      <x:c r="Y574" t="n">
        <x:f>IF(C574="Active",1,0)</x:f>
        <x:v>1</x:v>
      </x:c>
    </x:row>
    <x:row r="575">
      <x:c r="A575" t="str">
        <x:v>SKU00574</x:v>
      </x:c>
      <x:c r="B575" t="str">
        <x:v>Sample Product 00574</x:v>
      </x:c>
      <x:c r="C575" t="str">
        <x:v>Active</x:v>
      </x:c>
      <x:c r="D575" t="str">
        <x:v>2026-05</x:v>
      </x:c>
      <x:c r="E575" s="12" t="n">
        <x:v>61.72</x:v>
      </x:c>
      <x:c r="F575" s="10" t="n">
        <x:v>0.502</x:v>
      </x:c>
      <x:c r="G575" t="str">
        <x:v>Personal Care</x:v>
      </x:c>
      <x:c r="H575" t="str">
        <x:v>Skin Care</x:v>
      </x:c>
      <x:c r="I575" t="str">
        <x:v>MFG014</x:v>
      </x:c>
      <x:c r="J575" t="str">
        <x:v>Manufacturer 014</x:v>
      </x:c>
      <x:c r="K575" t="str">
        <x:v>SUP013</x:v>
      </x:c>
      <x:c r="L575" t="str">
        <x:v>Supplier 013</x:v>
      </x:c>
      <x:c r="M575" t="str">
        <x:v>REG-982216</x:v>
      </x:c>
      <x:c r="N575" t="str">
        <x:v>Generic Ingredient 173</x:v>
      </x:c>
      <x:c r="O575" t="str">
        <x:v>Pharmacy Only</x:v>
      </x:c>
      <x:c r="P575" t="n">
        <x:v>35</x:v>
      </x:c>
      <x:c r="Q575" t="n">
        <x:v>12</x:v>
      </x:c>
      <x:c r="R575" t="n">
        <x:v>8</x:v>
      </x:c>
      <x:c r="S575" s="12" t="n">
        <x:f>E575*Q575</x:f>
        <x:v>740.64</x:v>
      </x:c>
      <x:c r="T575" s="12" t="n">
        <x:f>ROUND(S575*F575+0.000000001,2)</x:f>
        <x:v>371.8</x:v>
      </x:c>
      <x:c r="U575" s="12" t="n">
        <x:f>E575*R575</x:f>
        <x:v>493.76</x:v>
      </x:c>
      <x:c r="V575" t="str">
        <x:f>IF(AND(C575="Active",Q575=0),"Active Zero Sales","Not Zero Sales")</x:f>
        <x:v>Not Zero Sales</x:v>
      </x:c>
      <x:c r="W575" s="12" t="n">
        <x:f>IF(V575="Active Zero Sales",U575,0)</x:f>
        <x:v>0</x:v>
      </x:c>
      <x:c r="X575" t="str">
        <x:f>IF(E575&lt;25,"Low &lt; 25",IF(E575&lt;100,"Medium 25-99",IF(E575&lt;300,"High 100-299","Premium 300+")))</x:f>
        <x:v>Medium 25-99</x:v>
      </x:c>
      <x:c r="Y575" t="n">
        <x:f>IF(C575="Active",1,0)</x:f>
        <x:v>1</x:v>
      </x:c>
    </x:row>
    <x:row r="576">
      <x:c r="A576" t="str">
        <x:v>SKU00575</x:v>
      </x:c>
      <x:c r="B576" t="str">
        <x:v>Sample Product 00575</x:v>
      </x:c>
      <x:c r="C576" t="str">
        <x:v>Active</x:v>
      </x:c>
      <x:c r="D576" t="str">
        <x:v>2026-02</x:v>
      </x:c>
      <x:c r="E576" s="12" t="n">
        <x:v>401.55</x:v>
      </x:c>
      <x:c r="F576" s="10" t="n">
        <x:v>0.369</x:v>
      </x:c>
      <x:c r="G576" t="str">
        <x:v>Nutrition</x:v>
      </x:c>
      <x:c r="H576" t="str">
        <x:v>Hydration</x:v>
      </x:c>
      <x:c r="I576" t="str">
        <x:v>MFG005</x:v>
      </x:c>
      <x:c r="J576" t="str">
        <x:v>Manufacturer 005</x:v>
      </x:c>
      <x:c r="K576" t="str">
        <x:v>SUP004</x:v>
      </x:c>
      <x:c r="L576" t="str">
        <x:v>Supplier 004</x:v>
      </x:c>
      <x:c r="M576" t="str">
        <x:v>REG-931807</x:v>
      </x:c>
      <x:c r="N576" t="str">
        <x:v>Generic Ingredient 164</x:v>
      </x:c>
      <x:c r="O576" t="str">
        <x:v>General Sale</x:v>
      </x:c>
      <x:c r="P576" t="n">
        <x:v>51</x:v>
      </x:c>
      <x:c r="Q576" t="n">
        <x:v>18</x:v>
      </x:c>
      <x:c r="R576" t="n">
        <x:v>9</x:v>
      </x:c>
      <x:c r="S576" s="12" t="n">
        <x:f>E576*Q576</x:f>
        <x:v>7227.900000000001</x:v>
      </x:c>
      <x:c r="T576" s="12" t="n">
        <x:f>ROUND(S576*F576+0.000000001,2)</x:f>
        <x:v>2667.1</x:v>
      </x:c>
      <x:c r="U576" s="12" t="n">
        <x:f>E576*R576</x:f>
        <x:v>3613.9500000000003</x:v>
      </x:c>
      <x:c r="V576" t="str">
        <x:f>IF(AND(C576="Active",Q576=0),"Active Zero Sales","Not Zero Sales")</x:f>
        <x:v>Not Zero Sales</x:v>
      </x:c>
      <x:c r="W576" s="12" t="n">
        <x:f>IF(V576="Active Zero Sales",U576,0)</x:f>
        <x:v>0</x:v>
      </x:c>
      <x:c r="X576" t="str">
        <x:f>IF(E576&lt;25,"Low &lt; 25",IF(E576&lt;100,"Medium 25-99",IF(E576&lt;300,"High 100-299","Premium 300+")))</x:f>
        <x:v>Premium 300+</x:v>
      </x:c>
      <x:c r="Y576" t="n">
        <x:f>IF(C576="Active",1,0)</x:f>
        <x:v>1</x:v>
      </x:c>
    </x:row>
    <x:row r="577">
      <x:c r="A577" t="str">
        <x:v>SKU00576</x:v>
      </x:c>
      <x:c r="B577" t="str">
        <x:v>Sample Product 00576</x:v>
      </x:c>
      <x:c r="C577" t="str">
        <x:v>Active</x:v>
      </x:c>
      <x:c r="D577" t="str">
        <x:v>2026-01</x:v>
      </x:c>
      <x:c r="E577" s="12" t="n">
        <x:v>7.89</x:v>
      </x:c>
      <x:c r="F577" s="10" t="n">
        <x:v>0.48</x:v>
      </x:c>
      <x:c r="G577" t="str">
        <x:v>Personal Care</x:v>
      </x:c>
      <x:c r="H577" t="str">
        <x:v>Hair Care</x:v>
      </x:c>
      <x:c r="I577" t="str">
        <x:v>MFG003</x:v>
      </x:c>
      <x:c r="J577" t="str">
        <x:v>Manufacturer 003</x:v>
      </x:c>
      <x:c r="K577" t="str">
        <x:v>SUP030</x:v>
      </x:c>
      <x:c r="L577" t="str">
        <x:v>Supplier 030</x:v>
      </x:c>
      <x:c r="M577" t="str">
        <x:v>REG-892836</x:v>
      </x:c>
      <x:c r="N577" t="str">
        <x:v>Generic Ingredient 062</x:v>
      </x:c>
      <x:c r="O577" t="str">
        <x:v>General Sale</x:v>
      </x:c>
      <x:c r="P577" t="n">
        <x:v>32</x:v>
      </x:c>
      <x:c r="Q577" t="n">
        <x:v>7</x:v>
      </x:c>
      <x:c r="R577" t="n">
        <x:v>0</x:v>
      </x:c>
      <x:c r="S577" s="12" t="n">
        <x:f>E577*Q577</x:f>
        <x:v>55.23</x:v>
      </x:c>
      <x:c r="T577" s="12" t="n">
        <x:f>ROUND(S577*F577+0.000000001,2)</x:f>
        <x:v>26.51</x:v>
      </x:c>
      <x:c r="U577" s="12" t="n">
        <x:f>E577*R577</x:f>
        <x:v>0</x:v>
      </x:c>
      <x:c r="V577" t="str">
        <x:f>IF(AND(C577="Active",Q577=0),"Active Zero Sales","Not Zero Sales")</x:f>
        <x:v>Not Zero Sales</x:v>
      </x:c>
      <x:c r="W577" s="12" t="n">
        <x:f>IF(V577="Active Zero Sales",U577,0)</x:f>
        <x:v>0</x:v>
      </x:c>
      <x:c r="X577" t="str">
        <x:f>IF(E577&lt;25,"Low &lt; 25",IF(E577&lt;100,"Medium 25-99",IF(E577&lt;300,"High 100-299","Premium 300+")))</x:f>
        <x:v>Low &lt; 25</x:v>
      </x:c>
      <x:c r="Y577" t="n">
        <x:f>IF(C577="Active",1,0)</x:f>
        <x:v>1</x:v>
      </x:c>
    </x:row>
    <x:row r="578">
      <x:c r="A578" t="str">
        <x:v>SKU00577</x:v>
      </x:c>
      <x:c r="B578" t="str">
        <x:v>Sample Product 00577</x:v>
      </x:c>
      <x:c r="C578" t="str">
        <x:v>Active</x:v>
      </x:c>
      <x:c r="D578" t="str">
        <x:v>2026-03</x:v>
      </x:c>
      <x:c r="E578" s="12" t="n">
        <x:v>24.74</x:v>
      </x:c>
      <x:c r="F578" s="10" t="n">
        <x:v>0.211</x:v>
      </x:c>
      <x:c r="G578" t="str">
        <x:v>Medical Devices</x:v>
      </x:c>
      <x:c r="H578" t="str">
        <x:v>First Aid</x:v>
      </x:c>
      <x:c r="I578" t="str">
        <x:v>MFG018</x:v>
      </x:c>
      <x:c r="J578" t="str">
        <x:v>Manufacturer 018</x:v>
      </x:c>
      <x:c r="K578" t="str">
        <x:v>SUP009</x:v>
      </x:c>
      <x:c r="L578" t="str">
        <x:v>Supplier 009</x:v>
      </x:c>
      <x:c r="M578" t="str">
        <x:v>REG-193057</x:v>
      </x:c>
      <x:c r="N578" t="str">
        <x:v>Generic Ingredient 063</x:v>
      </x:c>
      <x:c r="O578" t="str">
        <x:v>General Sale</x:v>
      </x:c>
      <x:c r="P578" t="n">
        <x:v>18</x:v>
      </x:c>
      <x:c r="Q578" t="n">
        <x:v>13</x:v>
      </x:c>
      <x:c r="R578" t="n">
        <x:v>2</x:v>
      </x:c>
      <x:c r="S578" s="12" t="n">
        <x:f>E578*Q578</x:f>
        <x:v>321.62</x:v>
      </x:c>
      <x:c r="T578" s="12" t="n">
        <x:f>ROUND(S578*F578+0.000000001,2)</x:f>
        <x:v>67.86</x:v>
      </x:c>
      <x:c r="U578" s="12" t="n">
        <x:f>E578*R578</x:f>
        <x:v>49.48</x:v>
      </x:c>
      <x:c r="V578" t="str">
        <x:f>IF(AND(C578="Active",Q578=0),"Active Zero Sales","Not Zero Sales")</x:f>
        <x:v>Not Zero Sales</x:v>
      </x:c>
      <x:c r="W578" s="12" t="n">
        <x:f>IF(V578="Active Zero Sales",U578,0)</x:f>
        <x:v>0</x:v>
      </x:c>
      <x:c r="X578" t="str">
        <x:f>IF(E578&lt;25,"Low &lt; 25",IF(E578&lt;100,"Medium 25-99",IF(E578&lt;300,"High 100-299","Premium 300+")))</x:f>
        <x:v>Low &lt; 25</x:v>
      </x:c>
      <x:c r="Y578" t="n">
        <x:f>IF(C578="Active",1,0)</x:f>
        <x:v>1</x:v>
      </x:c>
    </x:row>
    <x:row r="579">
      <x:c r="A579" t="str">
        <x:v>SKU00578</x:v>
      </x:c>
      <x:c r="B579" t="str">
        <x:v>Sample Product 00578</x:v>
      </x:c>
      <x:c r="C579" t="str">
        <x:v>Active</x:v>
      </x:c>
      <x:c r="D579" t="str">
        <x:v>2026-05</x:v>
      </x:c>
      <x:c r="E579" s="12" t="n">
        <x:v>33.63</x:v>
      </x:c>
      <x:c r="F579" s="10" t="n">
        <x:v>0.186</x:v>
      </x:c>
      <x:c r="G579" t="str">
        <x:v>Medical Devices</x:v>
      </x:c>
      <x:c r="H579" t="str">
        <x:v>Home Diagnostics</x:v>
      </x:c>
      <x:c r="I579" t="str">
        <x:v>MFG014</x:v>
      </x:c>
      <x:c r="J579" t="str">
        <x:v>Manufacturer 014</x:v>
      </x:c>
      <x:c r="K579" t="str">
        <x:v>SUP003</x:v>
      </x:c>
      <x:c r="L579" t="str">
        <x:v>Supplier 003</x:v>
      </x:c>
      <x:c r="M579" t="str">
        <x:v>REG-117027</x:v>
      </x:c>
      <x:c r="N579" t="str">
        <x:v>Generic Ingredient 153</x:v>
      </x:c>
      <x:c r="O579" t="str">
        <x:v>General Sale</x:v>
      </x:c>
      <x:c r="P579" t="n">
        <x:v>37</x:v>
      </x:c>
      <x:c r="Q579" t="n">
        <x:v>7</x:v>
      </x:c>
      <x:c r="R579" t="n">
        <x:v>0</x:v>
      </x:c>
      <x:c r="S579" s="12" t="n">
        <x:f>E579*Q579</x:f>
        <x:v>235.41000000000003</x:v>
      </x:c>
      <x:c r="T579" s="12" t="n">
        <x:f>ROUND(S579*F579+0.000000001,2)</x:f>
        <x:v>43.79</x:v>
      </x:c>
      <x:c r="U579" s="12" t="n">
        <x:f>E579*R579</x:f>
        <x:v>0</x:v>
      </x:c>
      <x:c r="V579" t="str">
        <x:f>IF(AND(C579="Active",Q579=0),"Active Zero Sales","Not Zero Sales")</x:f>
        <x:v>Not Zero Sales</x:v>
      </x:c>
      <x:c r="W579" s="12" t="n">
        <x:f>IF(V579="Active Zero Sales",U579,0)</x:f>
        <x:v>0</x:v>
      </x:c>
      <x:c r="X579" t="str">
        <x:f>IF(E579&lt;25,"Low &lt; 25",IF(E579&lt;100,"Medium 25-99",IF(E579&lt;300,"High 100-299","Premium 300+")))</x:f>
        <x:v>Medium 25-99</x:v>
      </x:c>
      <x:c r="Y579" t="n">
        <x:f>IF(C579="Active",1,0)</x:f>
        <x:v>1</x:v>
      </x:c>
    </x:row>
    <x:row r="580">
      <x:c r="A580" t="str">
        <x:v>SKU00579</x:v>
      </x:c>
      <x:c r="B580" t="str">
        <x:v>Sample Product 00579</x:v>
      </x:c>
      <x:c r="C580" t="str">
        <x:v>Active</x:v>
      </x:c>
      <x:c r="D580" t="str">
        <x:v>2026-03</x:v>
      </x:c>
      <x:c r="E580" s="12" t="n">
        <x:v>161.2</x:v>
      </x:c>
      <x:c r="F580" s="10" t="n">
        <x:v>0.431</x:v>
      </x:c>
      <x:c r="G580" t="str">
        <x:v>OTC &amp; Wellness</x:v>
      </x:c>
      <x:c r="H580" t="str">
        <x:v>Pain Relief</x:v>
      </x:c>
      <x:c r="I580" t="str">
        <x:v>MFG014</x:v>
      </x:c>
      <x:c r="J580" t="str">
        <x:v>Manufacturer 014</x:v>
      </x:c>
      <x:c r="K580" t="str">
        <x:v>SUP008</x:v>
      </x:c>
      <x:c r="L580" t="str">
        <x:v>Supplier 008</x:v>
      </x:c>
      <x:c r="M580" t="str">
        <x:v>REG-390732</x:v>
      </x:c>
      <x:c r="N580" t="str">
        <x:v>Generic Ingredient 113</x:v>
      </x:c>
      <x:c r="O580" t="str">
        <x:v>Pharmacy Only</x:v>
      </x:c>
      <x:c r="P580" t="n">
        <x:v>26</x:v>
      </x:c>
      <x:c r="Q580" t="n">
        <x:v>3</x:v>
      </x:c>
      <x:c r="R580" t="n">
        <x:v>7</x:v>
      </x:c>
      <x:c r="S580" s="12" t="n">
        <x:f>E580*Q580</x:f>
        <x:v>483.59999999999997</x:v>
      </x:c>
      <x:c r="T580" s="12" t="n">
        <x:f>ROUND(S580*F580+0.000000001,2)</x:f>
        <x:v>208.43</x:v>
      </x:c>
      <x:c r="U580" s="12" t="n">
        <x:f>E580*R580</x:f>
        <x:v>1128.3999999999999</x:v>
      </x:c>
      <x:c r="V580" t="str">
        <x:f>IF(AND(C580="Active",Q580=0),"Active Zero Sales","Not Zero Sales")</x:f>
        <x:v>Not Zero Sales</x:v>
      </x:c>
      <x:c r="W580" s="12" t="n">
        <x:f>IF(V580="Active Zero Sales",U580,0)</x:f>
        <x:v>0</x:v>
      </x:c>
      <x:c r="X580" t="str">
        <x:f>IF(E580&lt;25,"Low &lt; 25",IF(E580&lt;100,"Medium 25-99",IF(E580&lt;300,"High 100-299","Premium 300+")))</x:f>
        <x:v>High 100-299</x:v>
      </x:c>
      <x:c r="Y580" t="n">
        <x:f>IF(C580="Active",1,0)</x:f>
        <x:v>1</x:v>
      </x:c>
    </x:row>
    <x:row r="581">
      <x:c r="A581" t="str">
        <x:v>SKU00580</x:v>
      </x:c>
      <x:c r="B581" t="str">
        <x:v>Sample Product 00580</x:v>
      </x:c>
      <x:c r="C581" t="str">
        <x:v>Active</x:v>
      </x:c>
      <x:c r="D581" t="str">
        <x:v>2026-06</x:v>
      </x:c>
      <x:c r="E581" s="12" t="n">
        <x:v>295.01</x:v>
      </x:c>
      <x:c r="F581" s="10" t="n">
        <x:v>0.458</x:v>
      </x:c>
      <x:c r="G581" t="str">
        <x:v>Personal Care</x:v>
      </x:c>
      <x:c r="H581" t="str">
        <x:v>Hygiene</x:v>
      </x:c>
      <x:c r="I581" t="str">
        <x:v>MFG014</x:v>
      </x:c>
      <x:c r="J581" t="str">
        <x:v>Manufacturer 014</x:v>
      </x:c>
      <x:c r="K581" t="str">
        <x:v>SUP003</x:v>
      </x:c>
      <x:c r="L581" t="str">
        <x:v>Supplier 003</x:v>
      </x:c>
      <x:c r="M581" t="str">
        <x:v>REG-251269</x:v>
      </x:c>
      <x:c r="N581" t="str">
        <x:v>Generic Ingredient 159</x:v>
      </x:c>
      <x:c r="O581" t="str">
        <x:v>General Sale</x:v>
      </x:c>
      <x:c r="P581" t="n">
        <x:v>29</x:v>
      </x:c>
      <x:c r="Q581" t="n">
        <x:v>0</x:v>
      </x:c>
      <x:c r="R581" t="n">
        <x:v>34</x:v>
      </x:c>
      <x:c r="S581" s="12" t="n">
        <x:f>E581*Q581</x:f>
        <x:v>0</x:v>
      </x:c>
      <x:c r="T581" s="12" t="n">
        <x:f>ROUND(S581*F581+0.000000001,2)</x:f>
        <x:v>0</x:v>
      </x:c>
      <x:c r="U581" s="12" t="n">
        <x:f>E581*R581</x:f>
        <x:v>10030.34</x:v>
      </x:c>
      <x:c r="V581" t="str">
        <x:f>IF(AND(C581="Active",Q581=0),"Active Zero Sales","Not Zero Sales")</x:f>
        <x:v>Active Zero Sales</x:v>
      </x:c>
      <x:c r="W581" s="12" t="n">
        <x:f>IF(V581="Active Zero Sales",U581,0)</x:f>
        <x:v>10030.34</x:v>
      </x:c>
      <x:c r="X581" t="str">
        <x:f>IF(E581&lt;25,"Low &lt; 25",IF(E581&lt;100,"Medium 25-99",IF(E581&lt;300,"High 100-299","Premium 300+")))</x:f>
        <x:v>High 100-299</x:v>
      </x:c>
      <x:c r="Y581" t="n">
        <x:f>IF(C581="Active",1,0)</x:f>
        <x:v>1</x:v>
      </x:c>
    </x:row>
    <x:row r="582">
      <x:c r="A582" t="str">
        <x:v>SKU00581</x:v>
      </x:c>
      <x:c r="B582" t="str">
        <x:v>Sample Product 00581</x:v>
      </x:c>
      <x:c r="C582" t="str">
        <x:v>Active</x:v>
      </x:c>
      <x:c r="D582" t="str">
        <x:v>2026-02</x:v>
      </x:c>
      <x:c r="E582" s="12" t="n">
        <x:v>10.43</x:v>
      </x:c>
      <x:c r="F582" s="10" t="n">
        <x:v>0.364</x:v>
      </x:c>
      <x:c r="G582" t="str">
        <x:v>OTC &amp; Wellness</x:v>
      </x:c>
      <x:c r="H582" t="str">
        <x:v>Digestive Care</x:v>
      </x:c>
      <x:c r="I582" t="str">
        <x:v>MFG006</x:v>
      </x:c>
      <x:c r="J582" t="str">
        <x:v>Manufacturer 006</x:v>
      </x:c>
      <x:c r="K582" t="str">
        <x:v>SUP003</x:v>
      </x:c>
      <x:c r="L582" t="str">
        <x:v>Supplier 003</x:v>
      </x:c>
      <x:c r="M582" t="str">
        <x:v>REG-196967</x:v>
      </x:c>
      <x:c r="N582" t="str">
        <x:v>Generic Ingredient 155</x:v>
      </x:c>
      <x:c r="O582" t="str">
        <x:v>General Sale</x:v>
      </x:c>
      <x:c r="P582" t="n">
        <x:v>57</x:v>
      </x:c>
      <x:c r="Q582" t="n">
        <x:v>27</x:v>
      </x:c>
      <x:c r="R582" t="n">
        <x:v>13</x:v>
      </x:c>
      <x:c r="S582" s="12" t="n">
        <x:f>E582*Q582</x:f>
        <x:v>281.61</x:v>
      </x:c>
      <x:c r="T582" s="12" t="n">
        <x:f>ROUND(S582*F582+0.000000001,2)</x:f>
        <x:v>102.51</x:v>
      </x:c>
      <x:c r="U582" s="12" t="n">
        <x:f>E582*R582</x:f>
        <x:v>135.59</x:v>
      </x:c>
      <x:c r="V582" t="str">
        <x:f>IF(AND(C582="Active",Q582=0),"Active Zero Sales","Not Zero Sales")</x:f>
        <x:v>Not Zero Sales</x:v>
      </x:c>
      <x:c r="W582" s="12" t="n">
        <x:f>IF(V582="Active Zero Sales",U582,0)</x:f>
        <x:v>0</x:v>
      </x:c>
      <x:c r="X582" t="str">
        <x:f>IF(E582&lt;25,"Low &lt; 25",IF(E582&lt;100,"Medium 25-99",IF(E582&lt;300,"High 100-299","Premium 300+")))</x:f>
        <x:v>Low &lt; 25</x:v>
      </x:c>
      <x:c r="Y582" t="n">
        <x:f>IF(C582="Active",1,0)</x:f>
        <x:v>1</x:v>
      </x:c>
    </x:row>
    <x:row r="583">
      <x:c r="A583" t="str">
        <x:v>SKU00582</x:v>
      </x:c>
      <x:c r="B583" t="str">
        <x:v>Sample Product 00582</x:v>
      </x:c>
      <x:c r="C583" t="str">
        <x:v>Active</x:v>
      </x:c>
      <x:c r="D583" t="str">
        <x:v>2026-02</x:v>
      </x:c>
      <x:c r="E583" s="12" t="n">
        <x:v>187.45</x:v>
      </x:c>
      <x:c r="F583" s="10" t="n">
        <x:v>0.194</x:v>
      </x:c>
      <x:c r="G583" t="str">
        <x:v>Nutrition</x:v>
      </x:c>
      <x:c r="H583" t="str">
        <x:v>Healthy Snacks</x:v>
      </x:c>
      <x:c r="I583" t="str">
        <x:v>MFG017</x:v>
      </x:c>
      <x:c r="J583" t="str">
        <x:v>Manufacturer 017</x:v>
      </x:c>
      <x:c r="K583" t="str">
        <x:v>SUP006</x:v>
      </x:c>
      <x:c r="L583" t="str">
        <x:v>Supplier 006</x:v>
      </x:c>
      <x:c r="M583" t="str">
        <x:v>REG-284816</x:v>
      </x:c>
      <x:c r="N583" t="str">
        <x:v>Generic Ingredient 038</x:v>
      </x:c>
      <x:c r="O583" t="str">
        <x:v>General Sale</x:v>
      </x:c>
      <x:c r="P583" t="n">
        <x:v>34</x:v>
      </x:c>
      <x:c r="Q583" t="n">
        <x:v>18</x:v>
      </x:c>
      <x:c r="R583" t="n">
        <x:v>4</x:v>
      </x:c>
      <x:c r="S583" s="12" t="n">
        <x:f>E583*Q583</x:f>
        <x:v>3374.1</x:v>
      </x:c>
      <x:c r="T583" s="12" t="n">
        <x:f>ROUND(S583*F583+0.000000001,2)</x:f>
        <x:v>654.58</x:v>
      </x:c>
      <x:c r="U583" s="12" t="n">
        <x:f>E583*R583</x:f>
        <x:v>749.8</x:v>
      </x:c>
      <x:c r="V583" t="str">
        <x:f>IF(AND(C583="Active",Q583=0),"Active Zero Sales","Not Zero Sales")</x:f>
        <x:v>Not Zero Sales</x:v>
      </x:c>
      <x:c r="W583" s="12" t="n">
        <x:f>IF(V583="Active Zero Sales",U583,0)</x:f>
        <x:v>0</x:v>
      </x:c>
      <x:c r="X583" t="str">
        <x:f>IF(E583&lt;25,"Low &lt; 25",IF(E583&lt;100,"Medium 25-99",IF(E583&lt;300,"High 100-299","Premium 300+")))</x:f>
        <x:v>High 100-299</x:v>
      </x:c>
      <x:c r="Y583" t="n">
        <x:f>IF(C583="Active",1,0)</x:f>
        <x:v>1</x:v>
      </x:c>
    </x:row>
    <x:row r="584">
      <x:c r="A584" t="str">
        <x:v>SKU00583</x:v>
      </x:c>
      <x:c r="B584" t="str">
        <x:v>Sample Product 00583</x:v>
      </x:c>
      <x:c r="C584" t="str">
        <x:v>Active</x:v>
      </x:c>
      <x:c r="D584" t="str">
        <x:v>2026-05</x:v>
      </x:c>
      <x:c r="E584" s="12" t="n">
        <x:v>4.34</x:v>
      </x:c>
      <x:c r="F584" s="10" t="n">
        <x:v>0.392</x:v>
      </x:c>
      <x:c r="G584" t="str">
        <x:v>Personal Care</x:v>
      </x:c>
      <x:c r="H584" t="str">
        <x:v>Hygiene</x:v>
      </x:c>
      <x:c r="I584" t="str">
        <x:v>MFG012</x:v>
      </x:c>
      <x:c r="J584" t="str">
        <x:v>Manufacturer 012</x:v>
      </x:c>
      <x:c r="K584" t="str">
        <x:v>SUP005</x:v>
      </x:c>
      <x:c r="L584" t="str">
        <x:v>Supplier 005</x:v>
      </x:c>
      <x:c r="M584" t="str">
        <x:v>REG-359942</x:v>
      </x:c>
      <x:c r="N584" t="str">
        <x:v>Generic Ingredient 096</x:v>
      </x:c>
      <x:c r="O584" t="str">
        <x:v>General Sale</x:v>
      </x:c>
      <x:c r="P584" t="n">
        <x:v>80</x:v>
      </x:c>
      <x:c r="Q584" t="n">
        <x:v>9</x:v>
      </x:c>
      <x:c r="R584" t="n">
        <x:v>27</x:v>
      </x:c>
      <x:c r="S584" s="12" t="n">
        <x:f>E584*Q584</x:f>
        <x:v>39.06</x:v>
      </x:c>
      <x:c r="T584" s="12" t="n">
        <x:f>ROUND(S584*F584+0.000000001,2)</x:f>
        <x:v>15.31</x:v>
      </x:c>
      <x:c r="U584" s="12" t="n">
        <x:f>E584*R584</x:f>
        <x:v>117.17999999999999</x:v>
      </x:c>
      <x:c r="V584" t="str">
        <x:f>IF(AND(C584="Active",Q584=0),"Active Zero Sales","Not Zero Sales")</x:f>
        <x:v>Not Zero Sales</x:v>
      </x:c>
      <x:c r="W584" s="12" t="n">
        <x:f>IF(V584="Active Zero Sales",U584,0)</x:f>
        <x:v>0</x:v>
      </x:c>
      <x:c r="X584" t="str">
        <x:f>IF(E584&lt;25,"Low &lt; 25",IF(E584&lt;100,"Medium 25-99",IF(E584&lt;300,"High 100-299","Premium 300+")))</x:f>
        <x:v>Low &lt; 25</x:v>
      </x:c>
      <x:c r="Y584" t="n">
        <x:f>IF(C584="Active",1,0)</x:f>
        <x:v>1</x:v>
      </x:c>
    </x:row>
    <x:row r="585">
      <x:c r="A585" t="str">
        <x:v>SKU00584</x:v>
      </x:c>
      <x:c r="B585" t="str">
        <x:v>Sample Product 00584</x:v>
      </x:c>
      <x:c r="C585" t="str">
        <x:v>Blocked</x:v>
      </x:c>
      <x:c r="D585" t="str">
        <x:v>2026-03</x:v>
      </x:c>
      <x:c r="E585" s="12" t="n">
        <x:v>19.24</x:v>
      </x:c>
      <x:c r="F585" s="10" t="n">
        <x:v>0.284</x:v>
      </x:c>
      <x:c r="G585" t="str">
        <x:v>OTC &amp; Wellness</x:v>
      </x:c>
      <x:c r="H585" t="str">
        <x:v>Cold &amp; Allergy</x:v>
      </x:c>
      <x:c r="I585" t="str">
        <x:v>MFG008</x:v>
      </x:c>
      <x:c r="J585" t="str">
        <x:v>Manufacturer 008</x:v>
      </x:c>
      <x:c r="K585" t="str">
        <x:v>SUP001</x:v>
      </x:c>
      <x:c r="L585" t="str">
        <x:v>Supplier 001</x:v>
      </x:c>
      <x:c r="M585" t="str">
        <x:v>REG-950555</x:v>
      </x:c>
      <x:c r="N585" t="str">
        <x:v>Generic Ingredient 142</x:v>
      </x:c>
      <x:c r="O585" t="str">
        <x:v>General Sale</x:v>
      </x:c>
      <x:c r="P585" t="n">
        <x:v>38</x:v>
      </x:c>
      <x:c r="Q585" t="n">
        <x:v>10</x:v>
      </x:c>
      <x:c r="R585" t="n">
        <x:v>0</x:v>
      </x:c>
      <x:c r="S585" s="12" t="n">
        <x:f>E585*Q585</x:f>
        <x:v>192.39999999999998</x:v>
      </x:c>
      <x:c r="T585" s="12" t="n">
        <x:f>ROUND(S585*F585+0.000000001,2)</x:f>
        <x:v>54.64</x:v>
      </x:c>
      <x:c r="U585" s="12" t="n">
        <x:f>E585*R585</x:f>
        <x:v>0</x:v>
      </x:c>
      <x:c r="V585" t="str">
        <x:f>IF(AND(C585="Active",Q585=0),"Active Zero Sales","Not Zero Sales")</x:f>
        <x:v>Not Zero Sales</x:v>
      </x:c>
      <x:c r="W585" s="12" t="n">
        <x:f>IF(V585="Active Zero Sales",U585,0)</x:f>
        <x:v>0</x:v>
      </x:c>
      <x:c r="X585" t="str">
        <x:f>IF(E585&lt;25,"Low &lt; 25",IF(E585&lt;100,"Medium 25-99",IF(E585&lt;300,"High 100-299","Premium 300+")))</x:f>
        <x:v>Low &lt; 25</x:v>
      </x:c>
      <x:c r="Y585" t="n">
        <x:f>IF(C585="Active",1,0)</x:f>
        <x:v>0</x:v>
      </x:c>
    </x:row>
    <x:row r="586">
      <x:c r="A586" t="str">
        <x:v>SKU00585</x:v>
      </x:c>
      <x:c r="B586" t="str">
        <x:v>Sample Product 00585</x:v>
      </x:c>
      <x:c r="C586" t="str">
        <x:v>Active</x:v>
      </x:c>
      <x:c r="D586" t="str">
        <x:v>2026-05</x:v>
      </x:c>
      <x:c r="E586" s="12" t="n">
        <x:v>60.09</x:v>
      </x:c>
      <x:c r="F586" s="10" t="n">
        <x:v>0.27</x:v>
      </x:c>
      <x:c r="G586" t="str">
        <x:v>OTC &amp; Wellness</x:v>
      </x:c>
      <x:c r="H586" t="str">
        <x:v>Vitamins</x:v>
      </x:c>
      <x:c r="I586" t="str">
        <x:v>MFG004</x:v>
      </x:c>
      <x:c r="J586" t="str">
        <x:v>Manufacturer 004</x:v>
      </x:c>
      <x:c r="K586" t="str">
        <x:v>SUP003</x:v>
      </x:c>
      <x:c r="L586" t="str">
        <x:v>Supplier 003</x:v>
      </x:c>
      <x:c r="M586" t="str">
        <x:v>REG-529897</x:v>
      </x:c>
      <x:c r="N586" t="str">
        <x:v>Generic Ingredient 169</x:v>
      </x:c>
      <x:c r="O586" t="str">
        <x:v>Pharmacy Only</x:v>
      </x:c>
      <x:c r="P586" t="n">
        <x:v>57</x:v>
      </x:c>
      <x:c r="Q586" t="n">
        <x:v>63</x:v>
      </x:c>
      <x:c r="R586" t="n">
        <x:v>2</x:v>
      </x:c>
      <x:c r="S586" s="12" t="n">
        <x:f>E586*Q586</x:f>
        <x:v>3785.67</x:v>
      </x:c>
      <x:c r="T586" s="12" t="n">
        <x:f>ROUND(S586*F586+0.000000001,2)</x:f>
        <x:v>1022.13</x:v>
      </x:c>
      <x:c r="U586" s="12" t="n">
        <x:f>E586*R586</x:f>
        <x:v>120.18</x:v>
      </x:c>
      <x:c r="V586" t="str">
        <x:f>IF(AND(C586="Active",Q586=0),"Active Zero Sales","Not Zero Sales")</x:f>
        <x:v>Not Zero Sales</x:v>
      </x:c>
      <x:c r="W586" s="12" t="n">
        <x:f>IF(V586="Active Zero Sales",U586,0)</x:f>
        <x:v>0</x:v>
      </x:c>
      <x:c r="X586" t="str">
        <x:f>IF(E586&lt;25,"Low &lt; 25",IF(E586&lt;100,"Medium 25-99",IF(E586&lt;300,"High 100-299","Premium 300+")))</x:f>
        <x:v>Medium 25-99</x:v>
      </x:c>
      <x:c r="Y586" t="n">
        <x:f>IF(C586="Active",1,0)</x:f>
        <x:v>1</x:v>
      </x:c>
    </x:row>
    <x:row r="587">
      <x:c r="A587" t="str">
        <x:v>SKU00586</x:v>
      </x:c>
      <x:c r="B587" t="str">
        <x:v>Sample Product 00586</x:v>
      </x:c>
      <x:c r="C587" t="str">
        <x:v>Active</x:v>
      </x:c>
      <x:c r="D587" t="str">
        <x:v>2026-01</x:v>
      </x:c>
      <x:c r="E587" s="12" t="n">
        <x:v>69.09</x:v>
      </x:c>
      <x:c r="F587" s="10" t="n">
        <x:v>0.249</x:v>
      </x:c>
      <x:c r="G587" t="str">
        <x:v>Medical Devices</x:v>
      </x:c>
      <x:c r="H587" t="str">
        <x:v>Mobility Aids</x:v>
      </x:c>
      <x:c r="I587" t="str">
        <x:v>MFG014</x:v>
      </x:c>
      <x:c r="J587" t="str">
        <x:v>Manufacturer 014</x:v>
      </x:c>
      <x:c r="K587" t="str">
        <x:v>SUP011</x:v>
      </x:c>
      <x:c r="L587" t="str">
        <x:v>Supplier 011</x:v>
      </x:c>
      <x:c r="M587" t="str">
        <x:v>REG-149000</x:v>
      </x:c>
      <x:c r="N587" t="str">
        <x:v>Generic Ingredient 069</x:v>
      </x:c>
      <x:c r="O587" t="str">
        <x:v>Pharmacy Only</x:v>
      </x:c>
      <x:c r="P587" t="n">
        <x:v>41</x:v>
      </x:c>
      <x:c r="Q587" t="n">
        <x:v>33</x:v>
      </x:c>
      <x:c r="R587" t="n">
        <x:v>3</x:v>
      </x:c>
      <x:c r="S587" s="12" t="n">
        <x:f>E587*Q587</x:f>
        <x:v>2279.9700000000003</x:v>
      </x:c>
      <x:c r="T587" s="12" t="n">
        <x:f>ROUND(S587*F587+0.000000001,2)</x:f>
        <x:v>567.71</x:v>
      </x:c>
      <x:c r="U587" s="12" t="n">
        <x:f>E587*R587</x:f>
        <x:v>207.27</x:v>
      </x:c>
      <x:c r="V587" t="str">
        <x:f>IF(AND(C587="Active",Q587=0),"Active Zero Sales","Not Zero Sales")</x:f>
        <x:v>Not Zero Sales</x:v>
      </x:c>
      <x:c r="W587" s="12" t="n">
        <x:f>IF(V587="Active Zero Sales",U587,0)</x:f>
        <x:v>0</x:v>
      </x:c>
      <x:c r="X587" t="str">
        <x:f>IF(E587&lt;25,"Low &lt; 25",IF(E587&lt;100,"Medium 25-99",IF(E587&lt;300,"High 100-299","Premium 300+")))</x:f>
        <x:v>Medium 25-99</x:v>
      </x:c>
      <x:c r="Y587" t="n">
        <x:f>IF(C587="Active",1,0)</x:f>
        <x:v>1</x:v>
      </x:c>
    </x:row>
    <x:row r="588">
      <x:c r="A588" t="str">
        <x:v>SKU00587</x:v>
      </x:c>
      <x:c r="B588" t="str">
        <x:v>Sample Product 00587</x:v>
      </x:c>
      <x:c r="C588" t="str">
        <x:v>Active</x:v>
      </x:c>
      <x:c r="D588" t="str">
        <x:v>2026-04</x:v>
      </x:c>
      <x:c r="E588" s="12" t="n">
        <x:v>176.29</x:v>
      </x:c>
      <x:c r="F588" s="10" t="n">
        <x:v>0.472</x:v>
      </x:c>
      <x:c r="G588" t="str">
        <x:v>Personal Care</x:v>
      </x:c>
      <x:c r="H588" t="str">
        <x:v>Hygiene</x:v>
      </x:c>
      <x:c r="I588" t="str">
        <x:v>MFG004</x:v>
      </x:c>
      <x:c r="J588" t="str">
        <x:v>Manufacturer 004</x:v>
      </x:c>
      <x:c r="K588" t="str">
        <x:v>SUP024</x:v>
      </x:c>
      <x:c r="L588" t="str">
        <x:v>Supplier 024</x:v>
      </x:c>
      <x:c r="M588" t="str">
        <x:v>REG-141925</x:v>
      </x:c>
      <x:c r="N588" t="str">
        <x:v>Generic Ingredient 159</x:v>
      </x:c>
      <x:c r="O588" t="str">
        <x:v>General Sale</x:v>
      </x:c>
      <x:c r="P588" t="n">
        <x:v>72</x:v>
      </x:c>
      <x:c r="Q588" t="n">
        <x:v>0</x:v>
      </x:c>
      <x:c r="R588" t="n">
        <x:v>50</x:v>
      </x:c>
      <x:c r="S588" s="12" t="n">
        <x:f>E588*Q588</x:f>
        <x:v>0</x:v>
      </x:c>
      <x:c r="T588" s="12" t="n">
        <x:f>ROUND(S588*F588+0.000000001,2)</x:f>
        <x:v>0</x:v>
      </x:c>
      <x:c r="U588" s="12" t="n">
        <x:f>E588*R588</x:f>
        <x:v>8814.5</x:v>
      </x:c>
      <x:c r="V588" t="str">
        <x:f>IF(AND(C588="Active",Q588=0),"Active Zero Sales","Not Zero Sales")</x:f>
        <x:v>Active Zero Sales</x:v>
      </x:c>
      <x:c r="W588" s="12" t="n">
        <x:f>IF(V588="Active Zero Sales",U588,0)</x:f>
        <x:v>8814.5</x:v>
      </x:c>
      <x:c r="X588" t="str">
        <x:f>IF(E588&lt;25,"Low &lt; 25",IF(E588&lt;100,"Medium 25-99",IF(E588&lt;300,"High 100-299","Premium 300+")))</x:f>
        <x:v>High 100-299</x:v>
      </x:c>
      <x:c r="Y588" t="n">
        <x:f>IF(C588="Active",1,0)</x:f>
        <x:v>1</x:v>
      </x:c>
    </x:row>
    <x:row r="589">
      <x:c r="A589" t="str">
        <x:v>SKU00588</x:v>
      </x:c>
      <x:c r="B589" t="str">
        <x:v>Sample Product 00588</x:v>
      </x:c>
      <x:c r="C589" t="str">
        <x:v>Active</x:v>
      </x:c>
      <x:c r="D589" t="str">
        <x:v>2026-02</x:v>
      </x:c>
      <x:c r="E589" s="12" t="n">
        <x:v>59.96</x:v>
      </x:c>
      <x:c r="F589" s="10" t="n">
        <x:v>0.363</x:v>
      </x:c>
      <x:c r="G589" t="str">
        <x:v>Nutrition</x:v>
      </x:c>
      <x:c r="H589" t="str">
        <x:v>Adult Nutrition</x:v>
      </x:c>
      <x:c r="I589" t="str">
        <x:v>MFG006</x:v>
      </x:c>
      <x:c r="J589" t="str">
        <x:v>Manufacturer 006</x:v>
      </x:c>
      <x:c r="K589" t="str">
        <x:v>SUP029</x:v>
      </x:c>
      <x:c r="L589" t="str">
        <x:v>Supplier 029</x:v>
      </x:c>
      <x:c r="M589" t="str">
        <x:v>REG-433390</x:v>
      </x:c>
      <x:c r="N589" t="str">
        <x:v>Generic Ingredient 116</x:v>
      </x:c>
      <x:c r="O589" t="str">
        <x:v>Pharmacy Only</x:v>
      </x:c>
      <x:c r="P589" t="n">
        <x:v>54</x:v>
      </x:c>
      <x:c r="Q589" t="n">
        <x:v>23</x:v>
      </x:c>
      <x:c r="R589" t="n">
        <x:v>0</x:v>
      </x:c>
      <x:c r="S589" s="12" t="n">
        <x:f>E589*Q589</x:f>
        <x:v>1379.08</x:v>
      </x:c>
      <x:c r="T589" s="12" t="n">
        <x:f>ROUND(S589*F589+0.000000001,2)</x:f>
        <x:v>500.61</x:v>
      </x:c>
      <x:c r="U589" s="12" t="n">
        <x:f>E589*R589</x:f>
        <x:v>0</x:v>
      </x:c>
      <x:c r="V589" t="str">
        <x:f>IF(AND(C589="Active",Q589=0),"Active Zero Sales","Not Zero Sales")</x:f>
        <x:v>Not Zero Sales</x:v>
      </x:c>
      <x:c r="W589" s="12" t="n">
        <x:f>IF(V589="Active Zero Sales",U589,0)</x:f>
        <x:v>0</x:v>
      </x:c>
      <x:c r="X589" t="str">
        <x:f>IF(E589&lt;25,"Low &lt; 25",IF(E589&lt;100,"Medium 25-99",IF(E589&lt;300,"High 100-299","Premium 300+")))</x:f>
        <x:v>Medium 25-99</x:v>
      </x:c>
      <x:c r="Y589" t="n">
        <x:f>IF(C589="Active",1,0)</x:f>
        <x:v>1</x:v>
      </x:c>
    </x:row>
    <x:row r="590">
      <x:c r="A590" t="str">
        <x:v>SKU00589</x:v>
      </x:c>
      <x:c r="B590" t="str">
        <x:v>Sample Product 00589</x:v>
      </x:c>
      <x:c r="C590" t="str">
        <x:v>Active</x:v>
      </x:c>
      <x:c r="D590" t="str">
        <x:v>2026-04</x:v>
      </x:c>
      <x:c r="E590" s="12" t="n">
        <x:v>69.2</x:v>
      </x:c>
      <x:c r="F590" s="10" t="n">
        <x:v>0.274</x:v>
      </x:c>
      <x:c r="G590" t="str">
        <x:v>Nutrition</x:v>
      </x:c>
      <x:c r="H590" t="str">
        <x:v>Healthy Snacks</x:v>
      </x:c>
      <x:c r="I590" t="str">
        <x:v>MFG001</x:v>
      </x:c>
      <x:c r="J590" t="str">
        <x:v>Manufacturer 001</x:v>
      </x:c>
      <x:c r="K590" t="str">
        <x:v>SUP005</x:v>
      </x:c>
      <x:c r="L590" t="str">
        <x:v>Supplier 005</x:v>
      </x:c>
      <x:c r="M590" t="str">
        <x:v>REG-282967</x:v>
      </x:c>
      <x:c r="N590" t="str">
        <x:v>Generic Ingredient 072</x:v>
      </x:c>
      <x:c r="O590" t="str">
        <x:v>General Sale</x:v>
      </x:c>
      <x:c r="P590" t="n">
        <x:v>14</x:v>
      </x:c>
      <x:c r="Q590" t="n">
        <x:v>4</x:v>
      </x:c>
      <x:c r="R590" t="n">
        <x:v>19</x:v>
      </x:c>
      <x:c r="S590" s="12" t="n">
        <x:f>E590*Q590</x:f>
        <x:v>276.8</x:v>
      </x:c>
      <x:c r="T590" s="12" t="n">
        <x:f>ROUND(S590*F590+0.000000001,2)</x:f>
        <x:v>75.84</x:v>
      </x:c>
      <x:c r="U590" s="12" t="n">
        <x:f>E590*R590</x:f>
        <x:v>1314.8</x:v>
      </x:c>
      <x:c r="V590" t="str">
        <x:f>IF(AND(C590="Active",Q590=0),"Active Zero Sales","Not Zero Sales")</x:f>
        <x:v>Not Zero Sales</x:v>
      </x:c>
      <x:c r="W590" s="12" t="n">
        <x:f>IF(V590="Active Zero Sales",U590,0)</x:f>
        <x:v>0</x:v>
      </x:c>
      <x:c r="X590" t="str">
        <x:f>IF(E590&lt;25,"Low &lt; 25",IF(E590&lt;100,"Medium 25-99",IF(E590&lt;300,"High 100-299","Premium 300+")))</x:f>
        <x:v>Medium 25-99</x:v>
      </x:c>
      <x:c r="Y590" t="n">
        <x:f>IF(C590="Active",1,0)</x:f>
        <x:v>1</x:v>
      </x:c>
    </x:row>
    <x:row r="591">
      <x:c r="A591" t="str">
        <x:v>SKU00590</x:v>
      </x:c>
      <x:c r="B591" t="str">
        <x:v>Sample Product 00590</x:v>
      </x:c>
      <x:c r="C591" t="str">
        <x:v>Active</x:v>
      </x:c>
      <x:c r="D591" t="str">
        <x:v>2026-01</x:v>
      </x:c>
      <x:c r="E591" s="12" t="n">
        <x:v>241.84</x:v>
      </x:c>
      <x:c r="F591" s="10" t="n">
        <x:v>0.254</x:v>
      </x:c>
      <x:c r="G591" t="str">
        <x:v>Nutrition</x:v>
      </x:c>
      <x:c r="H591" t="str">
        <x:v>Healthy Snacks</x:v>
      </x:c>
      <x:c r="I591" t="str">
        <x:v>MFG002</x:v>
      </x:c>
      <x:c r="J591" t="str">
        <x:v>Manufacturer 002</x:v>
      </x:c>
      <x:c r="K591" t="str">
        <x:v>SUP027</x:v>
      </x:c>
      <x:c r="L591" t="str">
        <x:v>Supplier 027</x:v>
      </x:c>
      <x:c r="M591" t="str">
        <x:v>REG-290529</x:v>
      </x:c>
      <x:c r="N591" t="str">
        <x:v>Generic Ingredient 139</x:v>
      </x:c>
      <x:c r="O591" t="str">
        <x:v>General Sale</x:v>
      </x:c>
      <x:c r="P591" t="n">
        <x:v>134</x:v>
      </x:c>
      <x:c r="Q591" t="n">
        <x:v>62</x:v>
      </x:c>
      <x:c r="R591" t="n">
        <x:v>30</x:v>
      </x:c>
      <x:c r="S591" s="12" t="n">
        <x:f>E591*Q591</x:f>
        <x:v>14994.08</x:v>
      </x:c>
      <x:c r="T591" s="12" t="n">
        <x:f>ROUND(S591*F591+0.000000001,2)</x:f>
        <x:v>3808.5</x:v>
      </x:c>
      <x:c r="U591" s="12" t="n">
        <x:f>E591*R591</x:f>
        <x:v>7255.2</x:v>
      </x:c>
      <x:c r="V591" t="str">
        <x:f>IF(AND(C591="Active",Q591=0),"Active Zero Sales","Not Zero Sales")</x:f>
        <x:v>Not Zero Sales</x:v>
      </x:c>
      <x:c r="W591" s="12" t="n">
        <x:f>IF(V591="Active Zero Sales",U591,0)</x:f>
        <x:v>0</x:v>
      </x:c>
      <x:c r="X591" t="str">
        <x:f>IF(E591&lt;25,"Low &lt; 25",IF(E591&lt;100,"Medium 25-99",IF(E591&lt;300,"High 100-299","Premium 300+")))</x:f>
        <x:v>High 100-299</x:v>
      </x:c>
      <x:c r="Y591" t="n">
        <x:f>IF(C591="Active",1,0)</x:f>
        <x:v>1</x:v>
      </x:c>
    </x:row>
    <x:row r="592">
      <x:c r="A592" t="str">
        <x:v>SKU00591</x:v>
      </x:c>
      <x:c r="B592" t="str">
        <x:v>Sample Product 00591</x:v>
      </x:c>
      <x:c r="C592" t="str">
        <x:v>Active</x:v>
      </x:c>
      <x:c r="D592" t="str">
        <x:v>2026-01</x:v>
      </x:c>
      <x:c r="E592" s="12" t="n">
        <x:v>11.62</x:v>
      </x:c>
      <x:c r="F592" s="10" t="n">
        <x:v>0.22</x:v>
      </x:c>
      <x:c r="G592" t="str">
        <x:v>OTC &amp; Wellness</x:v>
      </x:c>
      <x:c r="H592" t="str">
        <x:v>Pain Relief</x:v>
      </x:c>
      <x:c r="I592" t="str">
        <x:v>MFG006</x:v>
      </x:c>
      <x:c r="J592" t="str">
        <x:v>Manufacturer 006</x:v>
      </x:c>
      <x:c r="K592" t="str">
        <x:v>SUP019</x:v>
      </x:c>
      <x:c r="L592" t="str">
        <x:v>Supplier 019</x:v>
      </x:c>
      <x:c r="M592" t="str">
        <x:v>REG-953289</x:v>
      </x:c>
      <x:c r="N592" t="str">
        <x:v>Generic Ingredient 093</x:v>
      </x:c>
      <x:c r="O592" t="str">
        <x:v>General Sale</x:v>
      </x:c>
      <x:c r="P592" t="n">
        <x:v>67</x:v>
      </x:c>
      <x:c r="Q592" t="n">
        <x:v>16</x:v>
      </x:c>
      <x:c r="R592" t="n">
        <x:v>1</x:v>
      </x:c>
      <x:c r="S592" s="12" t="n">
        <x:f>E592*Q592</x:f>
        <x:v>185.92</x:v>
      </x:c>
      <x:c r="T592" s="12" t="n">
        <x:f>ROUND(S592*F592+0.000000001,2)</x:f>
        <x:v>40.9</x:v>
      </x:c>
      <x:c r="U592" s="12" t="n">
        <x:f>E592*R592</x:f>
        <x:v>11.62</x:v>
      </x:c>
      <x:c r="V592" t="str">
        <x:f>IF(AND(C592="Active",Q592=0),"Active Zero Sales","Not Zero Sales")</x:f>
        <x:v>Not Zero Sales</x:v>
      </x:c>
      <x:c r="W592" s="12" t="n">
        <x:f>IF(V592="Active Zero Sales",U592,0)</x:f>
        <x:v>0</x:v>
      </x:c>
      <x:c r="X592" t="str">
        <x:f>IF(E592&lt;25,"Low &lt; 25",IF(E592&lt;100,"Medium 25-99",IF(E592&lt;300,"High 100-299","Premium 300+")))</x:f>
        <x:v>Low &lt; 25</x:v>
      </x:c>
      <x:c r="Y592" t="n">
        <x:f>IF(C592="Active",1,0)</x:f>
        <x:v>1</x:v>
      </x:c>
    </x:row>
    <x:row r="593">
      <x:c r="A593" t="str">
        <x:v>SKU00592</x:v>
      </x:c>
      <x:c r="B593" t="str">
        <x:v>Sample Product 00592</x:v>
      </x:c>
      <x:c r="C593" t="str">
        <x:v>Active</x:v>
      </x:c>
      <x:c r="D593" t="str">
        <x:v>2026-05</x:v>
      </x:c>
      <x:c r="E593" s="12" t="n">
        <x:v>67.16</x:v>
      </x:c>
      <x:c r="F593" s="10" t="n">
        <x:v>0.36</x:v>
      </x:c>
      <x:c r="G593" t="str">
        <x:v>Personal Care</x:v>
      </x:c>
      <x:c r="H593" t="str">
        <x:v>Skin Care</x:v>
      </x:c>
      <x:c r="I593" t="str">
        <x:v>MFG016</x:v>
      </x:c>
      <x:c r="J593" t="str">
        <x:v>Manufacturer 016</x:v>
      </x:c>
      <x:c r="K593" t="str">
        <x:v>SUP028</x:v>
      </x:c>
      <x:c r="L593" t="str">
        <x:v>Supplier 028</x:v>
      </x:c>
      <x:c r="M593" t="str">
        <x:v>REG-460742</x:v>
      </x:c>
      <x:c r="N593" t="str">
        <x:v>Generic Ingredient 087</x:v>
      </x:c>
      <x:c r="O593" t="str">
        <x:v>General Sale</x:v>
      </x:c>
      <x:c r="P593" t="n">
        <x:v>77</x:v>
      </x:c>
      <x:c r="Q593" t="n">
        <x:v>0</x:v>
      </x:c>
      <x:c r="R593" t="n">
        <x:v>36</x:v>
      </x:c>
      <x:c r="S593" s="12" t="n">
        <x:f>E593*Q593</x:f>
        <x:v>0</x:v>
      </x:c>
      <x:c r="T593" s="12" t="n">
        <x:f>ROUND(S593*F593+0.000000001,2)</x:f>
        <x:v>0</x:v>
      </x:c>
      <x:c r="U593" s="12" t="n">
        <x:f>E593*R593</x:f>
        <x:v>2417.7599999999998</x:v>
      </x:c>
      <x:c r="V593" t="str">
        <x:f>IF(AND(C593="Active",Q593=0),"Active Zero Sales","Not Zero Sales")</x:f>
        <x:v>Active Zero Sales</x:v>
      </x:c>
      <x:c r="W593" s="12" t="n">
        <x:f>IF(V593="Active Zero Sales",U593,0)</x:f>
        <x:v>2417.7599999999998</x:v>
      </x:c>
      <x:c r="X593" t="str">
        <x:f>IF(E593&lt;25,"Low &lt; 25",IF(E593&lt;100,"Medium 25-99",IF(E593&lt;300,"High 100-299","Premium 300+")))</x:f>
        <x:v>Medium 25-99</x:v>
      </x:c>
      <x:c r="Y593" t="n">
        <x:f>IF(C593="Active",1,0)</x:f>
        <x:v>1</x:v>
      </x:c>
    </x:row>
    <x:row r="594">
      <x:c r="A594" t="str">
        <x:v>SKU00593</x:v>
      </x:c>
      <x:c r="B594" t="str">
        <x:v>Sample Product 00593</x:v>
      </x:c>
      <x:c r="C594" t="str">
        <x:v>Active</x:v>
      </x:c>
      <x:c r="D594" t="str">
        <x:v>2026-01</x:v>
      </x:c>
      <x:c r="E594" s="12" t="n">
        <x:v>97.76</x:v>
      </x:c>
      <x:c r="F594" s="10" t="n">
        <x:v>0.24</x:v>
      </x:c>
      <x:c r="G594" t="str">
        <x:v>Nutrition</x:v>
      </x:c>
      <x:c r="H594" t="str">
        <x:v>Healthy Snacks</x:v>
      </x:c>
      <x:c r="I594" t="str">
        <x:v>MFG015</x:v>
      </x:c>
      <x:c r="J594" t="str">
        <x:v>Manufacturer 015</x:v>
      </x:c>
      <x:c r="K594" t="str">
        <x:v>SUP028</x:v>
      </x:c>
      <x:c r="L594" t="str">
        <x:v>Supplier 028</x:v>
      </x:c>
      <x:c r="M594" t="str">
        <x:v>REG-300285</x:v>
      </x:c>
      <x:c r="N594" t="str">
        <x:v>Generic Ingredient 046</x:v>
      </x:c>
      <x:c r="O594" t="str">
        <x:v>Pharmacy Only</x:v>
      </x:c>
      <x:c r="P594" t="n">
        <x:v>8</x:v>
      </x:c>
      <x:c r="Q594" t="n">
        <x:v>15</x:v>
      </x:c>
      <x:c r="R594" t="n">
        <x:v>0</x:v>
      </x:c>
      <x:c r="S594" s="12" t="n">
        <x:f>E594*Q594</x:f>
        <x:v>1466.4</x:v>
      </x:c>
      <x:c r="T594" s="12" t="n">
        <x:f>ROUND(S594*F594+0.000000001,2)</x:f>
        <x:v>351.94</x:v>
      </x:c>
      <x:c r="U594" s="12" t="n">
        <x:f>E594*R594</x:f>
        <x:v>0</x:v>
      </x:c>
      <x:c r="V594" t="str">
        <x:f>IF(AND(C594="Active",Q594=0),"Active Zero Sales","Not Zero Sales")</x:f>
        <x:v>Not Zero Sales</x:v>
      </x:c>
      <x:c r="W594" s="12" t="n">
        <x:f>IF(V594="Active Zero Sales",U594,0)</x:f>
        <x:v>0</x:v>
      </x:c>
      <x:c r="X594" t="str">
        <x:f>IF(E594&lt;25,"Low &lt; 25",IF(E594&lt;100,"Medium 25-99",IF(E594&lt;300,"High 100-299","Premium 300+")))</x:f>
        <x:v>Medium 25-99</x:v>
      </x:c>
      <x:c r="Y594" t="n">
        <x:f>IF(C594="Active",1,0)</x:f>
        <x:v>1</x:v>
      </x:c>
    </x:row>
    <x:row r="595">
      <x:c r="A595" t="str">
        <x:v>SKU00594</x:v>
      </x:c>
      <x:c r="B595" t="str">
        <x:v>Sample Product 00594</x:v>
      </x:c>
      <x:c r="C595" t="str">
        <x:v>Active</x:v>
      </x:c>
      <x:c r="D595" t="str">
        <x:v>2026-06</x:v>
      </x:c>
      <x:c r="E595" s="12" t="n">
        <x:v>18.5</x:v>
      </x:c>
      <x:c r="F595" s="10" t="n">
        <x:v>0.494</x:v>
      </x:c>
      <x:c r="G595" t="str">
        <x:v>Personal Care</x:v>
      </x:c>
      <x:c r="H595" t="str">
        <x:v>Skin Care</x:v>
      </x:c>
      <x:c r="I595" t="str">
        <x:v>MFG013</x:v>
      </x:c>
      <x:c r="J595" t="str">
        <x:v>Manufacturer 013</x:v>
      </x:c>
      <x:c r="K595" t="str">
        <x:v>SUP008</x:v>
      </x:c>
      <x:c r="L595" t="str">
        <x:v>Supplier 008</x:v>
      </x:c>
      <x:c r="M595" t="str">
        <x:v>REG-217196</x:v>
      </x:c>
      <x:c r="N595" t="str">
        <x:v>Generic Ingredient 141</x:v>
      </x:c>
      <x:c r="O595" t="str">
        <x:v>General Sale</x:v>
      </x:c>
      <x:c r="P595" t="n">
        <x:v>82</x:v>
      </x:c>
      <x:c r="Q595" t="n">
        <x:v>22</x:v>
      </x:c>
      <x:c r="R595" t="n">
        <x:v>19</x:v>
      </x:c>
      <x:c r="S595" s="12" t="n">
        <x:f>E595*Q595</x:f>
        <x:v>407</x:v>
      </x:c>
      <x:c r="T595" s="12" t="n">
        <x:f>ROUND(S595*F595+0.000000001,2)</x:f>
        <x:v>201.06</x:v>
      </x:c>
      <x:c r="U595" s="12" t="n">
        <x:f>E595*R595</x:f>
        <x:v>351.5</x:v>
      </x:c>
      <x:c r="V595" t="str">
        <x:f>IF(AND(C595="Active",Q595=0),"Active Zero Sales","Not Zero Sales")</x:f>
        <x:v>Not Zero Sales</x:v>
      </x:c>
      <x:c r="W595" s="12" t="n">
        <x:f>IF(V595="Active Zero Sales",U595,0)</x:f>
        <x:v>0</x:v>
      </x:c>
      <x:c r="X595" t="str">
        <x:f>IF(E595&lt;25,"Low &lt; 25",IF(E595&lt;100,"Medium 25-99",IF(E595&lt;300,"High 100-299","Premium 300+")))</x:f>
        <x:v>Low &lt; 25</x:v>
      </x:c>
      <x:c r="Y595" t="n">
        <x:f>IF(C595="Active",1,0)</x:f>
        <x:v>1</x:v>
      </x:c>
    </x:row>
    <x:row r="596">
      <x:c r="A596" t="str">
        <x:v>SKU00595</x:v>
      </x:c>
      <x:c r="B596" t="str">
        <x:v>Sample Product 00595</x:v>
      </x:c>
      <x:c r="C596" t="str">
        <x:v>Active</x:v>
      </x:c>
      <x:c r="D596" t="str">
        <x:v>2026-01</x:v>
      </x:c>
      <x:c r="E596" s="12" t="n">
        <x:v>552.39</x:v>
      </x:c>
      <x:c r="F596" s="10" t="n">
        <x:v>0.417</x:v>
      </x:c>
      <x:c r="G596" t="str">
        <x:v>Personal Care</x:v>
      </x:c>
      <x:c r="H596" t="str">
        <x:v>Hygiene</x:v>
      </x:c>
      <x:c r="I596" t="str">
        <x:v>MFG006</x:v>
      </x:c>
      <x:c r="J596" t="str">
        <x:v>Manufacturer 006</x:v>
      </x:c>
      <x:c r="K596" t="str">
        <x:v>SUP002</x:v>
      </x:c>
      <x:c r="L596" t="str">
        <x:v>Supplier 002</x:v>
      </x:c>
      <x:c r="M596" t="str">
        <x:v>REG-935568</x:v>
      </x:c>
      <x:c r="N596" t="str">
        <x:v>Generic Ingredient 107</x:v>
      </x:c>
      <x:c r="O596" t="str">
        <x:v>General Sale</x:v>
      </x:c>
      <x:c r="P596" t="n">
        <x:v>74</x:v>
      </x:c>
      <x:c r="Q596" t="n">
        <x:v>26</x:v>
      </x:c>
      <x:c r="R596" t="n">
        <x:v>19</x:v>
      </x:c>
      <x:c r="S596" s="12" t="n">
        <x:f>E596*Q596</x:f>
        <x:v>14362.14</x:v>
      </x:c>
      <x:c r="T596" s="12" t="n">
        <x:f>ROUND(S596*F596+0.000000001,2)</x:f>
        <x:v>5989.01</x:v>
      </x:c>
      <x:c r="U596" s="12" t="n">
        <x:f>E596*R596</x:f>
        <x:v>10495.41</x:v>
      </x:c>
      <x:c r="V596" t="str">
        <x:f>IF(AND(C596="Active",Q596=0),"Active Zero Sales","Not Zero Sales")</x:f>
        <x:v>Not Zero Sales</x:v>
      </x:c>
      <x:c r="W596" s="12" t="n">
        <x:f>IF(V596="Active Zero Sales",U596,0)</x:f>
        <x:v>0</x:v>
      </x:c>
      <x:c r="X596" t="str">
        <x:f>IF(E596&lt;25,"Low &lt; 25",IF(E596&lt;100,"Medium 25-99",IF(E596&lt;300,"High 100-299","Premium 300+")))</x:f>
        <x:v>Premium 300+</x:v>
      </x:c>
      <x:c r="Y596" t="n">
        <x:f>IF(C596="Active",1,0)</x:f>
        <x:v>1</x:v>
      </x:c>
    </x:row>
    <x:row r="597">
      <x:c r="A597" t="str">
        <x:v>SKU00596</x:v>
      </x:c>
      <x:c r="B597" t="str">
        <x:v>Sample Product 00596</x:v>
      </x:c>
      <x:c r="C597" t="str">
        <x:v>Active</x:v>
      </x:c>
      <x:c r="D597" t="str">
        <x:v>2026-01</x:v>
      </x:c>
      <x:c r="E597" s="12" t="n">
        <x:v>555.18</x:v>
      </x:c>
      <x:c r="F597" s="10" t="n">
        <x:v>0.355</x:v>
      </x:c>
      <x:c r="G597" t="str">
        <x:v>Nutrition</x:v>
      </x:c>
      <x:c r="H597" t="str">
        <x:v>Healthy Snacks</x:v>
      </x:c>
      <x:c r="I597" t="str">
        <x:v>MFG012</x:v>
      </x:c>
      <x:c r="J597" t="str">
        <x:v>Manufacturer 012</x:v>
      </x:c>
      <x:c r="K597" t="str">
        <x:v>SUP001</x:v>
      </x:c>
      <x:c r="L597" t="str">
        <x:v>Supplier 001</x:v>
      </x:c>
      <x:c r="M597" t="str">
        <x:v>REG-859982</x:v>
      </x:c>
      <x:c r="N597" t="str">
        <x:v>Generic Ingredient 111</x:v>
      </x:c>
      <x:c r="O597" t="str">
        <x:v>General Sale</x:v>
      </x:c>
      <x:c r="P597" t="n">
        <x:v>22</x:v>
      </x:c>
      <x:c r="Q597" t="n">
        <x:v>23</x:v>
      </x:c>
      <x:c r="R597" t="n">
        <x:v>5</x:v>
      </x:c>
      <x:c r="S597" s="12" t="n">
        <x:f>E597*Q597</x:f>
        <x:v>12769.14</x:v>
      </x:c>
      <x:c r="T597" s="12" t="n">
        <x:f>ROUND(S597*F597+0.000000001,2)</x:f>
        <x:v>4533.04</x:v>
      </x:c>
      <x:c r="U597" s="12" t="n">
        <x:f>E597*R597</x:f>
        <x:v>2775.8999999999996</x:v>
      </x:c>
      <x:c r="V597" t="str">
        <x:f>IF(AND(C597="Active",Q597=0),"Active Zero Sales","Not Zero Sales")</x:f>
        <x:v>Not Zero Sales</x:v>
      </x:c>
      <x:c r="W597" s="12" t="n">
        <x:f>IF(V597="Active Zero Sales",U597,0)</x:f>
        <x:v>0</x:v>
      </x:c>
      <x:c r="X597" t="str">
        <x:f>IF(E597&lt;25,"Low &lt; 25",IF(E597&lt;100,"Medium 25-99",IF(E597&lt;300,"High 100-299","Premium 300+")))</x:f>
        <x:v>Premium 300+</x:v>
      </x:c>
      <x:c r="Y597" t="n">
        <x:f>IF(C597="Active",1,0)</x:f>
        <x:v>1</x:v>
      </x:c>
    </x:row>
    <x:row r="598">
      <x:c r="A598" t="str">
        <x:v>SKU00597</x:v>
      </x:c>
      <x:c r="B598" t="str">
        <x:v>Sample Product 00597</x:v>
      </x:c>
      <x:c r="C598" t="str">
        <x:v>Active</x:v>
      </x:c>
      <x:c r="D598" t="str">
        <x:v>2026-01</x:v>
      </x:c>
      <x:c r="E598" s="12" t="n">
        <x:v>69.13</x:v>
      </x:c>
      <x:c r="F598" s="10" t="n">
        <x:v>0.311</x:v>
      </x:c>
      <x:c r="G598" t="str">
        <x:v>Medical Devices</x:v>
      </x:c>
      <x:c r="H598" t="str">
        <x:v>First Aid</x:v>
      </x:c>
      <x:c r="I598" t="str">
        <x:v>MFG020</x:v>
      </x:c>
      <x:c r="J598" t="str">
        <x:v>Manufacturer 020</x:v>
      </x:c>
      <x:c r="K598" t="str">
        <x:v>SUP008</x:v>
      </x:c>
      <x:c r="L598" t="str">
        <x:v>Supplier 008</x:v>
      </x:c>
      <x:c r="M598" t="str">
        <x:v>REG-673850</x:v>
      </x:c>
      <x:c r="N598" t="str">
        <x:v>Generic Ingredient 065</x:v>
      </x:c>
      <x:c r="O598" t="str">
        <x:v>General Sale</x:v>
      </x:c>
      <x:c r="P598" t="n">
        <x:v>36</x:v>
      </x:c>
      <x:c r="Q598" t="n">
        <x:v>8</x:v>
      </x:c>
      <x:c r="R598" t="n">
        <x:v>11</x:v>
      </x:c>
      <x:c r="S598" s="12" t="n">
        <x:f>E598*Q598</x:f>
        <x:v>553.04</x:v>
      </x:c>
      <x:c r="T598" s="12" t="n">
        <x:f>ROUND(S598*F598+0.000000001,2)</x:f>
        <x:v>172</x:v>
      </x:c>
      <x:c r="U598" s="12" t="n">
        <x:f>E598*R598</x:f>
        <x:v>760.43</x:v>
      </x:c>
      <x:c r="V598" t="str">
        <x:f>IF(AND(C598="Active",Q598=0),"Active Zero Sales","Not Zero Sales")</x:f>
        <x:v>Not Zero Sales</x:v>
      </x:c>
      <x:c r="W598" s="12" t="n">
        <x:f>IF(V598="Active Zero Sales",U598,0)</x:f>
        <x:v>0</x:v>
      </x:c>
      <x:c r="X598" t="str">
        <x:f>IF(E598&lt;25,"Low &lt; 25",IF(E598&lt;100,"Medium 25-99",IF(E598&lt;300,"High 100-299","Premium 300+")))</x:f>
        <x:v>Medium 25-99</x:v>
      </x:c>
      <x:c r="Y598" t="n">
        <x:f>IF(C598="Active",1,0)</x:f>
        <x:v>1</x:v>
      </x:c>
    </x:row>
    <x:row r="599">
      <x:c r="A599" t="str">
        <x:v>SKU00598</x:v>
      </x:c>
      <x:c r="B599" t="str">
        <x:v>Sample Product 00598</x:v>
      </x:c>
      <x:c r="C599" t="str">
        <x:v>Blocked</x:v>
      </x:c>
      <x:c r="D599" t="str">
        <x:v>2026-04</x:v>
      </x:c>
      <x:c r="E599" s="12" t="n">
        <x:v>147.19</x:v>
      </x:c>
      <x:c r="F599" s="10" t="n">
        <x:v>0.394</x:v>
      </x:c>
      <x:c r="G599" t="str">
        <x:v>Personal Care</x:v>
      </x:c>
      <x:c r="H599" t="str">
        <x:v>Hair Care</x:v>
      </x:c>
      <x:c r="I599" t="str">
        <x:v>MFG017</x:v>
      </x:c>
      <x:c r="J599" t="str">
        <x:v>Manufacturer 017</x:v>
      </x:c>
      <x:c r="K599" t="str">
        <x:v>SUP013</x:v>
      </x:c>
      <x:c r="L599" t="str">
        <x:v>Supplier 013</x:v>
      </x:c>
      <x:c r="M599" t="str">
        <x:v>REG-121290</x:v>
      </x:c>
      <x:c r="N599" t="str">
        <x:v>Generic Ingredient 150</x:v>
      </x:c>
      <x:c r="O599" t="str">
        <x:v>Pharmacy Only</x:v>
      </x:c>
      <x:c r="P599" t="n">
        <x:v>44</x:v>
      </x:c>
      <x:c r="Q599" t="n">
        <x:v>0</x:v>
      </x:c>
      <x:c r="R599" t="n">
        <x:v>0</x:v>
      </x:c>
      <x:c r="S599" s="12" t="n">
        <x:f>E599*Q599</x:f>
        <x:v>0</x:v>
      </x:c>
      <x:c r="T599" s="12" t="n">
        <x:f>ROUND(S599*F599+0.000000001,2)</x:f>
        <x:v>0</x:v>
      </x:c>
      <x:c r="U599" s="12" t="n">
        <x:f>E599*R599</x:f>
        <x:v>0</x:v>
      </x:c>
      <x:c r="V599" t="str">
        <x:f>IF(AND(C599="Active",Q599=0),"Active Zero Sales","Not Zero Sales")</x:f>
        <x:v>Not Zero Sales</x:v>
      </x:c>
      <x:c r="W599" s="12" t="n">
        <x:f>IF(V599="Active Zero Sales",U599,0)</x:f>
        <x:v>0</x:v>
      </x:c>
      <x:c r="X599" t="str">
        <x:f>IF(E599&lt;25,"Low &lt; 25",IF(E599&lt;100,"Medium 25-99",IF(E599&lt;300,"High 100-299","Premium 300+")))</x:f>
        <x:v>High 100-299</x:v>
      </x:c>
      <x:c r="Y599" t="n">
        <x:f>IF(C599="Active",1,0)</x:f>
        <x:v>0</x:v>
      </x:c>
    </x:row>
    <x:row r="600">
      <x:c r="A600" t="str">
        <x:v>SKU00599</x:v>
      </x:c>
      <x:c r="B600" t="str">
        <x:v>Sample Product 00599</x:v>
      </x:c>
      <x:c r="C600" t="str">
        <x:v>Active</x:v>
      </x:c>
      <x:c r="D600" t="str">
        <x:v>2026-01</x:v>
      </x:c>
      <x:c r="E600" s="12" t="n">
        <x:v>45.15</x:v>
      </x:c>
      <x:c r="F600" s="10" t="n">
        <x:v>0.467</x:v>
      </x:c>
      <x:c r="G600" t="str">
        <x:v>OTC &amp; Wellness</x:v>
      </x:c>
      <x:c r="H600" t="str">
        <x:v>Pain Relief</x:v>
      </x:c>
      <x:c r="I600" t="str">
        <x:v>MFG018</x:v>
      </x:c>
      <x:c r="J600" t="str">
        <x:v>Manufacturer 018</x:v>
      </x:c>
      <x:c r="K600" t="str">
        <x:v>SUP008</x:v>
      </x:c>
      <x:c r="L600" t="str">
        <x:v>Supplier 008</x:v>
      </x:c>
      <x:c r="M600" t="str">
        <x:v>REG-337530</x:v>
      </x:c>
      <x:c r="N600" t="str">
        <x:v>Generic Ingredient 162</x:v>
      </x:c>
      <x:c r="O600" t="str">
        <x:v>General Sale</x:v>
      </x:c>
      <x:c r="P600" t="n">
        <x:v>22</x:v>
      </x:c>
      <x:c r="Q600" t="n">
        <x:v>21</x:v>
      </x:c>
      <x:c r="R600" t="n">
        <x:v>2</x:v>
      </x:c>
      <x:c r="S600" s="12" t="n">
        <x:f>E600*Q600</x:f>
        <x:v>948.15</x:v>
      </x:c>
      <x:c r="T600" s="12" t="n">
        <x:f>ROUND(S600*F600+0.000000001,2)</x:f>
        <x:v>442.79</x:v>
      </x:c>
      <x:c r="U600" s="12" t="n">
        <x:f>E600*R600</x:f>
        <x:v>90.3</x:v>
      </x:c>
      <x:c r="V600" t="str">
        <x:f>IF(AND(C600="Active",Q600=0),"Active Zero Sales","Not Zero Sales")</x:f>
        <x:v>Not Zero Sales</x:v>
      </x:c>
      <x:c r="W600" s="12" t="n">
        <x:f>IF(V600="Active Zero Sales",U600,0)</x:f>
        <x:v>0</x:v>
      </x:c>
      <x:c r="X600" t="str">
        <x:f>IF(E600&lt;25,"Low &lt; 25",IF(E600&lt;100,"Medium 25-99",IF(E600&lt;300,"High 100-299","Premium 300+")))</x:f>
        <x:v>Medium 25-99</x:v>
      </x:c>
      <x:c r="Y600" t="n">
        <x:f>IF(C600="Active",1,0)</x:f>
        <x:v>1</x:v>
      </x:c>
    </x:row>
    <x:row r="601">
      <x:c r="A601" t="str">
        <x:v>SKU00600</x:v>
      </x:c>
      <x:c r="B601" t="str">
        <x:v>Sample Product 00600</x:v>
      </x:c>
      <x:c r="C601" t="str">
        <x:v>Active</x:v>
      </x:c>
      <x:c r="D601" t="str">
        <x:v>2026-02</x:v>
      </x:c>
      <x:c r="E601" s="12" t="n">
        <x:v>42.41</x:v>
      </x:c>
      <x:c r="F601" s="10" t="n">
        <x:v>0.08</x:v>
      </x:c>
      <x:c r="G601" t="str">
        <x:v>Medical Devices</x:v>
      </x:c>
      <x:c r="H601" t="str">
        <x:v>Home Diagnostics</x:v>
      </x:c>
      <x:c r="I601" t="str">
        <x:v>MFG019</x:v>
      </x:c>
      <x:c r="J601" t="str">
        <x:v>Manufacturer 019</x:v>
      </x:c>
      <x:c r="K601" t="str">
        <x:v>SUP003</x:v>
      </x:c>
      <x:c r="L601" t="str">
        <x:v>Supplier 003</x:v>
      </x:c>
      <x:c r="M601" t="str">
        <x:v>REG-173142</x:v>
      </x:c>
      <x:c r="N601" t="str">
        <x:v>Generic Ingredient 028</x:v>
      </x:c>
      <x:c r="O601" t="str">
        <x:v>General Sale</x:v>
      </x:c>
      <x:c r="P601" t="n">
        <x:v>100</x:v>
      </x:c>
      <x:c r="Q601" t="n">
        <x:v>33</x:v>
      </x:c>
      <x:c r="R601" t="n">
        <x:v>20</x:v>
      </x:c>
      <x:c r="S601" s="12" t="n">
        <x:f>E601*Q601</x:f>
        <x:v>1399.53</x:v>
      </x:c>
      <x:c r="T601" s="12" t="n">
        <x:f>ROUND(S601*F601+0.000000001,2)</x:f>
        <x:v>111.96</x:v>
      </x:c>
      <x:c r="U601" s="12" t="n">
        <x:f>E601*R601</x:f>
        <x:v>848.1999999999999</x:v>
      </x:c>
      <x:c r="V601" t="str">
        <x:f>IF(AND(C601="Active",Q601=0),"Active Zero Sales","Not Zero Sales")</x:f>
        <x:v>Not Zero Sales</x:v>
      </x:c>
      <x:c r="W601" s="12" t="n">
        <x:f>IF(V601="Active Zero Sales",U601,0)</x:f>
        <x:v>0</x:v>
      </x:c>
      <x:c r="X601" t="str">
        <x:f>IF(E601&lt;25,"Low &lt; 25",IF(E601&lt;100,"Medium 25-99",IF(E601&lt;300,"High 100-299","Premium 300+")))</x:f>
        <x:v>Medium 25-99</x:v>
      </x:c>
      <x:c r="Y601" t="n">
        <x:f>IF(C601="Active",1,0)</x:f>
        <x:v>1</x:v>
      </x:c>
    </x:row>
    <x:row r="602">
      <x:c r="A602" t="str">
        <x:v>SKU00601</x:v>
      </x:c>
      <x:c r="B602" t="str">
        <x:v>Sample Product 00601</x:v>
      </x:c>
      <x:c r="C602" t="str">
        <x:v>Blocked</x:v>
      </x:c>
      <x:c r="D602" t="str">
        <x:v>2026-02</x:v>
      </x:c>
      <x:c r="E602" s="12" t="n">
        <x:v>4.08</x:v>
      </x:c>
      <x:c r="F602" s="10" t="n">
        <x:v>0.279</x:v>
      </x:c>
      <x:c r="G602" t="str">
        <x:v>OTC &amp; Wellness</x:v>
      </x:c>
      <x:c r="H602" t="str">
        <x:v>Cold &amp; Allergy</x:v>
      </x:c>
      <x:c r="I602" t="str">
        <x:v>MFG016</x:v>
      </x:c>
      <x:c r="J602" t="str">
        <x:v>Manufacturer 016</x:v>
      </x:c>
      <x:c r="K602" t="str">
        <x:v>SUP009</x:v>
      </x:c>
      <x:c r="L602" t="str">
        <x:v>Supplier 009</x:v>
      </x:c>
      <x:c r="M602" t="str">
        <x:v>REG-245686</x:v>
      </x:c>
      <x:c r="N602" t="str">
        <x:v>Generic Ingredient 034</x:v>
      </x:c>
      <x:c r="O602" t="str">
        <x:v>General Sale</x:v>
      </x:c>
      <x:c r="P602" t="n">
        <x:v>9</x:v>
      </x:c>
      <x:c r="Q602" t="n">
        <x:v>0</x:v>
      </x:c>
      <x:c r="R602" t="n">
        <x:v>0</x:v>
      </x:c>
      <x:c r="S602" s="12" t="n">
        <x:f>E602*Q602</x:f>
        <x:v>0</x:v>
      </x:c>
      <x:c r="T602" s="12" t="n">
        <x:f>ROUND(S602*F602+0.000000001,2)</x:f>
        <x:v>0</x:v>
      </x:c>
      <x:c r="U602" s="12" t="n">
        <x:f>E602*R602</x:f>
        <x:v>0</x:v>
      </x:c>
      <x:c r="V602" t="str">
        <x:f>IF(AND(C602="Active",Q602=0),"Active Zero Sales","Not Zero Sales")</x:f>
        <x:v>Not Zero Sales</x:v>
      </x:c>
      <x:c r="W602" s="12" t="n">
        <x:f>IF(V602="Active Zero Sales",U602,0)</x:f>
        <x:v>0</x:v>
      </x:c>
      <x:c r="X602" t="str">
        <x:f>IF(E602&lt;25,"Low &lt; 25",IF(E602&lt;100,"Medium 25-99",IF(E602&lt;300,"High 100-299","Premium 300+")))</x:f>
        <x:v>Low &lt; 25</x:v>
      </x:c>
      <x:c r="Y602" t="n">
        <x:f>IF(C602="Active",1,0)</x:f>
        <x:v>0</x:v>
      </x:c>
    </x:row>
    <x:row r="603">
      <x:c r="A603" t="str">
        <x:v>SKU00602</x:v>
      </x:c>
      <x:c r="B603" t="str">
        <x:v>Sample Product 00602</x:v>
      </x:c>
      <x:c r="C603" t="str">
        <x:v>Blocked</x:v>
      </x:c>
      <x:c r="D603" t="str">
        <x:v>2026-01</x:v>
      </x:c>
      <x:c r="E603" s="12" t="n">
        <x:v>4.01</x:v>
      </x:c>
      <x:c r="F603" s="10" t="n">
        <x:v>0.323</x:v>
      </x:c>
      <x:c r="G603" t="str">
        <x:v>Personal Care</x:v>
      </x:c>
      <x:c r="H603" t="str">
        <x:v>Hair Care</x:v>
      </x:c>
      <x:c r="I603" t="str">
        <x:v>MFG019</x:v>
      </x:c>
      <x:c r="J603" t="str">
        <x:v>Manufacturer 019</x:v>
      </x:c>
      <x:c r="K603" t="str">
        <x:v>SUP003</x:v>
      </x:c>
      <x:c r="L603" t="str">
        <x:v>Supplier 003</x:v>
      </x:c>
      <x:c r="M603" t="str">
        <x:v>REG-780584</x:v>
      </x:c>
      <x:c r="N603" t="str">
        <x:v>Generic Ingredient 026</x:v>
      </x:c>
      <x:c r="O603" t="str">
        <x:v>Pharmacy Only</x:v>
      </x:c>
      <x:c r="P603" t="n">
        <x:v>71</x:v>
      </x:c>
      <x:c r="Q603" t="n">
        <x:v>21</x:v>
      </x:c>
      <x:c r="R603" t="n">
        <x:v>0</x:v>
      </x:c>
      <x:c r="S603" s="12" t="n">
        <x:f>E603*Q603</x:f>
        <x:v>84.21</x:v>
      </x:c>
      <x:c r="T603" s="12" t="n">
        <x:f>ROUND(S603*F603+0.000000001,2)</x:f>
        <x:v>27.2</x:v>
      </x:c>
      <x:c r="U603" s="12" t="n">
        <x:f>E603*R603</x:f>
        <x:v>0</x:v>
      </x:c>
      <x:c r="V603" t="str">
        <x:f>IF(AND(C603="Active",Q603=0),"Active Zero Sales","Not Zero Sales")</x:f>
        <x:v>Not Zero Sales</x:v>
      </x:c>
      <x:c r="W603" s="12" t="n">
        <x:f>IF(V603="Active Zero Sales",U603,0)</x:f>
        <x:v>0</x:v>
      </x:c>
      <x:c r="X603" t="str">
        <x:f>IF(E603&lt;25,"Low &lt; 25",IF(E603&lt;100,"Medium 25-99",IF(E603&lt;300,"High 100-299","Premium 300+")))</x:f>
        <x:v>Low &lt; 25</x:v>
      </x:c>
      <x:c r="Y603" t="n">
        <x:f>IF(C603="Active",1,0)</x:f>
        <x:v>0</x:v>
      </x:c>
    </x:row>
    <x:row r="604">
      <x:c r="A604" t="str">
        <x:v>SKU00603</x:v>
      </x:c>
      <x:c r="B604" t="str">
        <x:v>Sample Product 00603</x:v>
      </x:c>
      <x:c r="C604" t="str">
        <x:v>Active</x:v>
      </x:c>
      <x:c r="D604" t="str">
        <x:v>2026-05</x:v>
      </x:c>
      <x:c r="E604" s="12" t="n">
        <x:v>297.79</x:v>
      </x:c>
      <x:c r="F604" s="10" t="n">
        <x:v>0.272</x:v>
      </x:c>
      <x:c r="G604" t="str">
        <x:v>General Merchandise</x:v>
      </x:c>
      <x:c r="H604" t="str">
        <x:v>Accessories</x:v>
      </x:c>
      <x:c r="I604" t="str">
        <x:v>MFG003</x:v>
      </x:c>
      <x:c r="J604" t="str">
        <x:v>Manufacturer 003</x:v>
      </x:c>
      <x:c r="K604" t="str">
        <x:v>SUP018</x:v>
      </x:c>
      <x:c r="L604" t="str">
        <x:v>Supplier 018</x:v>
      </x:c>
      <x:c r="M604" t="str">
        <x:v>REG-254963</x:v>
      </x:c>
      <x:c r="N604" t="str">
        <x:v>Generic Ingredient 127</x:v>
      </x:c>
      <x:c r="O604" t="str">
        <x:v>Restricted Sale</x:v>
      </x:c>
      <x:c r="P604" t="n">
        <x:v>85</x:v>
      </x:c>
      <x:c r="Q604" t="n">
        <x:v>23</x:v>
      </x:c>
      <x:c r="R604" t="n">
        <x:v>18</x:v>
      </x:c>
      <x:c r="S604" s="12" t="n">
        <x:f>E604*Q604</x:f>
        <x:v>6849.17</x:v>
      </x:c>
      <x:c r="T604" s="12" t="n">
        <x:f>ROUND(S604*F604+0.000000001,2)</x:f>
        <x:v>1862.97</x:v>
      </x:c>
      <x:c r="U604" s="12" t="n">
        <x:f>E604*R604</x:f>
        <x:v>5360.22</x:v>
      </x:c>
      <x:c r="V604" t="str">
        <x:f>IF(AND(C604="Active",Q604=0),"Active Zero Sales","Not Zero Sales")</x:f>
        <x:v>Not Zero Sales</x:v>
      </x:c>
      <x:c r="W604" s="12" t="n">
        <x:f>IF(V604="Active Zero Sales",U604,0)</x:f>
        <x:v>0</x:v>
      </x:c>
      <x:c r="X604" t="str">
        <x:f>IF(E604&lt;25,"Low &lt; 25",IF(E604&lt;100,"Medium 25-99",IF(E604&lt;300,"High 100-299","Premium 300+")))</x:f>
        <x:v>High 100-299</x:v>
      </x:c>
      <x:c r="Y604" t="n">
        <x:f>IF(C604="Active",1,0)</x:f>
        <x:v>1</x:v>
      </x:c>
    </x:row>
    <x:row r="605">
      <x:c r="A605" t="str">
        <x:v>SKU00604</x:v>
      </x:c>
      <x:c r="B605" t="str">
        <x:v>Sample Product 00604</x:v>
      </x:c>
      <x:c r="C605" t="str">
        <x:v>Active</x:v>
      </x:c>
      <x:c r="D605" t="str">
        <x:v>2026-05</x:v>
      </x:c>
      <x:c r="E605" s="12" t="n">
        <x:v>15.29</x:v>
      </x:c>
      <x:c r="F605" s="10" t="n">
        <x:v>0.331</x:v>
      </x:c>
      <x:c r="G605" t="str">
        <x:v>OTC &amp; Wellness</x:v>
      </x:c>
      <x:c r="H605" t="str">
        <x:v>Cold &amp; Allergy</x:v>
      </x:c>
      <x:c r="I605" t="str">
        <x:v>MFG009</x:v>
      </x:c>
      <x:c r="J605" t="str">
        <x:v>Manufacturer 009</x:v>
      </x:c>
      <x:c r="K605" t="str">
        <x:v>SUP004</x:v>
      </x:c>
      <x:c r="L605" t="str">
        <x:v>Supplier 004</x:v>
      </x:c>
      <x:c r="M605" t="str">
        <x:v>REG-994340</x:v>
      </x:c>
      <x:c r="N605" t="str">
        <x:v>Generic Ingredient 047</x:v>
      </x:c>
      <x:c r="O605" t="str">
        <x:v>General Sale</x:v>
      </x:c>
      <x:c r="P605" t="n">
        <x:v>71</x:v>
      </x:c>
      <x:c r="Q605" t="n">
        <x:v>18</x:v>
      </x:c>
      <x:c r="R605" t="n">
        <x:v>17</x:v>
      </x:c>
      <x:c r="S605" s="12" t="n">
        <x:f>E605*Q605</x:f>
        <x:v>275.21999999999997</x:v>
      </x:c>
      <x:c r="T605" s="12" t="n">
        <x:f>ROUND(S605*F605+0.000000001,2)</x:f>
        <x:v>91.1</x:v>
      </x:c>
      <x:c r="U605" s="12" t="n">
        <x:f>E605*R605</x:f>
        <x:v>259.93</x:v>
      </x:c>
      <x:c r="V605" t="str">
        <x:f>IF(AND(C605="Active",Q605=0),"Active Zero Sales","Not Zero Sales")</x:f>
        <x:v>Not Zero Sales</x:v>
      </x:c>
      <x:c r="W605" s="12" t="n">
        <x:f>IF(V605="Active Zero Sales",U605,0)</x:f>
        <x:v>0</x:v>
      </x:c>
      <x:c r="X605" t="str">
        <x:f>IF(E605&lt;25,"Low &lt; 25",IF(E605&lt;100,"Medium 25-99",IF(E605&lt;300,"High 100-299","Premium 300+")))</x:f>
        <x:v>Low &lt; 25</x:v>
      </x:c>
      <x:c r="Y605" t="n">
        <x:f>IF(C605="Active",1,0)</x:f>
        <x:v>1</x:v>
      </x:c>
    </x:row>
    <x:row r="606">
      <x:c r="A606" t="str">
        <x:v>SKU00605</x:v>
      </x:c>
      <x:c r="B606" t="str">
        <x:v>Sample Product 00605</x:v>
      </x:c>
      <x:c r="C606" t="str">
        <x:v>Active</x:v>
      </x:c>
      <x:c r="D606" t="str">
        <x:v>2026-06</x:v>
      </x:c>
      <x:c r="E606" s="12" t="n">
        <x:v>40.8</x:v>
      </x:c>
      <x:c r="F606" s="10" t="n">
        <x:v>0.299</x:v>
      </x:c>
      <x:c r="G606" t="str">
        <x:v>Personal Care</x:v>
      </x:c>
      <x:c r="H606" t="str">
        <x:v>Hygiene</x:v>
      </x:c>
      <x:c r="I606" t="str">
        <x:v>MFG003</x:v>
      </x:c>
      <x:c r="J606" t="str">
        <x:v>Manufacturer 003</x:v>
      </x:c>
      <x:c r="K606" t="str">
        <x:v>SUP022</x:v>
      </x:c>
      <x:c r="L606" t="str">
        <x:v>Supplier 022</x:v>
      </x:c>
      <x:c r="M606" t="str">
        <x:v>REG-574138</x:v>
      </x:c>
      <x:c r="N606" t="str">
        <x:v>Generic Ingredient 077</x:v>
      </x:c>
      <x:c r="O606" t="str">
        <x:v>General Sale</x:v>
      </x:c>
      <x:c r="P606" t="n">
        <x:v>37</x:v>
      </x:c>
      <x:c r="Q606" t="n">
        <x:v>13</x:v>
      </x:c>
      <x:c r="R606" t="n">
        <x:v>0</x:v>
      </x:c>
      <x:c r="S606" s="12" t="n">
        <x:f>E606*Q606</x:f>
        <x:v>530.4</x:v>
      </x:c>
      <x:c r="T606" s="12" t="n">
        <x:f>ROUND(S606*F606+0.000000001,2)</x:f>
        <x:v>158.59</x:v>
      </x:c>
      <x:c r="U606" s="12" t="n">
        <x:f>E606*R606</x:f>
        <x:v>0</x:v>
      </x:c>
      <x:c r="V606" t="str">
        <x:f>IF(AND(C606="Active",Q606=0),"Active Zero Sales","Not Zero Sales")</x:f>
        <x:v>Not Zero Sales</x:v>
      </x:c>
      <x:c r="W606" s="12" t="n">
        <x:f>IF(V606="Active Zero Sales",U606,0)</x:f>
        <x:v>0</x:v>
      </x:c>
      <x:c r="X606" t="str">
        <x:f>IF(E606&lt;25,"Low &lt; 25",IF(E606&lt;100,"Medium 25-99",IF(E606&lt;300,"High 100-299","Premium 300+")))</x:f>
        <x:v>Medium 25-99</x:v>
      </x:c>
      <x:c r="Y606" t="n">
        <x:f>IF(C606="Active",1,0)</x:f>
        <x:v>1</x:v>
      </x:c>
    </x:row>
    <x:row r="607">
      <x:c r="A607" t="str">
        <x:v>SKU00606</x:v>
      </x:c>
      <x:c r="B607" t="str">
        <x:v>Sample Product 00606</x:v>
      </x:c>
      <x:c r="C607" t="str">
        <x:v>Active</x:v>
      </x:c>
      <x:c r="D607" t="str">
        <x:v>2026-03</x:v>
      </x:c>
      <x:c r="E607" s="12" t="n">
        <x:v>66.14</x:v>
      </x:c>
      <x:c r="F607" s="10" t="n">
        <x:v>0.284</x:v>
      </x:c>
      <x:c r="G607" t="str">
        <x:v>Nutrition</x:v>
      </x:c>
      <x:c r="H607" t="str">
        <x:v>Healthy Snacks</x:v>
      </x:c>
      <x:c r="I607" t="str">
        <x:v>MFG010</x:v>
      </x:c>
      <x:c r="J607" t="str">
        <x:v>Manufacturer 010</x:v>
      </x:c>
      <x:c r="K607" t="str">
        <x:v>SUP020</x:v>
      </x:c>
      <x:c r="L607" t="str">
        <x:v>Supplier 020</x:v>
      </x:c>
      <x:c r="M607" t="str">
        <x:v>REG-208851</x:v>
      </x:c>
      <x:c r="N607" t="str">
        <x:v>Generic Ingredient 176</x:v>
      </x:c>
      <x:c r="O607" t="str">
        <x:v>General Sale</x:v>
      </x:c>
      <x:c r="P607" t="n">
        <x:v>64</x:v>
      </x:c>
      <x:c r="Q607" t="n">
        <x:v>17</x:v>
      </x:c>
      <x:c r="R607" t="n">
        <x:v>0</x:v>
      </x:c>
      <x:c r="S607" s="12" t="n">
        <x:f>E607*Q607</x:f>
        <x:v>1124.38</x:v>
      </x:c>
      <x:c r="T607" s="12" t="n">
        <x:f>ROUND(S607*F607+0.000000001,2)</x:f>
        <x:v>319.32</x:v>
      </x:c>
      <x:c r="U607" s="12" t="n">
        <x:f>E607*R607</x:f>
        <x:v>0</x:v>
      </x:c>
      <x:c r="V607" t="str">
        <x:f>IF(AND(C607="Active",Q607=0),"Active Zero Sales","Not Zero Sales")</x:f>
        <x:v>Not Zero Sales</x:v>
      </x:c>
      <x:c r="W607" s="12" t="n">
        <x:f>IF(V607="Active Zero Sales",U607,0)</x:f>
        <x:v>0</x:v>
      </x:c>
      <x:c r="X607" t="str">
        <x:f>IF(E607&lt;25,"Low &lt; 25",IF(E607&lt;100,"Medium 25-99",IF(E607&lt;300,"High 100-299","Premium 300+")))</x:f>
        <x:v>Medium 25-99</x:v>
      </x:c>
      <x:c r="Y607" t="n">
        <x:f>IF(C607="Active",1,0)</x:f>
        <x:v>1</x:v>
      </x:c>
    </x:row>
    <x:row r="608">
      <x:c r="A608" t="str">
        <x:v>SKU00607</x:v>
      </x:c>
      <x:c r="B608" t="str">
        <x:v>Sample Product 00607</x:v>
      </x:c>
      <x:c r="C608" t="str">
        <x:v>Active</x:v>
      </x:c>
      <x:c r="D608" t="str">
        <x:v>2026-05</x:v>
      </x:c>
      <x:c r="E608" s="12" t="n">
        <x:v>25.83</x:v>
      </x:c>
      <x:c r="F608" s="10" t="n">
        <x:v>0.302</x:v>
      </x:c>
      <x:c r="G608" t="str">
        <x:v>OTC &amp; Wellness</x:v>
      </x:c>
      <x:c r="H608" t="str">
        <x:v>Digestive Care</x:v>
      </x:c>
      <x:c r="I608" t="str">
        <x:v>MFG004</x:v>
      </x:c>
      <x:c r="J608" t="str">
        <x:v>Manufacturer 004</x:v>
      </x:c>
      <x:c r="K608" t="str">
        <x:v>SUP018</x:v>
      </x:c>
      <x:c r="L608" t="str">
        <x:v>Supplier 018</x:v>
      </x:c>
      <x:c r="M608" t="str">
        <x:v>REG-101945</x:v>
      </x:c>
      <x:c r="N608" t="str">
        <x:v>Generic Ingredient 085</x:v>
      </x:c>
      <x:c r="O608" t="str">
        <x:v>General Sale</x:v>
      </x:c>
      <x:c r="P608" t="n">
        <x:v>81</x:v>
      </x:c>
      <x:c r="Q608" t="n">
        <x:v>53</x:v>
      </x:c>
      <x:c r="R608" t="n">
        <x:v>9</x:v>
      </x:c>
      <x:c r="S608" s="12" t="n">
        <x:f>E608*Q608</x:f>
        <x:v>1368.99</x:v>
      </x:c>
      <x:c r="T608" s="12" t="n">
        <x:f>ROUND(S608*F608+0.000000001,2)</x:f>
        <x:v>413.43</x:v>
      </x:c>
      <x:c r="U608" s="12" t="n">
        <x:f>E608*R608</x:f>
        <x:v>232.46999999999997</x:v>
      </x:c>
      <x:c r="V608" t="str">
        <x:f>IF(AND(C608="Active",Q608=0),"Active Zero Sales","Not Zero Sales")</x:f>
        <x:v>Not Zero Sales</x:v>
      </x:c>
      <x:c r="W608" s="12" t="n">
        <x:f>IF(V608="Active Zero Sales",U608,0)</x:f>
        <x:v>0</x:v>
      </x:c>
      <x:c r="X608" t="str">
        <x:f>IF(E608&lt;25,"Low &lt; 25",IF(E608&lt;100,"Medium 25-99",IF(E608&lt;300,"High 100-299","Premium 300+")))</x:f>
        <x:v>Medium 25-99</x:v>
      </x:c>
      <x:c r="Y608" t="n">
        <x:f>IF(C608="Active",1,0)</x:f>
        <x:v>1</x:v>
      </x:c>
    </x:row>
    <x:row r="609">
      <x:c r="A609" t="str">
        <x:v>SKU00608</x:v>
      </x:c>
      <x:c r="B609" t="str">
        <x:v>Sample Product 00608</x:v>
      </x:c>
      <x:c r="C609" t="str">
        <x:v>Blocked</x:v>
      </x:c>
      <x:c r="D609" t="str">
        <x:v>2026-01</x:v>
      </x:c>
      <x:c r="E609" s="12" t="n">
        <x:v>17.26</x:v>
      </x:c>
      <x:c r="F609" s="10" t="n">
        <x:v>0.494</x:v>
      </x:c>
      <x:c r="G609" t="str">
        <x:v>General Merchandise</x:v>
      </x:c>
      <x:c r="H609" t="str">
        <x:v>Seasonal Care</x:v>
      </x:c>
      <x:c r="I609" t="str">
        <x:v>MFG019</x:v>
      </x:c>
      <x:c r="J609" t="str">
        <x:v>Manufacturer 019</x:v>
      </x:c>
      <x:c r="K609" t="str">
        <x:v>SUP025</x:v>
      </x:c>
      <x:c r="L609" t="str">
        <x:v>Supplier 025</x:v>
      </x:c>
      <x:c r="M609" t="str">
        <x:v>REG-510053</x:v>
      </x:c>
      <x:c r="N609" t="str">
        <x:v>Generic Ingredient 179</x:v>
      </x:c>
      <x:c r="O609" t="str">
        <x:v>Pharmacy Only</x:v>
      </x:c>
      <x:c r="P609" t="n">
        <x:v>29</x:v>
      </x:c>
      <x:c r="Q609" t="n">
        <x:v>0</x:v>
      </x:c>
      <x:c r="R609" t="n">
        <x:v>13</x:v>
      </x:c>
      <x:c r="S609" s="12" t="n">
        <x:f>E609*Q609</x:f>
        <x:v>0</x:v>
      </x:c>
      <x:c r="T609" s="12" t="n">
        <x:f>ROUND(S609*F609+0.000000001,2)</x:f>
        <x:v>0</x:v>
      </x:c>
      <x:c r="U609" s="12" t="n">
        <x:f>E609*R609</x:f>
        <x:v>224.38000000000002</x:v>
      </x:c>
      <x:c r="V609" t="str">
        <x:f>IF(AND(C609="Active",Q609=0),"Active Zero Sales","Not Zero Sales")</x:f>
        <x:v>Not Zero Sales</x:v>
      </x:c>
      <x:c r="W609" s="12" t="n">
        <x:f>IF(V609="Active Zero Sales",U609,0)</x:f>
        <x:v>0</x:v>
      </x:c>
      <x:c r="X609" t="str">
        <x:f>IF(E609&lt;25,"Low &lt; 25",IF(E609&lt;100,"Medium 25-99",IF(E609&lt;300,"High 100-299","Premium 300+")))</x:f>
        <x:v>Low &lt; 25</x:v>
      </x:c>
      <x:c r="Y609" t="n">
        <x:f>IF(C609="Active",1,0)</x:f>
        <x:v>0</x:v>
      </x:c>
    </x:row>
    <x:row r="610">
      <x:c r="A610" t="str">
        <x:v>SKU00609</x:v>
      </x:c>
      <x:c r="B610" t="str">
        <x:v>Sample Product 00609</x:v>
      </x:c>
      <x:c r="C610" t="str">
        <x:v>Active</x:v>
      </x:c>
      <x:c r="D610" t="str">
        <x:v>2026-03</x:v>
      </x:c>
      <x:c r="E610" s="12" t="n">
        <x:v>22.15</x:v>
      </x:c>
      <x:c r="F610" s="10" t="n">
        <x:v>0.381</x:v>
      </x:c>
      <x:c r="G610" t="str">
        <x:v>OTC &amp; Wellness</x:v>
      </x:c>
      <x:c r="H610" t="str">
        <x:v>Pain Relief</x:v>
      </x:c>
      <x:c r="I610" t="str">
        <x:v>MFG009</x:v>
      </x:c>
      <x:c r="J610" t="str">
        <x:v>Manufacturer 009</x:v>
      </x:c>
      <x:c r="K610" t="str">
        <x:v>SUP015</x:v>
      </x:c>
      <x:c r="L610" t="str">
        <x:v>Supplier 015</x:v>
      </x:c>
      <x:c r="M610" t="str">
        <x:v>REG-842975</x:v>
      </x:c>
      <x:c r="N610" t="str">
        <x:v>Generic Ingredient 072</x:v>
      </x:c>
      <x:c r="O610" t="str">
        <x:v>General Sale</x:v>
      </x:c>
      <x:c r="P610" t="n">
        <x:v>47</x:v>
      </x:c>
      <x:c r="Q610" t="n">
        <x:v>8</x:v>
      </x:c>
      <x:c r="R610" t="n">
        <x:v>0</x:v>
      </x:c>
      <x:c r="S610" s="12" t="n">
        <x:f>E610*Q610</x:f>
        <x:v>177.2</x:v>
      </x:c>
      <x:c r="T610" s="12" t="n">
        <x:f>ROUND(S610*F610+0.000000001,2)</x:f>
        <x:v>67.51</x:v>
      </x:c>
      <x:c r="U610" s="12" t="n">
        <x:f>E610*R610</x:f>
        <x:v>0</x:v>
      </x:c>
      <x:c r="V610" t="str">
        <x:f>IF(AND(C610="Active",Q610=0),"Active Zero Sales","Not Zero Sales")</x:f>
        <x:v>Not Zero Sales</x:v>
      </x:c>
      <x:c r="W610" s="12" t="n">
        <x:f>IF(V610="Active Zero Sales",U610,0)</x:f>
        <x:v>0</x:v>
      </x:c>
      <x:c r="X610" t="str">
        <x:f>IF(E610&lt;25,"Low &lt; 25",IF(E610&lt;100,"Medium 25-99",IF(E610&lt;300,"High 100-299","Premium 300+")))</x:f>
        <x:v>Low &lt; 25</x:v>
      </x:c>
      <x:c r="Y610" t="n">
        <x:f>IF(C610="Active",1,0)</x:f>
        <x:v>1</x:v>
      </x:c>
    </x:row>
    <x:row r="611">
      <x:c r="A611" t="str">
        <x:v>SKU00610</x:v>
      </x:c>
      <x:c r="B611" t="str">
        <x:v>Sample Product 00610</x:v>
      </x:c>
      <x:c r="C611" t="str">
        <x:v>Blocked</x:v>
      </x:c>
      <x:c r="D611" t="str">
        <x:v>2026-06</x:v>
      </x:c>
      <x:c r="E611" s="12" t="n">
        <x:v>6.5</x:v>
      </x:c>
      <x:c r="F611" s="10" t="n">
        <x:v>0.381</x:v>
      </x:c>
      <x:c r="G611" t="str">
        <x:v>OTC &amp; Wellness</x:v>
      </x:c>
      <x:c r="H611" t="str">
        <x:v>Digestive Care</x:v>
      </x:c>
      <x:c r="I611" t="str">
        <x:v>MFG002</x:v>
      </x:c>
      <x:c r="J611" t="str">
        <x:v>Manufacturer 002</x:v>
      </x:c>
      <x:c r="K611" t="str">
        <x:v>SUP018</x:v>
      </x:c>
      <x:c r="L611" t="str">
        <x:v>Supplier 018</x:v>
      </x:c>
      <x:c r="M611" t="str">
        <x:v>REG-502174</x:v>
      </x:c>
      <x:c r="N611" t="str">
        <x:v>Generic Ingredient 136</x:v>
      </x:c>
      <x:c r="O611" t="str">
        <x:v>General Sale</x:v>
      </x:c>
      <x:c r="P611" t="n">
        <x:v>14</x:v>
      </x:c>
      <x:c r="Q611" t="n">
        <x:v>0</x:v>
      </x:c>
      <x:c r="R611" t="n">
        <x:v>3</x:v>
      </x:c>
      <x:c r="S611" s="12" t="n">
        <x:f>E611*Q611</x:f>
        <x:v>0</x:v>
      </x:c>
      <x:c r="T611" s="12" t="n">
        <x:f>ROUND(S611*F611+0.000000001,2)</x:f>
        <x:v>0</x:v>
      </x:c>
      <x:c r="U611" s="12" t="n">
        <x:f>E611*R611</x:f>
        <x:v>19.5</x:v>
      </x:c>
      <x:c r="V611" t="str">
        <x:f>IF(AND(C611="Active",Q611=0),"Active Zero Sales","Not Zero Sales")</x:f>
        <x:v>Not Zero Sales</x:v>
      </x:c>
      <x:c r="W611" s="12" t="n">
        <x:f>IF(V611="Active Zero Sales",U611,0)</x:f>
        <x:v>0</x:v>
      </x:c>
      <x:c r="X611" t="str">
        <x:f>IF(E611&lt;25,"Low &lt; 25",IF(E611&lt;100,"Medium 25-99",IF(E611&lt;300,"High 100-299","Premium 300+")))</x:f>
        <x:v>Low &lt; 25</x:v>
      </x:c>
      <x:c r="Y611" t="n">
        <x:f>IF(C611="Active",1,0)</x:f>
        <x:v>0</x:v>
      </x:c>
    </x:row>
    <x:row r="612">
      <x:c r="A612" t="str">
        <x:v>SKU00611</x:v>
      </x:c>
      <x:c r="B612" t="str">
        <x:v>Sample Product 00611</x:v>
      </x:c>
      <x:c r="C612" t="str">
        <x:v>Blocked</x:v>
      </x:c>
      <x:c r="D612" t="str">
        <x:v>2026-04</x:v>
      </x:c>
      <x:c r="E612" s="12" t="n">
        <x:v>163.32</x:v>
      </x:c>
      <x:c r="F612" s="10" t="n">
        <x:v>0.271</x:v>
      </x:c>
      <x:c r="G612" t="str">
        <x:v>Nutrition</x:v>
      </x:c>
      <x:c r="H612" t="str">
        <x:v>Sports Nutrition</x:v>
      </x:c>
      <x:c r="I612" t="str">
        <x:v>MFG006</x:v>
      </x:c>
      <x:c r="J612" t="str">
        <x:v>Manufacturer 006</x:v>
      </x:c>
      <x:c r="K612" t="str">
        <x:v>SUP019</x:v>
      </x:c>
      <x:c r="L612" t="str">
        <x:v>Supplier 019</x:v>
      </x:c>
      <x:c r="M612" t="str">
        <x:v>REG-325627</x:v>
      </x:c>
      <x:c r="N612" t="str">
        <x:v>Generic Ingredient 076</x:v>
      </x:c>
      <x:c r="O612" t="str">
        <x:v>General Sale</x:v>
      </x:c>
      <x:c r="P612" t="n">
        <x:v>48</x:v>
      </x:c>
      <x:c r="Q612" t="n">
        <x:v>0</x:v>
      </x:c>
      <x:c r="R612" t="n">
        <x:v>0</x:v>
      </x:c>
      <x:c r="S612" s="12" t="n">
        <x:f>E612*Q612</x:f>
        <x:v>0</x:v>
      </x:c>
      <x:c r="T612" s="12" t="n">
        <x:f>ROUND(S612*F612+0.000000001,2)</x:f>
        <x:v>0</x:v>
      </x:c>
      <x:c r="U612" s="12" t="n">
        <x:f>E612*R612</x:f>
        <x:v>0</x:v>
      </x:c>
      <x:c r="V612" t="str">
        <x:f>IF(AND(C612="Active",Q612=0),"Active Zero Sales","Not Zero Sales")</x:f>
        <x:v>Not Zero Sales</x:v>
      </x:c>
      <x:c r="W612" s="12" t="n">
        <x:f>IF(V612="Active Zero Sales",U612,0)</x:f>
        <x:v>0</x:v>
      </x:c>
      <x:c r="X612" t="str">
        <x:f>IF(E612&lt;25,"Low &lt; 25",IF(E612&lt;100,"Medium 25-99",IF(E612&lt;300,"High 100-299","Premium 300+")))</x:f>
        <x:v>High 100-299</x:v>
      </x:c>
      <x:c r="Y612" t="n">
        <x:f>IF(C612="Active",1,0)</x:f>
        <x:v>0</x:v>
      </x:c>
    </x:row>
    <x:row r="613">
      <x:c r="A613" t="str">
        <x:v>SKU00612</x:v>
      </x:c>
      <x:c r="B613" t="str">
        <x:v>Sample Product 00612</x:v>
      </x:c>
      <x:c r="C613" t="str">
        <x:v>Active</x:v>
      </x:c>
      <x:c r="D613" t="str">
        <x:v>2026-05</x:v>
      </x:c>
      <x:c r="E613" s="12" t="n">
        <x:v>291.39</x:v>
      </x:c>
      <x:c r="F613" s="10" t="n">
        <x:v>0.327</x:v>
      </x:c>
      <x:c r="G613" t="str">
        <x:v>Personal Care</x:v>
      </x:c>
      <x:c r="H613" t="str">
        <x:v>Oral Care</x:v>
      </x:c>
      <x:c r="I613" t="str">
        <x:v>MFG004</x:v>
      </x:c>
      <x:c r="J613" t="str">
        <x:v>Manufacturer 004</x:v>
      </x:c>
      <x:c r="K613" t="str">
        <x:v>SUP028</x:v>
      </x:c>
      <x:c r="L613" t="str">
        <x:v>Supplier 028</x:v>
      </x:c>
      <x:c r="M613" t="str">
        <x:v>REG-431780</x:v>
      </x:c>
      <x:c r="N613" t="str">
        <x:v>Generic Ingredient 041</x:v>
      </x:c>
      <x:c r="O613" t="str">
        <x:v>General Sale</x:v>
      </x:c>
      <x:c r="P613" t="n">
        <x:v>28</x:v>
      </x:c>
      <x:c r="Q613" t="n">
        <x:v>0</x:v>
      </x:c>
      <x:c r="R613" t="n">
        <x:v>13</x:v>
      </x:c>
      <x:c r="S613" s="12" t="n">
        <x:f>E613*Q613</x:f>
        <x:v>0</x:v>
      </x:c>
      <x:c r="T613" s="12" t="n">
        <x:f>ROUND(S613*F613+0.000000001,2)</x:f>
        <x:v>0</x:v>
      </x:c>
      <x:c r="U613" s="12" t="n">
        <x:f>E613*R613</x:f>
        <x:v>3788.0699999999997</x:v>
      </x:c>
      <x:c r="V613" t="str">
        <x:f>IF(AND(C613="Active",Q613=0),"Active Zero Sales","Not Zero Sales")</x:f>
        <x:v>Active Zero Sales</x:v>
      </x:c>
      <x:c r="W613" s="12" t="n">
        <x:f>IF(V613="Active Zero Sales",U613,0)</x:f>
        <x:v>3788.0699999999997</x:v>
      </x:c>
      <x:c r="X613" t="str">
        <x:f>IF(E613&lt;25,"Low &lt; 25",IF(E613&lt;100,"Medium 25-99",IF(E613&lt;300,"High 100-299","Premium 300+")))</x:f>
        <x:v>High 100-299</x:v>
      </x:c>
      <x:c r="Y613" t="n">
        <x:f>IF(C613="Active",1,0)</x:f>
        <x:v>1</x:v>
      </x:c>
    </x:row>
    <x:row r="614">
      <x:c r="A614" t="str">
        <x:v>SKU00613</x:v>
      </x:c>
      <x:c r="B614" t="str">
        <x:v>Sample Product 00613</x:v>
      </x:c>
      <x:c r="C614" t="str">
        <x:v>Active</x:v>
      </x:c>
      <x:c r="D614" t="str">
        <x:v>2026-05</x:v>
      </x:c>
      <x:c r="E614" s="12" t="n">
        <x:v>20.15</x:v>
      </x:c>
      <x:c r="F614" s="10" t="n">
        <x:v>0.421</x:v>
      </x:c>
      <x:c r="G614" t="str">
        <x:v>Personal Care</x:v>
      </x:c>
      <x:c r="H614" t="str">
        <x:v>Hygiene</x:v>
      </x:c>
      <x:c r="I614" t="str">
        <x:v>MFG005</x:v>
      </x:c>
      <x:c r="J614" t="str">
        <x:v>Manufacturer 005</x:v>
      </x:c>
      <x:c r="K614" t="str">
        <x:v>SUP025</x:v>
      </x:c>
      <x:c r="L614" t="str">
        <x:v>Supplier 025</x:v>
      </x:c>
      <x:c r="M614" t="str">
        <x:v>REG-437613</x:v>
      </x:c>
      <x:c r="N614" t="str">
        <x:v>Generic Ingredient 041</x:v>
      </x:c>
      <x:c r="O614" t="str">
        <x:v>General Sale</x:v>
      </x:c>
      <x:c r="P614" t="n">
        <x:v>72</x:v>
      </x:c>
      <x:c r="Q614" t="n">
        <x:v>34</x:v>
      </x:c>
      <x:c r="R614" t="n">
        <x:v>21</x:v>
      </x:c>
      <x:c r="S614" s="12" t="n">
        <x:f>E614*Q614</x:f>
        <x:v>685.0999999999999</x:v>
      </x:c>
      <x:c r="T614" s="12" t="n">
        <x:f>ROUND(S614*F614+0.000000001,2)</x:f>
        <x:v>288.43</x:v>
      </x:c>
      <x:c r="U614" s="12" t="n">
        <x:f>E614*R614</x:f>
        <x:v>423.15</x:v>
      </x:c>
      <x:c r="V614" t="str">
        <x:f>IF(AND(C614="Active",Q614=0),"Active Zero Sales","Not Zero Sales")</x:f>
        <x:v>Not Zero Sales</x:v>
      </x:c>
      <x:c r="W614" s="12" t="n">
        <x:f>IF(V614="Active Zero Sales",U614,0)</x:f>
        <x:v>0</x:v>
      </x:c>
      <x:c r="X614" t="str">
        <x:f>IF(E614&lt;25,"Low &lt; 25",IF(E614&lt;100,"Medium 25-99",IF(E614&lt;300,"High 100-299","Premium 300+")))</x:f>
        <x:v>Low &lt; 25</x:v>
      </x:c>
      <x:c r="Y614" t="n">
        <x:f>IF(C614="Active",1,0)</x:f>
        <x:v>1</x:v>
      </x:c>
    </x:row>
    <x:row r="615">
      <x:c r="A615" t="str">
        <x:v>SKU00614</x:v>
      </x:c>
      <x:c r="B615" t="str">
        <x:v>Sample Product 00614</x:v>
      </x:c>
      <x:c r="C615" t="str">
        <x:v>Blocked</x:v>
      </x:c>
      <x:c r="D615" t="str">
        <x:v>2026-06</x:v>
      </x:c>
      <x:c r="E615" s="12" t="n">
        <x:v>6.03</x:v>
      </x:c>
      <x:c r="F615" s="10" t="n">
        <x:v>0.185</x:v>
      </x:c>
      <x:c r="G615" t="str">
        <x:v>OTC &amp; Wellness</x:v>
      </x:c>
      <x:c r="H615" t="str">
        <x:v>Vitamins</x:v>
      </x:c>
      <x:c r="I615" t="str">
        <x:v>MFG018</x:v>
      </x:c>
      <x:c r="J615" t="str">
        <x:v>Manufacturer 018</x:v>
      </x:c>
      <x:c r="K615" t="str">
        <x:v>SUP009</x:v>
      </x:c>
      <x:c r="L615" t="str">
        <x:v>Supplier 009</x:v>
      </x:c>
      <x:c r="M615" t="str">
        <x:v>REG-299809</x:v>
      </x:c>
      <x:c r="N615" t="str">
        <x:v>Generic Ingredient 143</x:v>
      </x:c>
      <x:c r="O615" t="str">
        <x:v>General Sale</x:v>
      </x:c>
      <x:c r="P615" t="n">
        <x:v>72</x:v>
      </x:c>
      <x:c r="Q615" t="n">
        <x:v>29</x:v>
      </x:c>
      <x:c r="R615" t="n">
        <x:v>0</x:v>
      </x:c>
      <x:c r="S615" s="12" t="n">
        <x:f>E615*Q615</x:f>
        <x:v>174.87</x:v>
      </x:c>
      <x:c r="T615" s="12" t="n">
        <x:f>ROUND(S615*F615+0.000000001,2)</x:f>
        <x:v>32.35</x:v>
      </x:c>
      <x:c r="U615" s="12" t="n">
        <x:f>E615*R615</x:f>
        <x:v>0</x:v>
      </x:c>
      <x:c r="V615" t="str">
        <x:f>IF(AND(C615="Active",Q615=0),"Active Zero Sales","Not Zero Sales")</x:f>
        <x:v>Not Zero Sales</x:v>
      </x:c>
      <x:c r="W615" s="12" t="n">
        <x:f>IF(V615="Active Zero Sales",U615,0)</x:f>
        <x:v>0</x:v>
      </x:c>
      <x:c r="X615" t="str">
        <x:f>IF(E615&lt;25,"Low &lt; 25",IF(E615&lt;100,"Medium 25-99",IF(E615&lt;300,"High 100-299","Premium 300+")))</x:f>
        <x:v>Low &lt; 25</x:v>
      </x:c>
      <x:c r="Y615" t="n">
        <x:f>IF(C615="Active",1,0)</x:f>
        <x:v>0</x:v>
      </x:c>
    </x:row>
    <x:row r="616">
      <x:c r="A616" t="str">
        <x:v>SKU00615</x:v>
      </x:c>
      <x:c r="B616" t="str">
        <x:v>Sample Product 00615</x:v>
      </x:c>
      <x:c r="C616" t="str">
        <x:v>Active</x:v>
      </x:c>
      <x:c r="D616" t="str">
        <x:v>2026-03</x:v>
      </x:c>
      <x:c r="E616" s="12" t="n">
        <x:v>19.65</x:v>
      </x:c>
      <x:c r="F616" s="10" t="n">
        <x:v>0.335</x:v>
      </x:c>
      <x:c r="G616" t="str">
        <x:v>Nutrition</x:v>
      </x:c>
      <x:c r="H616" t="str">
        <x:v>Hydration</x:v>
      </x:c>
      <x:c r="I616" t="str">
        <x:v>MFG008</x:v>
      </x:c>
      <x:c r="J616" t="str">
        <x:v>Manufacturer 008</x:v>
      </x:c>
      <x:c r="K616" t="str">
        <x:v>SUP022</x:v>
      </x:c>
      <x:c r="L616" t="str">
        <x:v>Supplier 022</x:v>
      </x:c>
      <x:c r="M616" t="str">
        <x:v>REG-592699</x:v>
      </x:c>
      <x:c r="N616" t="str">
        <x:v>Generic Ingredient 078</x:v>
      </x:c>
      <x:c r="O616" t="str">
        <x:v>Pharmacy Only</x:v>
      </x:c>
      <x:c r="P616" t="n">
        <x:v>33</x:v>
      </x:c>
      <x:c r="Q616" t="n">
        <x:v>16</x:v>
      </x:c>
      <x:c r="R616" t="n">
        <x:v>0</x:v>
      </x:c>
      <x:c r="S616" s="12" t="n">
        <x:f>E616*Q616</x:f>
        <x:v>314.4</x:v>
      </x:c>
      <x:c r="T616" s="12" t="n">
        <x:f>ROUND(S616*F616+0.000000001,2)</x:f>
        <x:v>105.32</x:v>
      </x:c>
      <x:c r="U616" s="12" t="n">
        <x:f>E616*R616</x:f>
        <x:v>0</x:v>
      </x:c>
      <x:c r="V616" t="str">
        <x:f>IF(AND(C616="Active",Q616=0),"Active Zero Sales","Not Zero Sales")</x:f>
        <x:v>Not Zero Sales</x:v>
      </x:c>
      <x:c r="W616" s="12" t="n">
        <x:f>IF(V616="Active Zero Sales",U616,0)</x:f>
        <x:v>0</x:v>
      </x:c>
      <x:c r="X616" t="str">
        <x:f>IF(E616&lt;25,"Low &lt; 25",IF(E616&lt;100,"Medium 25-99",IF(E616&lt;300,"High 100-299","Premium 300+")))</x:f>
        <x:v>Low &lt; 25</x:v>
      </x:c>
      <x:c r="Y616" t="n">
        <x:f>IF(C616="Active",1,0)</x:f>
        <x:v>1</x:v>
      </x:c>
    </x:row>
    <x:row r="617">
      <x:c r="A617" t="str">
        <x:v>SKU00616</x:v>
      </x:c>
      <x:c r="B617" t="str">
        <x:v>Sample Product 00616</x:v>
      </x:c>
      <x:c r="C617" t="str">
        <x:v>Active</x:v>
      </x:c>
      <x:c r="D617" t="str">
        <x:v>2026-06</x:v>
      </x:c>
      <x:c r="E617" s="12" t="n">
        <x:v>90.09</x:v>
      </x:c>
      <x:c r="F617" s="10" t="n">
        <x:v>0.51</x:v>
      </x:c>
      <x:c r="G617" t="str">
        <x:v>Personal Care</x:v>
      </x:c>
      <x:c r="H617" t="str">
        <x:v>Oral Care</x:v>
      </x:c>
      <x:c r="I617" t="str">
        <x:v>MFG001</x:v>
      </x:c>
      <x:c r="J617" t="str">
        <x:v>Manufacturer 001</x:v>
      </x:c>
      <x:c r="K617" t="str">
        <x:v>SUP028</x:v>
      </x:c>
      <x:c r="L617" t="str">
        <x:v>Supplier 028</x:v>
      </x:c>
      <x:c r="M617" t="str">
        <x:v>REG-491693</x:v>
      </x:c>
      <x:c r="N617" t="str">
        <x:v>Generic Ingredient 026</x:v>
      </x:c>
      <x:c r="O617" t="str">
        <x:v>General Sale</x:v>
      </x:c>
      <x:c r="P617" t="n">
        <x:v>23</x:v>
      </x:c>
      <x:c r="Q617" t="n">
        <x:v>11</x:v>
      </x:c>
      <x:c r="R617" t="n">
        <x:v>15</x:v>
      </x:c>
      <x:c r="S617" s="12" t="n">
        <x:f>E617*Q617</x:f>
        <x:v>990.99</x:v>
      </x:c>
      <x:c r="T617" s="12" t="n">
        <x:f>ROUND(S617*F617+0.000000001,2)</x:f>
        <x:v>505.4</x:v>
      </x:c>
      <x:c r="U617" s="12" t="n">
        <x:f>E617*R617</x:f>
        <x:v>1351.3500000000001</x:v>
      </x:c>
      <x:c r="V617" t="str">
        <x:f>IF(AND(C617="Active",Q617=0),"Active Zero Sales","Not Zero Sales")</x:f>
        <x:v>Not Zero Sales</x:v>
      </x:c>
      <x:c r="W617" s="12" t="n">
        <x:f>IF(V617="Active Zero Sales",U617,0)</x:f>
        <x:v>0</x:v>
      </x:c>
      <x:c r="X617" t="str">
        <x:f>IF(E617&lt;25,"Low &lt; 25",IF(E617&lt;100,"Medium 25-99",IF(E617&lt;300,"High 100-299","Premium 300+")))</x:f>
        <x:v>Medium 25-99</x:v>
      </x:c>
      <x:c r="Y617" t="n">
        <x:f>IF(C617="Active",1,0)</x:f>
        <x:v>1</x:v>
      </x:c>
    </x:row>
    <x:row r="618">
      <x:c r="A618" t="str">
        <x:v>SKU00617</x:v>
      </x:c>
      <x:c r="B618" t="str">
        <x:v>Sample Product 00617</x:v>
      </x:c>
      <x:c r="C618" t="str">
        <x:v>Active</x:v>
      </x:c>
      <x:c r="D618" t="str">
        <x:v>2026-01</x:v>
      </x:c>
      <x:c r="E618" s="12" t="n">
        <x:v>7.3</x:v>
      </x:c>
      <x:c r="F618" s="10" t="n">
        <x:v>0.185</x:v>
      </x:c>
      <x:c r="G618" t="str">
        <x:v>Nutrition</x:v>
      </x:c>
      <x:c r="H618" t="str">
        <x:v>Adult Nutrition</x:v>
      </x:c>
      <x:c r="I618" t="str">
        <x:v>MFG004</x:v>
      </x:c>
      <x:c r="J618" t="str">
        <x:v>Manufacturer 004</x:v>
      </x:c>
      <x:c r="K618" t="str">
        <x:v>SUP010</x:v>
      </x:c>
      <x:c r="L618" t="str">
        <x:v>Supplier 010</x:v>
      </x:c>
      <x:c r="M618" t="str">
        <x:v>REG-489316</x:v>
      </x:c>
      <x:c r="N618" t="str">
        <x:v>Generic Ingredient 156</x:v>
      </x:c>
      <x:c r="O618" t="str">
        <x:v>General Sale</x:v>
      </x:c>
      <x:c r="P618" t="n">
        <x:v>27</x:v>
      </x:c>
      <x:c r="Q618" t="n">
        <x:v>22</x:v>
      </x:c>
      <x:c r="R618" t="n">
        <x:v>9</x:v>
      </x:c>
      <x:c r="S618" s="12" t="n">
        <x:f>E618*Q618</x:f>
        <x:v>160.6</x:v>
      </x:c>
      <x:c r="T618" s="12" t="n">
        <x:f>ROUND(S618*F618+0.000000001,2)</x:f>
        <x:v>29.71</x:v>
      </x:c>
      <x:c r="U618" s="12" t="n">
        <x:f>E618*R618</x:f>
        <x:v>65.7</x:v>
      </x:c>
      <x:c r="V618" t="str">
        <x:f>IF(AND(C618="Active",Q618=0),"Active Zero Sales","Not Zero Sales")</x:f>
        <x:v>Not Zero Sales</x:v>
      </x:c>
      <x:c r="W618" s="12" t="n">
        <x:f>IF(V618="Active Zero Sales",U618,0)</x:f>
        <x:v>0</x:v>
      </x:c>
      <x:c r="X618" t="str">
        <x:f>IF(E618&lt;25,"Low &lt; 25",IF(E618&lt;100,"Medium 25-99",IF(E618&lt;300,"High 100-299","Premium 300+")))</x:f>
        <x:v>Low &lt; 25</x:v>
      </x:c>
      <x:c r="Y618" t="n">
        <x:f>IF(C618="Active",1,0)</x:f>
        <x:v>1</x:v>
      </x:c>
    </x:row>
    <x:row r="619">
      <x:c r="A619" t="str">
        <x:v>SKU00618</x:v>
      </x:c>
      <x:c r="B619" t="str">
        <x:v>Sample Product 00618</x:v>
      </x:c>
      <x:c r="C619" t="str">
        <x:v>Blocked</x:v>
      </x:c>
      <x:c r="D619" t="str">
        <x:v>2026-05</x:v>
      </x:c>
      <x:c r="E619" s="12" t="n">
        <x:v>18.5</x:v>
      </x:c>
      <x:c r="F619" s="10" t="n">
        <x:v>0.402</x:v>
      </x:c>
      <x:c r="G619" t="str">
        <x:v>OTC &amp; Wellness</x:v>
      </x:c>
      <x:c r="H619" t="str">
        <x:v>Vitamins</x:v>
      </x:c>
      <x:c r="I619" t="str">
        <x:v>MFG012</x:v>
      </x:c>
      <x:c r="J619" t="str">
        <x:v>Manufacturer 012</x:v>
      </x:c>
      <x:c r="K619" t="str">
        <x:v>SUP029</x:v>
      </x:c>
      <x:c r="L619" t="str">
        <x:v>Supplier 029</x:v>
      </x:c>
      <x:c r="M619" t="str">
        <x:v>REG-135311</x:v>
      </x:c>
      <x:c r="N619" t="str">
        <x:v>Generic Ingredient 068</x:v>
      </x:c>
      <x:c r="O619" t="str">
        <x:v>Pharmacy Only</x:v>
      </x:c>
      <x:c r="P619" t="n">
        <x:v>13</x:v>
      </x:c>
      <x:c r="Q619" t="n">
        <x:v>0</x:v>
      </x:c>
      <x:c r="R619" t="n">
        <x:v>0</x:v>
      </x:c>
      <x:c r="S619" s="12" t="n">
        <x:f>E619*Q619</x:f>
        <x:v>0</x:v>
      </x:c>
      <x:c r="T619" s="12" t="n">
        <x:f>ROUND(S619*F619+0.000000001,2)</x:f>
        <x:v>0</x:v>
      </x:c>
      <x:c r="U619" s="12" t="n">
        <x:f>E619*R619</x:f>
        <x:v>0</x:v>
      </x:c>
      <x:c r="V619" t="str">
        <x:f>IF(AND(C619="Active",Q619=0),"Active Zero Sales","Not Zero Sales")</x:f>
        <x:v>Not Zero Sales</x:v>
      </x:c>
      <x:c r="W619" s="12" t="n">
        <x:f>IF(V619="Active Zero Sales",U619,0)</x:f>
        <x:v>0</x:v>
      </x:c>
      <x:c r="X619" t="str">
        <x:f>IF(E619&lt;25,"Low &lt; 25",IF(E619&lt;100,"Medium 25-99",IF(E619&lt;300,"High 100-299","Premium 300+")))</x:f>
        <x:v>Low &lt; 25</x:v>
      </x:c>
      <x:c r="Y619" t="n">
        <x:f>IF(C619="Active",1,0)</x:f>
        <x:v>0</x:v>
      </x:c>
    </x:row>
    <x:row r="620">
      <x:c r="A620" t="str">
        <x:v>SKU00619</x:v>
      </x:c>
      <x:c r="B620" t="str">
        <x:v>Sample Product 00619</x:v>
      </x:c>
      <x:c r="C620" t="str">
        <x:v>Active</x:v>
      </x:c>
      <x:c r="D620" t="str">
        <x:v>2026-01</x:v>
      </x:c>
      <x:c r="E620" s="12" t="n">
        <x:v>22.64</x:v>
      </x:c>
      <x:c r="F620" s="10" t="n">
        <x:v>0.372</x:v>
      </x:c>
      <x:c r="G620" t="str">
        <x:v>OTC &amp; Wellness</x:v>
      </x:c>
      <x:c r="H620" t="str">
        <x:v>Vitamins</x:v>
      </x:c>
      <x:c r="I620" t="str">
        <x:v>MFG004</x:v>
      </x:c>
      <x:c r="J620" t="str">
        <x:v>Manufacturer 004</x:v>
      </x:c>
      <x:c r="K620" t="str">
        <x:v>SUP025</x:v>
      </x:c>
      <x:c r="L620" t="str">
        <x:v>Supplier 025</x:v>
      </x:c>
      <x:c r="M620" t="str">
        <x:v>REG-950157</x:v>
      </x:c>
      <x:c r="N620" t="str">
        <x:v>Generic Ingredient 135</x:v>
      </x:c>
      <x:c r="O620" t="str">
        <x:v>Pharmacy Only</x:v>
      </x:c>
      <x:c r="P620" t="n">
        <x:v>42</x:v>
      </x:c>
      <x:c r="Q620" t="n">
        <x:v>38</x:v>
      </x:c>
      <x:c r="R620" t="n">
        <x:v>11</x:v>
      </x:c>
      <x:c r="S620" s="12" t="n">
        <x:f>E620*Q620</x:f>
        <x:v>860.32</x:v>
      </x:c>
      <x:c r="T620" s="12" t="n">
        <x:f>ROUND(S620*F620+0.000000001,2)</x:f>
        <x:v>320.04</x:v>
      </x:c>
      <x:c r="U620" s="12" t="n">
        <x:f>E620*R620</x:f>
        <x:v>249.04000000000002</x:v>
      </x:c>
      <x:c r="V620" t="str">
        <x:f>IF(AND(C620="Active",Q620=0),"Active Zero Sales","Not Zero Sales")</x:f>
        <x:v>Not Zero Sales</x:v>
      </x:c>
      <x:c r="W620" s="12" t="n">
        <x:f>IF(V620="Active Zero Sales",U620,0)</x:f>
        <x:v>0</x:v>
      </x:c>
      <x:c r="X620" t="str">
        <x:f>IF(E620&lt;25,"Low &lt; 25",IF(E620&lt;100,"Medium 25-99",IF(E620&lt;300,"High 100-299","Premium 300+")))</x:f>
        <x:v>Low &lt; 25</x:v>
      </x:c>
      <x:c r="Y620" t="n">
        <x:f>IF(C620="Active",1,0)</x:f>
        <x:v>1</x:v>
      </x:c>
    </x:row>
    <x:row r="621">
      <x:c r="A621" t="str">
        <x:v>SKU00620</x:v>
      </x:c>
      <x:c r="B621" t="str">
        <x:v>Sample Product 00620</x:v>
      </x:c>
      <x:c r="C621" t="str">
        <x:v>Active</x:v>
      </x:c>
      <x:c r="D621" t="str">
        <x:v>2026-06</x:v>
      </x:c>
      <x:c r="E621" s="12" t="n">
        <x:v>52.36</x:v>
      </x:c>
      <x:c r="F621" s="10" t="n">
        <x:v>0.229</x:v>
      </x:c>
      <x:c r="G621" t="str">
        <x:v>Nutrition</x:v>
      </x:c>
      <x:c r="H621" t="str">
        <x:v>Hydration</x:v>
      </x:c>
      <x:c r="I621" t="str">
        <x:v>MFG011</x:v>
      </x:c>
      <x:c r="J621" t="str">
        <x:v>Manufacturer 011</x:v>
      </x:c>
      <x:c r="K621" t="str">
        <x:v>SUP004</x:v>
      </x:c>
      <x:c r="L621" t="str">
        <x:v>Supplier 004</x:v>
      </x:c>
      <x:c r="M621" t="str">
        <x:v>REG-916595</x:v>
      </x:c>
      <x:c r="N621" t="str">
        <x:v>Generic Ingredient 091</x:v>
      </x:c>
      <x:c r="O621" t="str">
        <x:v>General Sale</x:v>
      </x:c>
      <x:c r="P621" t="n">
        <x:v>87</x:v>
      </x:c>
      <x:c r="Q621" t="n">
        <x:v>69</x:v>
      </x:c>
      <x:c r="R621" t="n">
        <x:v>0</x:v>
      </x:c>
      <x:c r="S621" s="12" t="n">
        <x:f>E621*Q621</x:f>
        <x:v>3612.84</x:v>
      </x:c>
      <x:c r="T621" s="12" t="n">
        <x:f>ROUND(S621*F621+0.000000001,2)</x:f>
        <x:v>827.34</x:v>
      </x:c>
      <x:c r="U621" s="12" t="n">
        <x:f>E621*R621</x:f>
        <x:v>0</x:v>
      </x:c>
      <x:c r="V621" t="str">
        <x:f>IF(AND(C621="Active",Q621=0),"Active Zero Sales","Not Zero Sales")</x:f>
        <x:v>Not Zero Sales</x:v>
      </x:c>
      <x:c r="W621" s="12" t="n">
        <x:f>IF(V621="Active Zero Sales",U621,0)</x:f>
        <x:v>0</x:v>
      </x:c>
      <x:c r="X621" t="str">
        <x:f>IF(E621&lt;25,"Low &lt; 25",IF(E621&lt;100,"Medium 25-99",IF(E621&lt;300,"High 100-299","Premium 300+")))</x:f>
        <x:v>Medium 25-99</x:v>
      </x:c>
      <x:c r="Y621" t="n">
        <x:f>IF(C621="Active",1,0)</x:f>
        <x:v>1</x:v>
      </x:c>
    </x:row>
    <x:row r="622">
      <x:c r="A622" t="str">
        <x:v>SKU00621</x:v>
      </x:c>
      <x:c r="B622" t="str">
        <x:v>Sample Product 00621</x:v>
      </x:c>
      <x:c r="C622" t="str">
        <x:v>Active</x:v>
      </x:c>
      <x:c r="D622" t="str">
        <x:v>2026-06</x:v>
      </x:c>
      <x:c r="E622" s="12" t="n">
        <x:v>443.44</x:v>
      </x:c>
      <x:c r="F622" s="10" t="n">
        <x:v>0.317</x:v>
      </x:c>
      <x:c r="G622" t="str">
        <x:v>OTC &amp; Wellness</x:v>
      </x:c>
      <x:c r="H622" t="str">
        <x:v>Vitamins</x:v>
      </x:c>
      <x:c r="I622" t="str">
        <x:v>MFG019</x:v>
      </x:c>
      <x:c r="J622" t="str">
        <x:v>Manufacturer 019</x:v>
      </x:c>
      <x:c r="K622" t="str">
        <x:v>SUP024</x:v>
      </x:c>
      <x:c r="L622" t="str">
        <x:v>Supplier 024</x:v>
      </x:c>
      <x:c r="M622" t="str">
        <x:v>REG-579355</x:v>
      </x:c>
      <x:c r="N622" t="str">
        <x:v>Generic Ingredient 121</x:v>
      </x:c>
      <x:c r="O622" t="str">
        <x:v>General Sale</x:v>
      </x:c>
      <x:c r="P622" t="n">
        <x:v>65</x:v>
      </x:c>
      <x:c r="Q622" t="n">
        <x:v>18</x:v>
      </x:c>
      <x:c r="R622" t="n">
        <x:v>0</x:v>
      </x:c>
      <x:c r="S622" s="12" t="n">
        <x:f>E622*Q622</x:f>
        <x:v>7981.92</x:v>
      </x:c>
      <x:c r="T622" s="12" t="n">
        <x:f>ROUND(S622*F622+0.000000001,2)</x:f>
        <x:v>2530.27</x:v>
      </x:c>
      <x:c r="U622" s="12" t="n">
        <x:f>E622*R622</x:f>
        <x:v>0</x:v>
      </x:c>
      <x:c r="V622" t="str">
        <x:f>IF(AND(C622="Active",Q622=0),"Active Zero Sales","Not Zero Sales")</x:f>
        <x:v>Not Zero Sales</x:v>
      </x:c>
      <x:c r="W622" s="12" t="n">
        <x:f>IF(V622="Active Zero Sales",U622,0)</x:f>
        <x:v>0</x:v>
      </x:c>
      <x:c r="X622" t="str">
        <x:f>IF(E622&lt;25,"Low &lt; 25",IF(E622&lt;100,"Medium 25-99",IF(E622&lt;300,"High 100-299","Premium 300+")))</x:f>
        <x:v>Premium 300+</x:v>
      </x:c>
      <x:c r="Y622" t="n">
        <x:f>IF(C622="Active",1,0)</x:f>
        <x:v>1</x:v>
      </x:c>
    </x:row>
    <x:row r="623">
      <x:c r="A623" t="str">
        <x:v>SKU00622</x:v>
      </x:c>
      <x:c r="B623" t="str">
        <x:v>Sample Product 00622</x:v>
      </x:c>
      <x:c r="C623" t="str">
        <x:v>Active</x:v>
      </x:c>
      <x:c r="D623" t="str">
        <x:v>2026-06</x:v>
      </x:c>
      <x:c r="E623" s="12" t="n">
        <x:v>75.28</x:v>
      </x:c>
      <x:c r="F623" s="10" t="n">
        <x:v>0.426</x:v>
      </x:c>
      <x:c r="G623" t="str">
        <x:v>Personal Care</x:v>
      </x:c>
      <x:c r="H623" t="str">
        <x:v>Oral Care</x:v>
      </x:c>
      <x:c r="I623" t="str">
        <x:v>MFG014</x:v>
      </x:c>
      <x:c r="J623" t="str">
        <x:v>Manufacturer 014</x:v>
      </x:c>
      <x:c r="K623" t="str">
        <x:v>SUP018</x:v>
      </x:c>
      <x:c r="L623" t="str">
        <x:v>Supplier 018</x:v>
      </x:c>
      <x:c r="M623" t="str">
        <x:v>REG-768479</x:v>
      </x:c>
      <x:c r="N623" t="str">
        <x:v>Generic Ingredient 024</x:v>
      </x:c>
      <x:c r="O623" t="str">
        <x:v>Pharmacy Only</x:v>
      </x:c>
      <x:c r="P623" t="n">
        <x:v>38</x:v>
      </x:c>
      <x:c r="Q623" t="n">
        <x:v>17</x:v>
      </x:c>
      <x:c r="R623" t="n">
        <x:v>0</x:v>
      </x:c>
      <x:c r="S623" s="12" t="n">
        <x:f>E623*Q623</x:f>
        <x:v>1279.76</x:v>
      </x:c>
      <x:c r="T623" s="12" t="n">
        <x:f>ROUND(S623*F623+0.000000001,2)</x:f>
        <x:v>545.18</x:v>
      </x:c>
      <x:c r="U623" s="12" t="n">
        <x:f>E623*R623</x:f>
        <x:v>0</x:v>
      </x:c>
      <x:c r="V623" t="str">
        <x:f>IF(AND(C623="Active",Q623=0),"Active Zero Sales","Not Zero Sales")</x:f>
        <x:v>Not Zero Sales</x:v>
      </x:c>
      <x:c r="W623" s="12" t="n">
        <x:f>IF(V623="Active Zero Sales",U623,0)</x:f>
        <x:v>0</x:v>
      </x:c>
      <x:c r="X623" t="str">
        <x:f>IF(E623&lt;25,"Low &lt; 25",IF(E623&lt;100,"Medium 25-99",IF(E623&lt;300,"High 100-299","Premium 300+")))</x:f>
        <x:v>Medium 25-99</x:v>
      </x:c>
      <x:c r="Y623" t="n">
        <x:f>IF(C623="Active",1,0)</x:f>
        <x:v>1</x:v>
      </x:c>
    </x:row>
    <x:row r="624">
      <x:c r="A624" t="str">
        <x:v>SKU00623</x:v>
      </x:c>
      <x:c r="B624" t="str">
        <x:v>Sample Product 00623</x:v>
      </x:c>
      <x:c r="C624" t="str">
        <x:v>Active</x:v>
      </x:c>
      <x:c r="D624" t="str">
        <x:v>2026-04</x:v>
      </x:c>
      <x:c r="E624" s="12" t="n">
        <x:v>34.52</x:v>
      </x:c>
      <x:c r="F624" s="10" t="n">
        <x:v>0.253</x:v>
      </x:c>
      <x:c r="G624" t="str">
        <x:v>Nutrition</x:v>
      </x:c>
      <x:c r="H624" t="str">
        <x:v>Adult Nutrition</x:v>
      </x:c>
      <x:c r="I624" t="str">
        <x:v>MFG017</x:v>
      </x:c>
      <x:c r="J624" t="str">
        <x:v>Manufacturer 017</x:v>
      </x:c>
      <x:c r="K624" t="str">
        <x:v>SUP027</x:v>
      </x:c>
      <x:c r="L624" t="str">
        <x:v>Supplier 027</x:v>
      </x:c>
      <x:c r="M624" t="str">
        <x:v>REG-879717</x:v>
      </x:c>
      <x:c r="N624" t="str">
        <x:v>Generic Ingredient 068</x:v>
      </x:c>
      <x:c r="O624" t="str">
        <x:v>General Sale</x:v>
      </x:c>
      <x:c r="P624" t="n">
        <x:v>83</x:v>
      </x:c>
      <x:c r="Q624" t="n">
        <x:v>22</x:v>
      </x:c>
      <x:c r="R624" t="n">
        <x:v>13</x:v>
      </x:c>
      <x:c r="S624" s="12" t="n">
        <x:f>E624*Q624</x:f>
        <x:v>759.44</x:v>
      </x:c>
      <x:c r="T624" s="12" t="n">
        <x:f>ROUND(S624*F624+0.000000001,2)</x:f>
        <x:v>192.14</x:v>
      </x:c>
      <x:c r="U624" s="12" t="n">
        <x:f>E624*R624</x:f>
        <x:v>448.76000000000005</x:v>
      </x:c>
      <x:c r="V624" t="str">
        <x:f>IF(AND(C624="Active",Q624=0),"Active Zero Sales","Not Zero Sales")</x:f>
        <x:v>Not Zero Sales</x:v>
      </x:c>
      <x:c r="W624" s="12" t="n">
        <x:f>IF(V624="Active Zero Sales",U624,0)</x:f>
        <x:v>0</x:v>
      </x:c>
      <x:c r="X624" t="str">
        <x:f>IF(E624&lt;25,"Low &lt; 25",IF(E624&lt;100,"Medium 25-99",IF(E624&lt;300,"High 100-299","Premium 300+")))</x:f>
        <x:v>Medium 25-99</x:v>
      </x:c>
      <x:c r="Y624" t="n">
        <x:f>IF(C624="Active",1,0)</x:f>
        <x:v>1</x:v>
      </x:c>
    </x:row>
    <x:row r="625">
      <x:c r="A625" t="str">
        <x:v>SKU00624</x:v>
      </x:c>
      <x:c r="B625" t="str">
        <x:v>Sample Product 00624</x:v>
      </x:c>
      <x:c r="C625" t="str">
        <x:v>Active</x:v>
      </x:c>
      <x:c r="D625" t="str">
        <x:v>2026-02</x:v>
      </x:c>
      <x:c r="E625" s="12" t="n">
        <x:v>77.37</x:v>
      </x:c>
      <x:c r="F625" s="10" t="n">
        <x:v>0.392</x:v>
      </x:c>
      <x:c r="G625" t="str">
        <x:v>Nutrition</x:v>
      </x:c>
      <x:c r="H625" t="str">
        <x:v>Adult Nutrition</x:v>
      </x:c>
      <x:c r="I625" t="str">
        <x:v>MFG007</x:v>
      </x:c>
      <x:c r="J625" t="str">
        <x:v>Manufacturer 007</x:v>
      </x:c>
      <x:c r="K625" t="str">
        <x:v>SUP007</x:v>
      </x:c>
      <x:c r="L625" t="str">
        <x:v>Supplier 007</x:v>
      </x:c>
      <x:c r="M625" t="str">
        <x:v>REG-463865</x:v>
      </x:c>
      <x:c r="N625" t="str">
        <x:v>Generic Ingredient 008</x:v>
      </x:c>
      <x:c r="O625" t="str">
        <x:v>General Sale</x:v>
      </x:c>
      <x:c r="P625" t="n">
        <x:v>66</x:v>
      </x:c>
      <x:c r="Q625" t="n">
        <x:v>11</x:v>
      </x:c>
      <x:c r="R625" t="n">
        <x:v>9</x:v>
      </x:c>
      <x:c r="S625" s="12" t="n">
        <x:f>E625*Q625</x:f>
        <x:v>851.07</x:v>
      </x:c>
      <x:c r="T625" s="12" t="n">
        <x:f>ROUND(S625*F625+0.000000001,2)</x:f>
        <x:v>333.62</x:v>
      </x:c>
      <x:c r="U625" s="12" t="n">
        <x:f>E625*R625</x:f>
        <x:v>696.33</x:v>
      </x:c>
      <x:c r="V625" t="str">
        <x:f>IF(AND(C625="Active",Q625=0),"Active Zero Sales","Not Zero Sales")</x:f>
        <x:v>Not Zero Sales</x:v>
      </x:c>
      <x:c r="W625" s="12" t="n">
        <x:f>IF(V625="Active Zero Sales",U625,0)</x:f>
        <x:v>0</x:v>
      </x:c>
      <x:c r="X625" t="str">
        <x:f>IF(E625&lt;25,"Low &lt; 25",IF(E625&lt;100,"Medium 25-99",IF(E625&lt;300,"High 100-299","Premium 300+")))</x:f>
        <x:v>Medium 25-99</x:v>
      </x:c>
      <x:c r="Y625" t="n">
        <x:f>IF(C625="Active",1,0)</x:f>
        <x:v>1</x:v>
      </x:c>
    </x:row>
    <x:row r="626">
      <x:c r="A626" t="str">
        <x:v>SKU00625</x:v>
      </x:c>
      <x:c r="B626" t="str">
        <x:v>Sample Product 00625</x:v>
      </x:c>
      <x:c r="C626" t="str">
        <x:v>Blocked</x:v>
      </x:c>
      <x:c r="D626" t="str">
        <x:v>2026-05</x:v>
      </x:c>
      <x:c r="E626" s="12" t="n">
        <x:v>46.54</x:v>
      </x:c>
      <x:c r="F626" s="10" t="n">
        <x:v>0.343</x:v>
      </x:c>
      <x:c r="G626" t="str">
        <x:v>OTC &amp; Wellness</x:v>
      </x:c>
      <x:c r="H626" t="str">
        <x:v>Pain Relief</x:v>
      </x:c>
      <x:c r="I626" t="str">
        <x:v>MFG019</x:v>
      </x:c>
      <x:c r="J626" t="str">
        <x:v>Manufacturer 019</x:v>
      </x:c>
      <x:c r="K626" t="str">
        <x:v>SUP001</x:v>
      </x:c>
      <x:c r="L626" t="str">
        <x:v>Supplier 001</x:v>
      </x:c>
      <x:c r="M626" t="str">
        <x:v>REG-404887</x:v>
      </x:c>
      <x:c r="N626" t="str">
        <x:v>Generic Ingredient 147</x:v>
      </x:c>
      <x:c r="O626" t="str">
        <x:v>General Sale</x:v>
      </x:c>
      <x:c r="P626" t="n">
        <x:v>4</x:v>
      </x:c>
      <x:c r="Q626" t="n">
        <x:v>0</x:v>
      </x:c>
      <x:c r="R626" t="n">
        <x:v>0</x:v>
      </x:c>
      <x:c r="S626" s="12" t="n">
        <x:f>E626*Q626</x:f>
        <x:v>0</x:v>
      </x:c>
      <x:c r="T626" s="12" t="n">
        <x:f>ROUND(S626*F626+0.000000001,2)</x:f>
        <x:v>0</x:v>
      </x:c>
      <x:c r="U626" s="12" t="n">
        <x:f>E626*R626</x:f>
        <x:v>0</x:v>
      </x:c>
      <x:c r="V626" t="str">
        <x:f>IF(AND(C626="Active",Q626=0),"Active Zero Sales","Not Zero Sales")</x:f>
        <x:v>Not Zero Sales</x:v>
      </x:c>
      <x:c r="W626" s="12" t="n">
        <x:f>IF(V626="Active Zero Sales",U626,0)</x:f>
        <x:v>0</x:v>
      </x:c>
      <x:c r="X626" t="str">
        <x:f>IF(E626&lt;25,"Low &lt; 25",IF(E626&lt;100,"Medium 25-99",IF(E626&lt;300,"High 100-299","Premium 300+")))</x:f>
        <x:v>Medium 25-99</x:v>
      </x:c>
      <x:c r="Y626" t="n">
        <x:f>IF(C626="Active",1,0)</x:f>
        <x:v>0</x:v>
      </x:c>
    </x:row>
    <x:row r="627">
      <x:c r="A627" t="str">
        <x:v>SKU00626</x:v>
      </x:c>
      <x:c r="B627" t="str">
        <x:v>Sample Product 00626</x:v>
      </x:c>
      <x:c r="C627" t="str">
        <x:v>Active</x:v>
      </x:c>
      <x:c r="D627" t="str">
        <x:v>2026-02</x:v>
      </x:c>
      <x:c r="E627" s="12" t="n">
        <x:v>22.59</x:v>
      </x:c>
      <x:c r="F627" s="10" t="n">
        <x:v>0.34</x:v>
      </x:c>
      <x:c r="G627" t="str">
        <x:v>Nutrition</x:v>
      </x:c>
      <x:c r="H627" t="str">
        <x:v>Hydration</x:v>
      </x:c>
      <x:c r="I627" t="str">
        <x:v>MFG014</x:v>
      </x:c>
      <x:c r="J627" t="str">
        <x:v>Manufacturer 014</x:v>
      </x:c>
      <x:c r="K627" t="str">
        <x:v>SUP016</x:v>
      </x:c>
      <x:c r="L627" t="str">
        <x:v>Supplier 016</x:v>
      </x:c>
      <x:c r="M627" t="str">
        <x:v>REG-967449</x:v>
      </x:c>
      <x:c r="N627" t="str">
        <x:v>Generic Ingredient 165</x:v>
      </x:c>
      <x:c r="O627" t="str">
        <x:v>Pharmacy Only</x:v>
      </x:c>
      <x:c r="P627" t="n">
        <x:v>33</x:v>
      </x:c>
      <x:c r="Q627" t="n">
        <x:v>22</x:v>
      </x:c>
      <x:c r="R627" t="n">
        <x:v>1</x:v>
      </x:c>
      <x:c r="S627" s="12" t="n">
        <x:f>E627*Q627</x:f>
        <x:v>496.98</x:v>
      </x:c>
      <x:c r="T627" s="12" t="n">
        <x:f>ROUND(S627*F627+0.000000001,2)</x:f>
        <x:v>168.97</x:v>
      </x:c>
      <x:c r="U627" s="12" t="n">
        <x:f>E627*R627</x:f>
        <x:v>22.59</x:v>
      </x:c>
      <x:c r="V627" t="str">
        <x:f>IF(AND(C627="Active",Q627=0),"Active Zero Sales","Not Zero Sales")</x:f>
        <x:v>Not Zero Sales</x:v>
      </x:c>
      <x:c r="W627" s="12" t="n">
        <x:f>IF(V627="Active Zero Sales",U627,0)</x:f>
        <x:v>0</x:v>
      </x:c>
      <x:c r="X627" t="str">
        <x:f>IF(E627&lt;25,"Low &lt; 25",IF(E627&lt;100,"Medium 25-99",IF(E627&lt;300,"High 100-299","Premium 300+")))</x:f>
        <x:v>Low &lt; 25</x:v>
      </x:c>
      <x:c r="Y627" t="n">
        <x:f>IF(C627="Active",1,0)</x:f>
        <x:v>1</x:v>
      </x:c>
    </x:row>
    <x:row r="628">
      <x:c r="A628" t="str">
        <x:v>SKU00627</x:v>
      </x:c>
      <x:c r="B628" t="str">
        <x:v>Sample Product 00627</x:v>
      </x:c>
      <x:c r="C628" t="str">
        <x:v>Active</x:v>
      </x:c>
      <x:c r="D628" t="str">
        <x:v>2026-01</x:v>
      </x:c>
      <x:c r="E628" s="12" t="n">
        <x:v>76.35</x:v>
      </x:c>
      <x:c r="F628" s="10" t="n">
        <x:v>0.199</x:v>
      </x:c>
      <x:c r="G628" t="str">
        <x:v>General Merchandise</x:v>
      </x:c>
      <x:c r="H628" t="str">
        <x:v>Accessories</x:v>
      </x:c>
      <x:c r="I628" t="str">
        <x:v>MFG004</x:v>
      </x:c>
      <x:c r="J628" t="str">
        <x:v>Manufacturer 004</x:v>
      </x:c>
      <x:c r="K628" t="str">
        <x:v>SUP017</x:v>
      </x:c>
      <x:c r="L628" t="str">
        <x:v>Supplier 017</x:v>
      </x:c>
      <x:c r="M628" t="str">
        <x:v>REG-643245</x:v>
      </x:c>
      <x:c r="N628" t="str">
        <x:v>Generic Ingredient 012</x:v>
      </x:c>
      <x:c r="O628" t="str">
        <x:v>Pharmacy Only</x:v>
      </x:c>
      <x:c r="P628" t="n">
        <x:v>4</x:v>
      </x:c>
      <x:c r="Q628" t="n">
        <x:v>0</x:v>
      </x:c>
      <x:c r="R628" t="n">
        <x:v>9</x:v>
      </x:c>
      <x:c r="S628" s="12" t="n">
        <x:f>E628*Q628</x:f>
        <x:v>0</x:v>
      </x:c>
      <x:c r="T628" s="12" t="n">
        <x:f>ROUND(S628*F628+0.000000001,2)</x:f>
        <x:v>0</x:v>
      </x:c>
      <x:c r="U628" s="12" t="n">
        <x:f>E628*R628</x:f>
        <x:v>687.15</x:v>
      </x:c>
      <x:c r="V628" t="str">
        <x:f>IF(AND(C628="Active",Q628=0),"Active Zero Sales","Not Zero Sales")</x:f>
        <x:v>Active Zero Sales</x:v>
      </x:c>
      <x:c r="W628" s="12" t="n">
        <x:f>IF(V628="Active Zero Sales",U628,0)</x:f>
        <x:v>687.15</x:v>
      </x:c>
      <x:c r="X628" t="str">
        <x:f>IF(E628&lt;25,"Low &lt; 25",IF(E628&lt;100,"Medium 25-99",IF(E628&lt;300,"High 100-299","Premium 300+")))</x:f>
        <x:v>Medium 25-99</x:v>
      </x:c>
      <x:c r="Y628" t="n">
        <x:f>IF(C628="Active",1,0)</x:f>
        <x:v>1</x:v>
      </x:c>
    </x:row>
    <x:row r="629">
      <x:c r="A629" t="str">
        <x:v>SKU00628</x:v>
      </x:c>
      <x:c r="B629" t="str">
        <x:v>Sample Product 00628</x:v>
      </x:c>
      <x:c r="C629" t="str">
        <x:v>Blocked</x:v>
      </x:c>
      <x:c r="D629" t="str">
        <x:v>2026-02</x:v>
      </x:c>
      <x:c r="E629" s="12" t="n">
        <x:v>120.68</x:v>
      </x:c>
      <x:c r="F629" s="10" t="n">
        <x:v>0.308</x:v>
      </x:c>
      <x:c r="G629" t="str">
        <x:v>General Merchandise</x:v>
      </x:c>
      <x:c r="H629" t="str">
        <x:v>Travel Health</x:v>
      </x:c>
      <x:c r="I629" t="str">
        <x:v>MFG007</x:v>
      </x:c>
      <x:c r="J629" t="str">
        <x:v>Manufacturer 007</x:v>
      </x:c>
      <x:c r="K629" t="str">
        <x:v>SUP019</x:v>
      </x:c>
      <x:c r="L629" t="str">
        <x:v>Supplier 019</x:v>
      </x:c>
      <x:c r="M629" t="str">
        <x:v>REG-385184</x:v>
      </x:c>
      <x:c r="N629" t="str">
        <x:v>Generic Ingredient 179</x:v>
      </x:c>
      <x:c r="O629" t="str">
        <x:v>General Sale</x:v>
      </x:c>
      <x:c r="P629" t="n">
        <x:v>39</x:v>
      </x:c>
      <x:c r="Q629" t="n">
        <x:v>0</x:v>
      </x:c>
      <x:c r="R629" t="n">
        <x:v>3</x:v>
      </x:c>
      <x:c r="S629" s="12" t="n">
        <x:f>E629*Q629</x:f>
        <x:v>0</x:v>
      </x:c>
      <x:c r="T629" s="12" t="n">
        <x:f>ROUND(S629*F629+0.000000001,2)</x:f>
        <x:v>0</x:v>
      </x:c>
      <x:c r="U629" s="12" t="n">
        <x:f>E629*R629</x:f>
        <x:v>362.04</x:v>
      </x:c>
      <x:c r="V629" t="str">
        <x:f>IF(AND(C629="Active",Q629=0),"Active Zero Sales","Not Zero Sales")</x:f>
        <x:v>Not Zero Sales</x:v>
      </x:c>
      <x:c r="W629" s="12" t="n">
        <x:f>IF(V629="Active Zero Sales",U629,0)</x:f>
        <x:v>0</x:v>
      </x:c>
      <x:c r="X629" t="str">
        <x:f>IF(E629&lt;25,"Low &lt; 25",IF(E629&lt;100,"Medium 25-99",IF(E629&lt;300,"High 100-299","Premium 300+")))</x:f>
        <x:v>High 100-299</x:v>
      </x:c>
      <x:c r="Y629" t="n">
        <x:f>IF(C629="Active",1,0)</x:f>
        <x:v>0</x:v>
      </x:c>
    </x:row>
    <x:row r="630">
      <x:c r="A630" t="str">
        <x:v>SKU00629</x:v>
      </x:c>
      <x:c r="B630" t="str">
        <x:v>Sample Product 00629</x:v>
      </x:c>
      <x:c r="C630" t="str">
        <x:v>Blocked</x:v>
      </x:c>
      <x:c r="D630" t="str">
        <x:v>2026-01</x:v>
      </x:c>
      <x:c r="E630" s="12" t="n">
        <x:v>210.72</x:v>
      </x:c>
      <x:c r="F630" s="10" t="n">
        <x:v>0.408</x:v>
      </x:c>
      <x:c r="G630" t="str">
        <x:v>General Merchandise</x:v>
      </x:c>
      <x:c r="H630" t="str">
        <x:v>Travel Health</x:v>
      </x:c>
      <x:c r="I630" t="str">
        <x:v>MFG006</x:v>
      </x:c>
      <x:c r="J630" t="str">
        <x:v>Manufacturer 006</x:v>
      </x:c>
      <x:c r="K630" t="str">
        <x:v>SUP019</x:v>
      </x:c>
      <x:c r="L630" t="str">
        <x:v>Supplier 019</x:v>
      </x:c>
      <x:c r="M630" t="str">
        <x:v>REG-882212</x:v>
      </x:c>
      <x:c r="N630" t="str">
        <x:v>Generic Ingredient 162</x:v>
      </x:c>
      <x:c r="O630" t="str">
        <x:v>General Sale</x:v>
      </x:c>
      <x:c r="P630" t="n">
        <x:v>47</x:v>
      </x:c>
      <x:c r="Q630" t="n">
        <x:v>0</x:v>
      </x:c>
      <x:c r="R630" t="n">
        <x:v>0</x:v>
      </x:c>
      <x:c r="S630" s="12" t="n">
        <x:f>E630*Q630</x:f>
        <x:v>0</x:v>
      </x:c>
      <x:c r="T630" s="12" t="n">
        <x:f>ROUND(S630*F630+0.000000001,2)</x:f>
        <x:v>0</x:v>
      </x:c>
      <x:c r="U630" s="12" t="n">
        <x:f>E630*R630</x:f>
        <x:v>0</x:v>
      </x:c>
      <x:c r="V630" t="str">
        <x:f>IF(AND(C630="Active",Q630=0),"Active Zero Sales","Not Zero Sales")</x:f>
        <x:v>Not Zero Sales</x:v>
      </x:c>
      <x:c r="W630" s="12" t="n">
        <x:f>IF(V630="Active Zero Sales",U630,0)</x:f>
        <x:v>0</x:v>
      </x:c>
      <x:c r="X630" t="str">
        <x:f>IF(E630&lt;25,"Low &lt; 25",IF(E630&lt;100,"Medium 25-99",IF(E630&lt;300,"High 100-299","Premium 300+")))</x:f>
        <x:v>High 100-299</x:v>
      </x:c>
      <x:c r="Y630" t="n">
        <x:f>IF(C630="Active",1,0)</x:f>
        <x:v>0</x:v>
      </x:c>
    </x:row>
    <x:row r="631">
      <x:c r="A631" t="str">
        <x:v>SKU00630</x:v>
      </x:c>
      <x:c r="B631" t="str">
        <x:v>Sample Product 00630</x:v>
      </x:c>
      <x:c r="C631" t="str">
        <x:v>Active</x:v>
      </x:c>
      <x:c r="D631" t="str">
        <x:v>2026-02</x:v>
      </x:c>
      <x:c r="E631" s="12" t="n">
        <x:v>43.59</x:v>
      </x:c>
      <x:c r="F631" s="10" t="n">
        <x:v>0.236</x:v>
      </x:c>
      <x:c r="G631" t="str">
        <x:v>Medical Devices</x:v>
      </x:c>
      <x:c r="H631" t="str">
        <x:v>Home Diagnostics</x:v>
      </x:c>
      <x:c r="I631" t="str">
        <x:v>MFG008</x:v>
      </x:c>
      <x:c r="J631" t="str">
        <x:v>Manufacturer 008</x:v>
      </x:c>
      <x:c r="K631" t="str">
        <x:v>SUP003</x:v>
      </x:c>
      <x:c r="L631" t="str">
        <x:v>Supplier 003</x:v>
      </x:c>
      <x:c r="M631" t="str">
        <x:v>REG-486522</x:v>
      </x:c>
      <x:c r="N631" t="str">
        <x:v>Generic Ingredient 067</x:v>
      </x:c>
      <x:c r="O631" t="str">
        <x:v>General Sale</x:v>
      </x:c>
      <x:c r="P631" t="n">
        <x:v>59</x:v>
      </x:c>
      <x:c r="Q631" t="n">
        <x:v>7</x:v>
      </x:c>
      <x:c r="R631" t="n">
        <x:v>11</x:v>
      </x:c>
      <x:c r="S631" s="12" t="n">
        <x:f>E631*Q631</x:f>
        <x:v>305.13</x:v>
      </x:c>
      <x:c r="T631" s="12" t="n">
        <x:f>ROUND(S631*F631+0.000000001,2)</x:f>
        <x:v>72.01</x:v>
      </x:c>
      <x:c r="U631" s="12" t="n">
        <x:f>E631*R631</x:f>
        <x:v>479.49</x:v>
      </x:c>
      <x:c r="V631" t="str">
        <x:f>IF(AND(C631="Active",Q631=0),"Active Zero Sales","Not Zero Sales")</x:f>
        <x:v>Not Zero Sales</x:v>
      </x:c>
      <x:c r="W631" s="12" t="n">
        <x:f>IF(V631="Active Zero Sales",U631,0)</x:f>
        <x:v>0</x:v>
      </x:c>
      <x:c r="X631" t="str">
        <x:f>IF(E631&lt;25,"Low &lt; 25",IF(E631&lt;100,"Medium 25-99",IF(E631&lt;300,"High 100-299","Premium 300+")))</x:f>
        <x:v>Medium 25-99</x:v>
      </x:c>
      <x:c r="Y631" t="n">
        <x:f>IF(C631="Active",1,0)</x:f>
        <x:v>1</x:v>
      </x:c>
    </x:row>
    <x:row r="632">
      <x:c r="A632" t="str">
        <x:v>SKU00631</x:v>
      </x:c>
      <x:c r="B632" t="str">
        <x:v>Sample Product 00631</x:v>
      </x:c>
      <x:c r="C632" t="str">
        <x:v>Active</x:v>
      </x:c>
      <x:c r="D632" t="str">
        <x:v>2026-01</x:v>
      </x:c>
      <x:c r="E632" s="12" t="n">
        <x:v>70.62</x:v>
      </x:c>
      <x:c r="F632" s="10" t="n">
        <x:v>0.242</x:v>
      </x:c>
      <x:c r="G632" t="str">
        <x:v>Nutrition</x:v>
      </x:c>
      <x:c r="H632" t="str">
        <x:v>Hydration</x:v>
      </x:c>
      <x:c r="I632" t="str">
        <x:v>MFG020</x:v>
      </x:c>
      <x:c r="J632" t="str">
        <x:v>Manufacturer 020</x:v>
      </x:c>
      <x:c r="K632" t="str">
        <x:v>SUP014</x:v>
      </x:c>
      <x:c r="L632" t="str">
        <x:v>Supplier 014</x:v>
      </x:c>
      <x:c r="M632" t="str">
        <x:v>REG-821646</x:v>
      </x:c>
      <x:c r="N632" t="str">
        <x:v>Generic Ingredient 069</x:v>
      </x:c>
      <x:c r="O632" t="str">
        <x:v>Pharmacy Only</x:v>
      </x:c>
      <x:c r="P632" t="n">
        <x:v>55</x:v>
      </x:c>
      <x:c r="Q632" t="n">
        <x:v>27</x:v>
      </x:c>
      <x:c r="R632" t="n">
        <x:v>11</x:v>
      </x:c>
      <x:c r="S632" s="12" t="n">
        <x:f>E632*Q632</x:f>
        <x:v>1906.7400000000002</x:v>
      </x:c>
      <x:c r="T632" s="12" t="n">
        <x:f>ROUND(S632*F632+0.000000001,2)</x:f>
        <x:v>461.43</x:v>
      </x:c>
      <x:c r="U632" s="12" t="n">
        <x:f>E632*R632</x:f>
        <x:v>776.82</x:v>
      </x:c>
      <x:c r="V632" t="str">
        <x:f>IF(AND(C632="Active",Q632=0),"Active Zero Sales","Not Zero Sales")</x:f>
        <x:v>Not Zero Sales</x:v>
      </x:c>
      <x:c r="W632" s="12" t="n">
        <x:f>IF(V632="Active Zero Sales",U632,0)</x:f>
        <x:v>0</x:v>
      </x:c>
      <x:c r="X632" t="str">
        <x:f>IF(E632&lt;25,"Low &lt; 25",IF(E632&lt;100,"Medium 25-99",IF(E632&lt;300,"High 100-299","Premium 300+")))</x:f>
        <x:v>Medium 25-99</x:v>
      </x:c>
      <x:c r="Y632" t="n">
        <x:f>IF(C632="Active",1,0)</x:f>
        <x:v>1</x:v>
      </x:c>
    </x:row>
    <x:row r="633">
      <x:c r="A633" t="str">
        <x:v>SKU00632</x:v>
      </x:c>
      <x:c r="B633" t="str">
        <x:v>Sample Product 00632</x:v>
      </x:c>
      <x:c r="C633" t="str">
        <x:v>Active</x:v>
      </x:c>
      <x:c r="D633" t="str">
        <x:v>2026-05</x:v>
      </x:c>
      <x:c r="E633" s="12" t="n">
        <x:v>19.91</x:v>
      </x:c>
      <x:c r="F633" s="10" t="n">
        <x:v>0.448</x:v>
      </x:c>
      <x:c r="G633" t="str">
        <x:v>General Merchandise</x:v>
      </x:c>
      <x:c r="H633" t="str">
        <x:v>Baby Essentials</x:v>
      </x:c>
      <x:c r="I633" t="str">
        <x:v>MFG003</x:v>
      </x:c>
      <x:c r="J633" t="str">
        <x:v>Manufacturer 003</x:v>
      </x:c>
      <x:c r="K633" t="str">
        <x:v>SUP005</x:v>
      </x:c>
      <x:c r="L633" t="str">
        <x:v>Supplier 005</x:v>
      </x:c>
      <x:c r="M633" t="str">
        <x:v>REG-330153</x:v>
      </x:c>
      <x:c r="N633" t="str">
        <x:v>Generic Ingredient 030</x:v>
      </x:c>
      <x:c r="O633" t="str">
        <x:v>Pharmacy Only</x:v>
      </x:c>
      <x:c r="P633" t="n">
        <x:v>66</x:v>
      </x:c>
      <x:c r="Q633" t="n">
        <x:v>48</x:v>
      </x:c>
      <x:c r="R633" t="n">
        <x:v>14</x:v>
      </x:c>
      <x:c r="S633" s="12" t="n">
        <x:f>E633*Q633</x:f>
        <x:v>955.6800000000001</x:v>
      </x:c>
      <x:c r="T633" s="12" t="n">
        <x:f>ROUND(S633*F633+0.000000001,2)</x:f>
        <x:v>428.14</x:v>
      </x:c>
      <x:c r="U633" s="12" t="n">
        <x:f>E633*R633</x:f>
        <x:v>278.74</x:v>
      </x:c>
      <x:c r="V633" t="str">
        <x:f>IF(AND(C633="Active",Q633=0),"Active Zero Sales","Not Zero Sales")</x:f>
        <x:v>Not Zero Sales</x:v>
      </x:c>
      <x:c r="W633" s="12" t="n">
        <x:f>IF(V633="Active Zero Sales",U633,0)</x:f>
        <x:v>0</x:v>
      </x:c>
      <x:c r="X633" t="str">
        <x:f>IF(E633&lt;25,"Low &lt; 25",IF(E633&lt;100,"Medium 25-99",IF(E633&lt;300,"High 100-299","Premium 300+")))</x:f>
        <x:v>Low &lt; 25</x:v>
      </x:c>
      <x:c r="Y633" t="n">
        <x:f>IF(C633="Active",1,0)</x:f>
        <x:v>1</x:v>
      </x:c>
    </x:row>
    <x:row r="634">
      <x:c r="A634" t="str">
        <x:v>SKU00633</x:v>
      </x:c>
      <x:c r="B634" t="str">
        <x:v>Sample Product 00633</x:v>
      </x:c>
      <x:c r="C634" t="str">
        <x:v>Active</x:v>
      </x:c>
      <x:c r="D634" t="str">
        <x:v>2026-03</x:v>
      </x:c>
      <x:c r="E634" s="12" t="n">
        <x:v>159.76</x:v>
      </x:c>
      <x:c r="F634" s="10" t="n">
        <x:v>0.46</x:v>
      </x:c>
      <x:c r="G634" t="str">
        <x:v>Personal Care</x:v>
      </x:c>
      <x:c r="H634" t="str">
        <x:v>Hygiene</x:v>
      </x:c>
      <x:c r="I634" t="str">
        <x:v>MFG010</x:v>
      </x:c>
      <x:c r="J634" t="str">
        <x:v>Manufacturer 010</x:v>
      </x:c>
      <x:c r="K634" t="str">
        <x:v>SUP022</x:v>
      </x:c>
      <x:c r="L634" t="str">
        <x:v>Supplier 022</x:v>
      </x:c>
      <x:c r="M634" t="str">
        <x:v>REG-449412</x:v>
      </x:c>
      <x:c r="N634" t="str">
        <x:v>Generic Ingredient 127</x:v>
      </x:c>
      <x:c r="O634" t="str">
        <x:v>General Sale</x:v>
      </x:c>
      <x:c r="P634" t="n">
        <x:v>75</x:v>
      </x:c>
      <x:c r="Q634" t="n">
        <x:v>35</x:v>
      </x:c>
      <x:c r="R634" t="n">
        <x:v>9</x:v>
      </x:c>
      <x:c r="S634" s="12" t="n">
        <x:f>E634*Q634</x:f>
        <x:v>5591.599999999999</x:v>
      </x:c>
      <x:c r="T634" s="12" t="n">
        <x:f>ROUND(S634*F634+0.000000001,2)</x:f>
        <x:v>2572.14</x:v>
      </x:c>
      <x:c r="U634" s="12" t="n">
        <x:f>E634*R634</x:f>
        <x:v>1437.84</x:v>
      </x:c>
      <x:c r="V634" t="str">
        <x:f>IF(AND(C634="Active",Q634=0),"Active Zero Sales","Not Zero Sales")</x:f>
        <x:v>Not Zero Sales</x:v>
      </x:c>
      <x:c r="W634" s="12" t="n">
        <x:f>IF(V634="Active Zero Sales",U634,0)</x:f>
        <x:v>0</x:v>
      </x:c>
      <x:c r="X634" t="str">
        <x:f>IF(E634&lt;25,"Low &lt; 25",IF(E634&lt;100,"Medium 25-99",IF(E634&lt;300,"High 100-299","Premium 300+")))</x:f>
        <x:v>High 100-299</x:v>
      </x:c>
      <x:c r="Y634" t="n">
        <x:f>IF(C634="Active",1,0)</x:f>
        <x:v>1</x:v>
      </x:c>
    </x:row>
    <x:row r="635">
      <x:c r="A635" t="str">
        <x:v>SKU00634</x:v>
      </x:c>
      <x:c r="B635" t="str">
        <x:v>Sample Product 00634</x:v>
      </x:c>
      <x:c r="C635" t="str">
        <x:v>Active</x:v>
      </x:c>
      <x:c r="D635" t="str">
        <x:v>2026-03</x:v>
      </x:c>
      <x:c r="E635" s="12" t="n">
        <x:v>98.71</x:v>
      </x:c>
      <x:c r="F635" s="10" t="n">
        <x:v>0.257</x:v>
      </x:c>
      <x:c r="G635" t="str">
        <x:v>General Merchandise</x:v>
      </x:c>
      <x:c r="H635" t="str">
        <x:v>Baby Essentials</x:v>
      </x:c>
      <x:c r="I635" t="str">
        <x:v>MFG004</x:v>
      </x:c>
      <x:c r="J635" t="str">
        <x:v>Manufacturer 004</x:v>
      </x:c>
      <x:c r="K635" t="str">
        <x:v>SUP010</x:v>
      </x:c>
      <x:c r="L635" t="str">
        <x:v>Supplier 010</x:v>
      </x:c>
      <x:c r="M635" t="str">
        <x:v>REG-200311</x:v>
      </x:c>
      <x:c r="N635" t="str">
        <x:v>Generic Ingredient 087</x:v>
      </x:c>
      <x:c r="O635" t="str">
        <x:v>General Sale</x:v>
      </x:c>
      <x:c r="P635" t="n">
        <x:v>303</x:v>
      </x:c>
      <x:c r="Q635" t="n">
        <x:v>221</x:v>
      </x:c>
      <x:c r="R635" t="n">
        <x:v>52</x:v>
      </x:c>
      <x:c r="S635" s="12" t="n">
        <x:f>E635*Q635</x:f>
        <x:v>21814.91</x:v>
      </x:c>
      <x:c r="T635" s="12" t="n">
        <x:f>ROUND(S635*F635+0.000000001,2)</x:f>
        <x:v>5606.43</x:v>
      </x:c>
      <x:c r="U635" s="12" t="n">
        <x:f>E635*R635</x:f>
        <x:v>5132.92</x:v>
      </x:c>
      <x:c r="V635" t="str">
        <x:f>IF(AND(C635="Active",Q635=0),"Active Zero Sales","Not Zero Sales")</x:f>
        <x:v>Not Zero Sales</x:v>
      </x:c>
      <x:c r="W635" s="12" t="n">
        <x:f>IF(V635="Active Zero Sales",U635,0)</x:f>
        <x:v>0</x:v>
      </x:c>
      <x:c r="X635" t="str">
        <x:f>IF(E635&lt;25,"Low &lt; 25",IF(E635&lt;100,"Medium 25-99",IF(E635&lt;300,"High 100-299","Premium 300+")))</x:f>
        <x:v>Medium 25-99</x:v>
      </x:c>
      <x:c r="Y635" t="n">
        <x:f>IF(C635="Active",1,0)</x:f>
        <x:v>1</x:v>
      </x:c>
    </x:row>
    <x:row r="636">
      <x:c r="A636" t="str">
        <x:v>SKU00635</x:v>
      </x:c>
      <x:c r="B636" t="str">
        <x:v>Sample Product 00635</x:v>
      </x:c>
      <x:c r="C636" t="str">
        <x:v>Blocked</x:v>
      </x:c>
      <x:c r="D636" t="str">
        <x:v>2026-03</x:v>
      </x:c>
      <x:c r="E636" s="12" t="n">
        <x:v>57.73</x:v>
      </x:c>
      <x:c r="F636" s="10" t="n">
        <x:v>0.482</x:v>
      </x:c>
      <x:c r="G636" t="str">
        <x:v>Personal Care</x:v>
      </x:c>
      <x:c r="H636" t="str">
        <x:v>Hygiene</x:v>
      </x:c>
      <x:c r="I636" t="str">
        <x:v>MFG016</x:v>
      </x:c>
      <x:c r="J636" t="str">
        <x:v>Manufacturer 016</x:v>
      </x:c>
      <x:c r="K636" t="str">
        <x:v>SUP005</x:v>
      </x:c>
      <x:c r="L636" t="str">
        <x:v>Supplier 005</x:v>
      </x:c>
      <x:c r="M636" t="str">
        <x:v>REG-966387</x:v>
      </x:c>
      <x:c r="N636" t="str">
        <x:v>Generic Ingredient 005</x:v>
      </x:c>
      <x:c r="O636" t="str">
        <x:v>Pharmacy Only</x:v>
      </x:c>
      <x:c r="P636" t="n">
        <x:v>36</x:v>
      </x:c>
      <x:c r="Q636" t="n">
        <x:v>0</x:v>
      </x:c>
      <x:c r="R636" t="n">
        <x:v>0</x:v>
      </x:c>
      <x:c r="S636" s="12" t="n">
        <x:f>E636*Q636</x:f>
        <x:v>0</x:v>
      </x:c>
      <x:c r="T636" s="12" t="n">
        <x:f>ROUND(S636*F636+0.000000001,2)</x:f>
        <x:v>0</x:v>
      </x:c>
      <x:c r="U636" s="12" t="n">
        <x:f>E636*R636</x:f>
        <x:v>0</x:v>
      </x:c>
      <x:c r="V636" t="str">
        <x:f>IF(AND(C636="Active",Q636=0),"Active Zero Sales","Not Zero Sales")</x:f>
        <x:v>Not Zero Sales</x:v>
      </x:c>
      <x:c r="W636" s="12" t="n">
        <x:f>IF(V636="Active Zero Sales",U636,0)</x:f>
        <x:v>0</x:v>
      </x:c>
      <x:c r="X636" t="str">
        <x:f>IF(E636&lt;25,"Low &lt; 25",IF(E636&lt;100,"Medium 25-99",IF(E636&lt;300,"High 100-299","Premium 300+")))</x:f>
        <x:v>Medium 25-99</x:v>
      </x:c>
      <x:c r="Y636" t="n">
        <x:f>IF(C636="Active",1,0)</x:f>
        <x:v>0</x:v>
      </x:c>
    </x:row>
    <x:row r="637">
      <x:c r="A637" t="str">
        <x:v>SKU00636</x:v>
      </x:c>
      <x:c r="B637" t="str">
        <x:v>Sample Product 00636</x:v>
      </x:c>
      <x:c r="C637" t="str">
        <x:v>Blocked</x:v>
      </x:c>
      <x:c r="D637" t="str">
        <x:v>2026-01</x:v>
      </x:c>
      <x:c r="E637" s="12" t="n">
        <x:v>13.26</x:v>
      </x:c>
      <x:c r="F637" s="10" t="n">
        <x:v>0.285</x:v>
      </x:c>
      <x:c r="G637" t="str">
        <x:v>Nutrition</x:v>
      </x:c>
      <x:c r="H637" t="str">
        <x:v>Adult Nutrition</x:v>
      </x:c>
      <x:c r="I637" t="str">
        <x:v>MFG006</x:v>
      </x:c>
      <x:c r="J637" t="str">
        <x:v>Manufacturer 006</x:v>
      </x:c>
      <x:c r="K637" t="str">
        <x:v>SUP024</x:v>
      </x:c>
      <x:c r="L637" t="str">
        <x:v>Supplier 024</x:v>
      </x:c>
      <x:c r="M637" t="str">
        <x:v>REG-897932</x:v>
      </x:c>
      <x:c r="N637" t="str">
        <x:v>Generic Ingredient 119</x:v>
      </x:c>
      <x:c r="O637" t="str">
        <x:v>General Sale</x:v>
      </x:c>
      <x:c r="P637" t="n">
        <x:v>36</x:v>
      </x:c>
      <x:c r="Q637" t="n">
        <x:v>0</x:v>
      </x:c>
      <x:c r="R637" t="n">
        <x:v>0</x:v>
      </x:c>
      <x:c r="S637" s="12" t="n">
        <x:f>E637*Q637</x:f>
        <x:v>0</x:v>
      </x:c>
      <x:c r="T637" s="12" t="n">
        <x:f>ROUND(S637*F637+0.000000001,2)</x:f>
        <x:v>0</x:v>
      </x:c>
      <x:c r="U637" s="12" t="n">
        <x:f>E637*R637</x:f>
        <x:v>0</x:v>
      </x:c>
      <x:c r="V637" t="str">
        <x:f>IF(AND(C637="Active",Q637=0),"Active Zero Sales","Not Zero Sales")</x:f>
        <x:v>Not Zero Sales</x:v>
      </x:c>
      <x:c r="W637" s="12" t="n">
        <x:f>IF(V637="Active Zero Sales",U637,0)</x:f>
        <x:v>0</x:v>
      </x:c>
      <x:c r="X637" t="str">
        <x:f>IF(E637&lt;25,"Low &lt; 25",IF(E637&lt;100,"Medium 25-99",IF(E637&lt;300,"High 100-299","Premium 300+")))</x:f>
        <x:v>Low &lt; 25</x:v>
      </x:c>
      <x:c r="Y637" t="n">
        <x:f>IF(C637="Active",1,0)</x:f>
        <x:v>0</x:v>
      </x:c>
    </x:row>
    <x:row r="638">
      <x:c r="A638" t="str">
        <x:v>SKU00637</x:v>
      </x:c>
      <x:c r="B638" t="str">
        <x:v>Sample Product 00637</x:v>
      </x:c>
      <x:c r="C638" t="str">
        <x:v>Active</x:v>
      </x:c>
      <x:c r="D638" t="str">
        <x:v>2026-02</x:v>
      </x:c>
      <x:c r="E638" s="12" t="n">
        <x:v>379.32</x:v>
      </x:c>
      <x:c r="F638" s="10" t="n">
        <x:v>0.343</x:v>
      </x:c>
      <x:c r="G638" t="str">
        <x:v>Medical Devices</x:v>
      </x:c>
      <x:c r="H638" t="str">
        <x:v>Monitoring Supplies</x:v>
      </x:c>
      <x:c r="I638" t="str">
        <x:v>MFG015</x:v>
      </x:c>
      <x:c r="J638" t="str">
        <x:v>Manufacturer 015</x:v>
      </x:c>
      <x:c r="K638" t="str">
        <x:v>SUP011</x:v>
      </x:c>
      <x:c r="L638" t="str">
        <x:v>Supplier 011</x:v>
      </x:c>
      <x:c r="M638" t="str">
        <x:v>REG-798748</x:v>
      </x:c>
      <x:c r="N638" t="str">
        <x:v>Generic Ingredient 035</x:v>
      </x:c>
      <x:c r="O638" t="str">
        <x:v>General Sale</x:v>
      </x:c>
      <x:c r="P638" t="n">
        <x:v>50</x:v>
      </x:c>
      <x:c r="Q638" t="n">
        <x:v>0</x:v>
      </x:c>
      <x:c r="R638" t="n">
        <x:v>45</x:v>
      </x:c>
      <x:c r="S638" s="12" t="n">
        <x:f>E638*Q638</x:f>
        <x:v>0</x:v>
      </x:c>
      <x:c r="T638" s="12" t="n">
        <x:f>ROUND(S638*F638+0.000000001,2)</x:f>
        <x:v>0</x:v>
      </x:c>
      <x:c r="U638" s="12" t="n">
        <x:f>E638*R638</x:f>
        <x:v>17069.4</x:v>
      </x:c>
      <x:c r="V638" t="str">
        <x:f>IF(AND(C638="Active",Q638=0),"Active Zero Sales","Not Zero Sales")</x:f>
        <x:v>Active Zero Sales</x:v>
      </x:c>
      <x:c r="W638" s="12" t="n">
        <x:f>IF(V638="Active Zero Sales",U638,0)</x:f>
        <x:v>17069.4</x:v>
      </x:c>
      <x:c r="X638" t="str">
        <x:f>IF(E638&lt;25,"Low &lt; 25",IF(E638&lt;100,"Medium 25-99",IF(E638&lt;300,"High 100-299","Premium 300+")))</x:f>
        <x:v>Premium 300+</x:v>
      </x:c>
      <x:c r="Y638" t="n">
        <x:f>IF(C638="Active",1,0)</x:f>
        <x:v>1</x:v>
      </x:c>
    </x:row>
    <x:row r="639">
      <x:c r="A639" t="str">
        <x:v>SKU00638</x:v>
      </x:c>
      <x:c r="B639" t="str">
        <x:v>Sample Product 00638</x:v>
      </x:c>
      <x:c r="C639" t="str">
        <x:v>Blocked</x:v>
      </x:c>
      <x:c r="D639" t="str">
        <x:v>2026-06</x:v>
      </x:c>
      <x:c r="E639" s="12" t="n">
        <x:v>89.73</x:v>
      </x:c>
      <x:c r="F639" s="10" t="n">
        <x:v>0.3</x:v>
      </x:c>
      <x:c r="G639" t="str">
        <x:v>OTC &amp; Wellness</x:v>
      </x:c>
      <x:c r="H639" t="str">
        <x:v>Digestive Care</x:v>
      </x:c>
      <x:c r="I639" t="str">
        <x:v>MFG018</x:v>
      </x:c>
      <x:c r="J639" t="str">
        <x:v>Manufacturer 018</x:v>
      </x:c>
      <x:c r="K639" t="str">
        <x:v>SUP018</x:v>
      </x:c>
      <x:c r="L639" t="str">
        <x:v>Supplier 018</x:v>
      </x:c>
      <x:c r="M639" t="str">
        <x:v>REG-833674</x:v>
      </x:c>
      <x:c r="N639" t="str">
        <x:v>Generic Ingredient 030</x:v>
      </x:c>
      <x:c r="O639" t="str">
        <x:v>General Sale</x:v>
      </x:c>
      <x:c r="P639" t="n">
        <x:v>26</x:v>
      </x:c>
      <x:c r="Q639" t="n">
        <x:v>0</x:v>
      </x:c>
      <x:c r="R639" t="n">
        <x:v>0</x:v>
      </x:c>
      <x:c r="S639" s="12" t="n">
        <x:f>E639*Q639</x:f>
        <x:v>0</x:v>
      </x:c>
      <x:c r="T639" s="12" t="n">
        <x:f>ROUND(S639*F639+0.000000001,2)</x:f>
        <x:v>0</x:v>
      </x:c>
      <x:c r="U639" s="12" t="n">
        <x:f>E639*R639</x:f>
        <x:v>0</x:v>
      </x:c>
      <x:c r="V639" t="str">
        <x:f>IF(AND(C639="Active",Q639=0),"Active Zero Sales","Not Zero Sales")</x:f>
        <x:v>Not Zero Sales</x:v>
      </x:c>
      <x:c r="W639" s="12" t="n">
        <x:f>IF(V639="Active Zero Sales",U639,0)</x:f>
        <x:v>0</x:v>
      </x:c>
      <x:c r="X639" t="str">
        <x:f>IF(E639&lt;25,"Low &lt; 25",IF(E639&lt;100,"Medium 25-99",IF(E639&lt;300,"High 100-299","Premium 300+")))</x:f>
        <x:v>Medium 25-99</x:v>
      </x:c>
      <x:c r="Y639" t="n">
        <x:f>IF(C639="Active",1,0)</x:f>
        <x:v>0</x:v>
      </x:c>
    </x:row>
    <x:row r="640">
      <x:c r="A640" t="str">
        <x:v>SKU00639</x:v>
      </x:c>
      <x:c r="B640" t="str">
        <x:v>Sample Product 00639</x:v>
      </x:c>
      <x:c r="C640" t="str">
        <x:v>Active</x:v>
      </x:c>
      <x:c r="D640" t="str">
        <x:v>2026-04</x:v>
      </x:c>
      <x:c r="E640" s="12" t="n">
        <x:v>34.4</x:v>
      </x:c>
      <x:c r="F640" s="10" t="n">
        <x:v>0.292</x:v>
      </x:c>
      <x:c r="G640" t="str">
        <x:v>Nutrition</x:v>
      </x:c>
      <x:c r="H640" t="str">
        <x:v>Hydration</x:v>
      </x:c>
      <x:c r="I640" t="str">
        <x:v>MFG015</x:v>
      </x:c>
      <x:c r="J640" t="str">
        <x:v>Manufacturer 015</x:v>
      </x:c>
      <x:c r="K640" t="str">
        <x:v>SUP007</x:v>
      </x:c>
      <x:c r="L640" t="str">
        <x:v>Supplier 007</x:v>
      </x:c>
      <x:c r="M640" t="str">
        <x:v>REG-924531</x:v>
      </x:c>
      <x:c r="N640" t="str">
        <x:v>Generic Ingredient 156</x:v>
      </x:c>
      <x:c r="O640" t="str">
        <x:v>General Sale</x:v>
      </x:c>
      <x:c r="P640" t="n">
        <x:v>160</x:v>
      </x:c>
      <x:c r="Q640" t="n">
        <x:v>68</x:v>
      </x:c>
      <x:c r="R640" t="n">
        <x:v>46</x:v>
      </x:c>
      <x:c r="S640" s="12" t="n">
        <x:f>E640*Q640</x:f>
        <x:v>2339.2</x:v>
      </x:c>
      <x:c r="T640" s="12" t="n">
        <x:f>ROUND(S640*F640+0.000000001,2)</x:f>
        <x:v>683.05</x:v>
      </x:c>
      <x:c r="U640" s="12" t="n">
        <x:f>E640*R640</x:f>
        <x:v>1582.3999999999999</x:v>
      </x:c>
      <x:c r="V640" t="str">
        <x:f>IF(AND(C640="Active",Q640=0),"Active Zero Sales","Not Zero Sales")</x:f>
        <x:v>Not Zero Sales</x:v>
      </x:c>
      <x:c r="W640" s="12" t="n">
        <x:f>IF(V640="Active Zero Sales",U640,0)</x:f>
        <x:v>0</x:v>
      </x:c>
      <x:c r="X640" t="str">
        <x:f>IF(E640&lt;25,"Low &lt; 25",IF(E640&lt;100,"Medium 25-99",IF(E640&lt;300,"High 100-299","Premium 300+")))</x:f>
        <x:v>Medium 25-99</x:v>
      </x:c>
      <x:c r="Y640" t="n">
        <x:f>IF(C640="Active",1,0)</x:f>
        <x:v>1</x:v>
      </x:c>
    </x:row>
    <x:row r="641">
      <x:c r="A641" t="str">
        <x:v>SKU00640</x:v>
      </x:c>
      <x:c r="B641" t="str">
        <x:v>Sample Product 00640</x:v>
      </x:c>
      <x:c r="C641" t="str">
        <x:v>Blocked</x:v>
      </x:c>
      <x:c r="D641" t="str">
        <x:v>2026-05</x:v>
      </x:c>
      <x:c r="E641" s="12" t="n">
        <x:v>274.86</x:v>
      </x:c>
      <x:c r="F641" s="10" t="n">
        <x:v>0.318</x:v>
      </x:c>
      <x:c r="G641" t="str">
        <x:v>Medical Devices</x:v>
      </x:c>
      <x:c r="H641" t="str">
        <x:v>First Aid</x:v>
      </x:c>
      <x:c r="I641" t="str">
        <x:v>MFG013</x:v>
      </x:c>
      <x:c r="J641" t="str">
        <x:v>Manufacturer 013</x:v>
      </x:c>
      <x:c r="K641" t="str">
        <x:v>SUP006</x:v>
      </x:c>
      <x:c r="L641" t="str">
        <x:v>Supplier 006</x:v>
      </x:c>
      <x:c r="M641" t="str">
        <x:v>REG-663500</x:v>
      </x:c>
      <x:c r="N641" t="str">
        <x:v>Generic Ingredient 060</x:v>
      </x:c>
      <x:c r="O641" t="str">
        <x:v>General Sale</x:v>
      </x:c>
      <x:c r="P641" t="n">
        <x:v>42</x:v>
      </x:c>
      <x:c r="Q641" t="n">
        <x:v>0</x:v>
      </x:c>
      <x:c r="R641" t="n">
        <x:v>10</x:v>
      </x:c>
      <x:c r="S641" s="12" t="n">
        <x:f>E641*Q641</x:f>
        <x:v>0</x:v>
      </x:c>
      <x:c r="T641" s="12" t="n">
        <x:f>ROUND(S641*F641+0.000000001,2)</x:f>
        <x:v>0</x:v>
      </x:c>
      <x:c r="U641" s="12" t="n">
        <x:f>E641*R641</x:f>
        <x:v>2748.6000000000004</x:v>
      </x:c>
      <x:c r="V641" t="str">
        <x:f>IF(AND(C641="Active",Q641=0),"Active Zero Sales","Not Zero Sales")</x:f>
        <x:v>Not Zero Sales</x:v>
      </x:c>
      <x:c r="W641" s="12" t="n">
        <x:f>IF(V641="Active Zero Sales",U641,0)</x:f>
        <x:v>0</x:v>
      </x:c>
      <x:c r="X641" t="str">
        <x:f>IF(E641&lt;25,"Low &lt; 25",IF(E641&lt;100,"Medium 25-99",IF(E641&lt;300,"High 100-299","Premium 300+")))</x:f>
        <x:v>High 100-299</x:v>
      </x:c>
      <x:c r="Y641" t="n">
        <x:f>IF(C641="Active",1,0)</x:f>
        <x:v>0</x:v>
      </x:c>
    </x:row>
    <x:row r="642">
      <x:c r="A642" t="str">
        <x:v>SKU00641</x:v>
      </x:c>
      <x:c r="B642" t="str">
        <x:v>Sample Product 00641</x:v>
      </x:c>
      <x:c r="C642" t="str">
        <x:v>Blocked</x:v>
      </x:c>
      <x:c r="D642" t="str">
        <x:v>2026-06</x:v>
      </x:c>
      <x:c r="E642" s="12" t="n">
        <x:v>70.36</x:v>
      </x:c>
      <x:c r="F642" s="10" t="n">
        <x:v>0.393</x:v>
      </x:c>
      <x:c r="G642" t="str">
        <x:v>OTC &amp; Wellness</x:v>
      </x:c>
      <x:c r="H642" t="str">
        <x:v>Cold &amp; Allergy</x:v>
      </x:c>
      <x:c r="I642" t="str">
        <x:v>MFG014</x:v>
      </x:c>
      <x:c r="J642" t="str">
        <x:v>Manufacturer 014</x:v>
      </x:c>
      <x:c r="K642" t="str">
        <x:v>SUP023</x:v>
      </x:c>
      <x:c r="L642" t="str">
        <x:v>Supplier 023</x:v>
      </x:c>
      <x:c r="M642" t="str">
        <x:v>REG-183970</x:v>
      </x:c>
      <x:c r="N642" t="str">
        <x:v>Generic Ingredient 124</x:v>
      </x:c>
      <x:c r="O642" t="str">
        <x:v>General Sale</x:v>
      </x:c>
      <x:c r="P642" t="n">
        <x:v>24</x:v>
      </x:c>
      <x:c r="Q642" t="n">
        <x:v>0</x:v>
      </x:c>
      <x:c r="R642" t="n">
        <x:v>0</x:v>
      </x:c>
      <x:c r="S642" s="12" t="n">
        <x:f>E642*Q642</x:f>
        <x:v>0</x:v>
      </x:c>
      <x:c r="T642" s="12" t="n">
        <x:f>ROUND(S642*F642+0.000000001,2)</x:f>
        <x:v>0</x:v>
      </x:c>
      <x:c r="U642" s="12" t="n">
        <x:f>E642*R642</x:f>
        <x:v>0</x:v>
      </x:c>
      <x:c r="V642" t="str">
        <x:f>IF(AND(C642="Active",Q642=0),"Active Zero Sales","Not Zero Sales")</x:f>
        <x:v>Not Zero Sales</x:v>
      </x:c>
      <x:c r="W642" s="12" t="n">
        <x:f>IF(V642="Active Zero Sales",U642,0)</x:f>
        <x:v>0</x:v>
      </x:c>
      <x:c r="X642" t="str">
        <x:f>IF(E642&lt;25,"Low &lt; 25",IF(E642&lt;100,"Medium 25-99",IF(E642&lt;300,"High 100-299","Premium 300+")))</x:f>
        <x:v>Medium 25-99</x:v>
      </x:c>
      <x:c r="Y642" t="n">
        <x:f>IF(C642="Active",1,0)</x:f>
        <x:v>0</x:v>
      </x:c>
    </x:row>
    <x:row r="643">
      <x:c r="A643" t="str">
        <x:v>SKU00642</x:v>
      </x:c>
      <x:c r="B643" t="str">
        <x:v>Sample Product 00642</x:v>
      </x:c>
      <x:c r="C643" t="str">
        <x:v>Active</x:v>
      </x:c>
      <x:c r="D643" t="str">
        <x:v>2026-03</x:v>
      </x:c>
      <x:c r="E643" s="12" t="n">
        <x:v>94.8</x:v>
      </x:c>
      <x:c r="F643" s="10" t="n">
        <x:v>0.353</x:v>
      </x:c>
      <x:c r="G643" t="str">
        <x:v>General Merchandise</x:v>
      </x:c>
      <x:c r="H643" t="str">
        <x:v>Travel Health</x:v>
      </x:c>
      <x:c r="I643" t="str">
        <x:v>MFG016</x:v>
      </x:c>
      <x:c r="J643" t="str">
        <x:v>Manufacturer 016</x:v>
      </x:c>
      <x:c r="K643" t="str">
        <x:v>SUP019</x:v>
      </x:c>
      <x:c r="L643" t="str">
        <x:v>Supplier 019</x:v>
      </x:c>
      <x:c r="M643" t="str">
        <x:v>REG-356063</x:v>
      </x:c>
      <x:c r="N643" t="str">
        <x:v>Generic Ingredient 069</x:v>
      </x:c>
      <x:c r="O643" t="str">
        <x:v>General Sale</x:v>
      </x:c>
      <x:c r="P643" t="n">
        <x:v>71</x:v>
      </x:c>
      <x:c r="Q643" t="n">
        <x:v>26</x:v>
      </x:c>
      <x:c r="R643" t="n">
        <x:v>0</x:v>
      </x:c>
      <x:c r="S643" s="12" t="n">
        <x:f>E643*Q643</x:f>
        <x:v>2464.7999999999997</x:v>
      </x:c>
      <x:c r="T643" s="12" t="n">
        <x:f>ROUND(S643*F643+0.000000001,2)</x:f>
        <x:v>870.07</x:v>
      </x:c>
      <x:c r="U643" s="12" t="n">
        <x:f>E643*R643</x:f>
        <x:v>0</x:v>
      </x:c>
      <x:c r="V643" t="str">
        <x:f>IF(AND(C643="Active",Q643=0),"Active Zero Sales","Not Zero Sales")</x:f>
        <x:v>Not Zero Sales</x:v>
      </x:c>
      <x:c r="W643" s="12" t="n">
        <x:f>IF(V643="Active Zero Sales",U643,0)</x:f>
        <x:v>0</x:v>
      </x:c>
      <x:c r="X643" t="str">
        <x:f>IF(E643&lt;25,"Low &lt; 25",IF(E643&lt;100,"Medium 25-99",IF(E643&lt;300,"High 100-299","Premium 300+")))</x:f>
        <x:v>Medium 25-99</x:v>
      </x:c>
      <x:c r="Y643" t="n">
        <x:f>IF(C643="Active",1,0)</x:f>
        <x:v>1</x:v>
      </x:c>
    </x:row>
    <x:row r="644">
      <x:c r="A644" t="str">
        <x:v>SKU00643</x:v>
      </x:c>
      <x:c r="B644" t="str">
        <x:v>Sample Product 00643</x:v>
      </x:c>
      <x:c r="C644" t="str">
        <x:v>Active</x:v>
      </x:c>
      <x:c r="D644" t="str">
        <x:v>2026-06</x:v>
      </x:c>
      <x:c r="E644" s="12" t="n">
        <x:v>74.82</x:v>
      </x:c>
      <x:c r="F644" s="10" t="n">
        <x:v>0.28</x:v>
      </x:c>
      <x:c r="G644" t="str">
        <x:v>Personal Care</x:v>
      </x:c>
      <x:c r="H644" t="str">
        <x:v>Hair Care</x:v>
      </x:c>
      <x:c r="I644" t="str">
        <x:v>MFG004</x:v>
      </x:c>
      <x:c r="J644" t="str">
        <x:v>Manufacturer 004</x:v>
      </x:c>
      <x:c r="K644" t="str">
        <x:v>SUP010</x:v>
      </x:c>
      <x:c r="L644" t="str">
        <x:v>Supplier 010</x:v>
      </x:c>
      <x:c r="M644" t="str">
        <x:v>REG-695793</x:v>
      </x:c>
      <x:c r="N644" t="str">
        <x:v>Generic Ingredient 089</x:v>
      </x:c>
      <x:c r="O644" t="str">
        <x:v>General Sale</x:v>
      </x:c>
      <x:c r="P644" t="n">
        <x:v>180</x:v>
      </x:c>
      <x:c r="Q644" t="n">
        <x:v>137</x:v>
      </x:c>
      <x:c r="R644" t="n">
        <x:v>53</x:v>
      </x:c>
      <x:c r="S644" s="12" t="n">
        <x:f>E644*Q644</x:f>
        <x:v>10250.339999999998</x:v>
      </x:c>
      <x:c r="T644" s="12" t="n">
        <x:f>ROUND(S644*F644+0.000000001,2)</x:f>
        <x:v>2870.1</x:v>
      </x:c>
      <x:c r="U644" s="12" t="n">
        <x:f>E644*R644</x:f>
        <x:v>3965.4599999999996</x:v>
      </x:c>
      <x:c r="V644" t="str">
        <x:f>IF(AND(C644="Active",Q644=0),"Active Zero Sales","Not Zero Sales")</x:f>
        <x:v>Not Zero Sales</x:v>
      </x:c>
      <x:c r="W644" s="12" t="n">
        <x:f>IF(V644="Active Zero Sales",U644,0)</x:f>
        <x:v>0</x:v>
      </x:c>
      <x:c r="X644" t="str">
        <x:f>IF(E644&lt;25,"Low &lt; 25",IF(E644&lt;100,"Medium 25-99",IF(E644&lt;300,"High 100-299","Premium 300+")))</x:f>
        <x:v>Medium 25-99</x:v>
      </x:c>
      <x:c r="Y644" t="n">
        <x:f>IF(C644="Active",1,0)</x:f>
        <x:v>1</x:v>
      </x:c>
    </x:row>
    <x:row r="645">
      <x:c r="A645" t="str">
        <x:v>SKU00644</x:v>
      </x:c>
      <x:c r="B645" t="str">
        <x:v>Sample Product 00644</x:v>
      </x:c>
      <x:c r="C645" t="str">
        <x:v>Active</x:v>
      </x:c>
      <x:c r="D645" t="str">
        <x:v>2026-02</x:v>
      </x:c>
      <x:c r="E645" s="12" t="n">
        <x:v>511.74</x:v>
      </x:c>
      <x:c r="F645" s="10" t="n">
        <x:v>0.216</x:v>
      </x:c>
      <x:c r="G645" t="str">
        <x:v>Medical Devices</x:v>
      </x:c>
      <x:c r="H645" t="str">
        <x:v>Home Diagnostics</x:v>
      </x:c>
      <x:c r="I645" t="str">
        <x:v>MFG011</x:v>
      </x:c>
      <x:c r="J645" t="str">
        <x:v>Manufacturer 011</x:v>
      </x:c>
      <x:c r="K645" t="str">
        <x:v>SUP003</x:v>
      </x:c>
      <x:c r="L645" t="str">
        <x:v>Supplier 003</x:v>
      </x:c>
      <x:c r="M645" t="str">
        <x:v>REG-140024</x:v>
      </x:c>
      <x:c r="N645" t="str">
        <x:v>Generic Ingredient 016</x:v>
      </x:c>
      <x:c r="O645" t="str">
        <x:v>General Sale</x:v>
      </x:c>
      <x:c r="P645" t="n">
        <x:v>79</x:v>
      </x:c>
      <x:c r="Q645" t="n">
        <x:v>37</x:v>
      </x:c>
      <x:c r="R645" t="n">
        <x:v>0</x:v>
      </x:c>
      <x:c r="S645" s="12" t="n">
        <x:f>E645*Q645</x:f>
        <x:v>18934.38</x:v>
      </x:c>
      <x:c r="T645" s="12" t="n">
        <x:f>ROUND(S645*F645+0.000000001,2)</x:f>
        <x:v>4089.83</x:v>
      </x:c>
      <x:c r="U645" s="12" t="n">
        <x:f>E645*R645</x:f>
        <x:v>0</x:v>
      </x:c>
      <x:c r="V645" t="str">
        <x:f>IF(AND(C645="Active",Q645=0),"Active Zero Sales","Not Zero Sales")</x:f>
        <x:v>Not Zero Sales</x:v>
      </x:c>
      <x:c r="W645" s="12" t="n">
        <x:f>IF(V645="Active Zero Sales",U645,0)</x:f>
        <x:v>0</x:v>
      </x:c>
      <x:c r="X645" t="str">
        <x:f>IF(E645&lt;25,"Low &lt; 25",IF(E645&lt;100,"Medium 25-99",IF(E645&lt;300,"High 100-299","Premium 300+")))</x:f>
        <x:v>Premium 300+</x:v>
      </x:c>
      <x:c r="Y645" t="n">
        <x:f>IF(C645="Active",1,0)</x:f>
        <x:v>1</x:v>
      </x:c>
    </x:row>
    <x:row r="646">
      <x:c r="A646" t="str">
        <x:v>SKU00645</x:v>
      </x:c>
      <x:c r="B646" t="str">
        <x:v>Sample Product 00645</x:v>
      </x:c>
      <x:c r="C646" t="str">
        <x:v>Blocked</x:v>
      </x:c>
      <x:c r="D646" t="str">
        <x:v>2026-03</x:v>
      </x:c>
      <x:c r="E646" s="12" t="n">
        <x:v>7.13</x:v>
      </x:c>
      <x:c r="F646" s="10" t="n">
        <x:v>0.307</x:v>
      </x:c>
      <x:c r="G646" t="str">
        <x:v>OTC &amp; Wellness</x:v>
      </x:c>
      <x:c r="H646" t="str">
        <x:v>Pain Relief</x:v>
      </x:c>
      <x:c r="I646" t="str">
        <x:v>MFG011</x:v>
      </x:c>
      <x:c r="J646" t="str">
        <x:v>Manufacturer 011</x:v>
      </x:c>
      <x:c r="K646" t="str">
        <x:v>SUP012</x:v>
      </x:c>
      <x:c r="L646" t="str">
        <x:v>Supplier 012</x:v>
      </x:c>
      <x:c r="M646" t="str">
        <x:v>REG-660726</x:v>
      </x:c>
      <x:c r="N646" t="str">
        <x:v>Generic Ingredient 174</x:v>
      </x:c>
      <x:c r="O646" t="str">
        <x:v>General Sale</x:v>
      </x:c>
      <x:c r="P646" t="n">
        <x:v>42</x:v>
      </x:c>
      <x:c r="Q646" t="n">
        <x:v>0</x:v>
      </x:c>
      <x:c r="R646" t="n">
        <x:v>0</x:v>
      </x:c>
      <x:c r="S646" s="12" t="n">
        <x:f>E646*Q646</x:f>
        <x:v>0</x:v>
      </x:c>
      <x:c r="T646" s="12" t="n">
        <x:f>ROUND(S646*F646+0.000000001,2)</x:f>
        <x:v>0</x:v>
      </x:c>
      <x:c r="U646" s="12" t="n">
        <x:f>E646*R646</x:f>
        <x:v>0</x:v>
      </x:c>
      <x:c r="V646" t="str">
        <x:f>IF(AND(C646="Active",Q646=0),"Active Zero Sales","Not Zero Sales")</x:f>
        <x:v>Not Zero Sales</x:v>
      </x:c>
      <x:c r="W646" s="12" t="n">
        <x:f>IF(V646="Active Zero Sales",U646,0)</x:f>
        <x:v>0</x:v>
      </x:c>
      <x:c r="X646" t="str">
        <x:f>IF(E646&lt;25,"Low &lt; 25",IF(E646&lt;100,"Medium 25-99",IF(E646&lt;300,"High 100-299","Premium 300+")))</x:f>
        <x:v>Low &lt; 25</x:v>
      </x:c>
      <x:c r="Y646" t="n">
        <x:f>IF(C646="Active",1,0)</x:f>
        <x:v>0</x:v>
      </x:c>
    </x:row>
    <x:row r="647">
      <x:c r="A647" t="str">
        <x:v>SKU00646</x:v>
      </x:c>
      <x:c r="B647" t="str">
        <x:v>Sample Product 00646</x:v>
      </x:c>
      <x:c r="C647" t="str">
        <x:v>Active</x:v>
      </x:c>
      <x:c r="D647" t="str">
        <x:v>2026-05</x:v>
      </x:c>
      <x:c r="E647" s="12" t="n">
        <x:v>4.34</x:v>
      </x:c>
      <x:c r="F647" s="10" t="n">
        <x:v>0.267</x:v>
      </x:c>
      <x:c r="G647" t="str">
        <x:v>Medical Devices</x:v>
      </x:c>
      <x:c r="H647" t="str">
        <x:v>First Aid</x:v>
      </x:c>
      <x:c r="I647" t="str">
        <x:v>MFG016</x:v>
      </x:c>
      <x:c r="J647" t="str">
        <x:v>Manufacturer 016</x:v>
      </x:c>
      <x:c r="K647" t="str">
        <x:v>SUP008</x:v>
      </x:c>
      <x:c r="L647" t="str">
        <x:v>Supplier 008</x:v>
      </x:c>
      <x:c r="M647" t="str">
        <x:v>REG-264711</x:v>
      </x:c>
      <x:c r="N647" t="str">
        <x:v>Generic Ingredient 174</x:v>
      </x:c>
      <x:c r="O647" t="str">
        <x:v>General Sale</x:v>
      </x:c>
      <x:c r="P647" t="n">
        <x:v>65</x:v>
      </x:c>
      <x:c r="Q647" t="n">
        <x:v>19</x:v>
      </x:c>
      <x:c r="R647" t="n">
        <x:v>0</x:v>
      </x:c>
      <x:c r="S647" s="12" t="n">
        <x:f>E647*Q647</x:f>
        <x:v>82.46</x:v>
      </x:c>
      <x:c r="T647" s="12" t="n">
        <x:f>ROUND(S647*F647+0.000000001,2)</x:f>
        <x:v>22.02</x:v>
      </x:c>
      <x:c r="U647" s="12" t="n">
        <x:f>E647*R647</x:f>
        <x:v>0</x:v>
      </x:c>
      <x:c r="V647" t="str">
        <x:f>IF(AND(C647="Active",Q647=0),"Active Zero Sales","Not Zero Sales")</x:f>
        <x:v>Not Zero Sales</x:v>
      </x:c>
      <x:c r="W647" s="12" t="n">
        <x:f>IF(V647="Active Zero Sales",U647,0)</x:f>
        <x:v>0</x:v>
      </x:c>
      <x:c r="X647" t="str">
        <x:f>IF(E647&lt;25,"Low &lt; 25",IF(E647&lt;100,"Medium 25-99",IF(E647&lt;300,"High 100-299","Premium 300+")))</x:f>
        <x:v>Low &lt; 25</x:v>
      </x:c>
      <x:c r="Y647" t="n">
        <x:f>IF(C647="Active",1,0)</x:f>
        <x:v>1</x:v>
      </x:c>
    </x:row>
    <x:row r="648">
      <x:c r="A648" t="str">
        <x:v>SKU00647</x:v>
      </x:c>
      <x:c r="B648" t="str">
        <x:v>Sample Product 00647</x:v>
      </x:c>
      <x:c r="C648" t="str">
        <x:v>Active</x:v>
      </x:c>
      <x:c r="D648" t="str">
        <x:v>2026-03</x:v>
      </x:c>
      <x:c r="E648" s="12" t="n">
        <x:v>36.28</x:v>
      </x:c>
      <x:c r="F648" s="10" t="n">
        <x:v>0.299</x:v>
      </x:c>
      <x:c r="G648" t="str">
        <x:v>Personal Care</x:v>
      </x:c>
      <x:c r="H648" t="str">
        <x:v>Hair Care</x:v>
      </x:c>
      <x:c r="I648" t="str">
        <x:v>MFG009</x:v>
      </x:c>
      <x:c r="J648" t="str">
        <x:v>Manufacturer 009</x:v>
      </x:c>
      <x:c r="K648" t="str">
        <x:v>SUP024</x:v>
      </x:c>
      <x:c r="L648" t="str">
        <x:v>Supplier 024</x:v>
      </x:c>
      <x:c r="M648" t="str">
        <x:v>REG-759813</x:v>
      </x:c>
      <x:c r="N648" t="str">
        <x:v>Generic Ingredient 010</x:v>
      </x:c>
      <x:c r="O648" t="str">
        <x:v>General Sale</x:v>
      </x:c>
      <x:c r="P648" t="n">
        <x:v>60</x:v>
      </x:c>
      <x:c r="Q648" t="n">
        <x:v>18</x:v>
      </x:c>
      <x:c r="R648" t="n">
        <x:v>3</x:v>
      </x:c>
      <x:c r="S648" s="12" t="n">
        <x:f>E648*Q648</x:f>
        <x:v>653.04</x:v>
      </x:c>
      <x:c r="T648" s="12" t="n">
        <x:f>ROUND(S648*F648+0.000000001,2)</x:f>
        <x:v>195.26</x:v>
      </x:c>
      <x:c r="U648" s="12" t="n">
        <x:f>E648*R648</x:f>
        <x:v>108.84</x:v>
      </x:c>
      <x:c r="V648" t="str">
        <x:f>IF(AND(C648="Active",Q648=0),"Active Zero Sales","Not Zero Sales")</x:f>
        <x:v>Not Zero Sales</x:v>
      </x:c>
      <x:c r="W648" s="12" t="n">
        <x:f>IF(V648="Active Zero Sales",U648,0)</x:f>
        <x:v>0</x:v>
      </x:c>
      <x:c r="X648" t="str">
        <x:f>IF(E648&lt;25,"Low &lt; 25",IF(E648&lt;100,"Medium 25-99",IF(E648&lt;300,"High 100-299","Premium 300+")))</x:f>
        <x:v>Medium 25-99</x:v>
      </x:c>
      <x:c r="Y648" t="n">
        <x:f>IF(C648="Active",1,0)</x:f>
        <x:v>1</x:v>
      </x:c>
    </x:row>
    <x:row r="649">
      <x:c r="A649" t="str">
        <x:v>SKU00648</x:v>
      </x:c>
      <x:c r="B649" t="str">
        <x:v>Sample Product 00648</x:v>
      </x:c>
      <x:c r="C649" t="str">
        <x:v>Active</x:v>
      </x:c>
      <x:c r="D649" t="str">
        <x:v>2026-05</x:v>
      </x:c>
      <x:c r="E649" s="12" t="n">
        <x:v>14.55</x:v>
      </x:c>
      <x:c r="F649" s="10" t="n">
        <x:v>0.341</x:v>
      </x:c>
      <x:c r="G649" t="str">
        <x:v>Nutrition</x:v>
      </x:c>
      <x:c r="H649" t="str">
        <x:v>Sports Nutrition</x:v>
      </x:c>
      <x:c r="I649" t="str">
        <x:v>MFG013</x:v>
      </x:c>
      <x:c r="J649" t="str">
        <x:v>Manufacturer 013</x:v>
      </x:c>
      <x:c r="K649" t="str">
        <x:v>SUP015</x:v>
      </x:c>
      <x:c r="L649" t="str">
        <x:v>Supplier 015</x:v>
      </x:c>
      <x:c r="M649" t="str">
        <x:v>REG-895253</x:v>
      </x:c>
      <x:c r="N649" t="str">
        <x:v>Generic Ingredient 147</x:v>
      </x:c>
      <x:c r="O649" t="str">
        <x:v>Pharmacy Only</x:v>
      </x:c>
      <x:c r="P649" t="n">
        <x:v>69</x:v>
      </x:c>
      <x:c r="Q649" t="n">
        <x:v>25</x:v>
      </x:c>
      <x:c r="R649" t="n">
        <x:v>13</x:v>
      </x:c>
      <x:c r="S649" s="12" t="n">
        <x:f>E649*Q649</x:f>
        <x:v>363.75</x:v>
      </x:c>
      <x:c r="T649" s="12" t="n">
        <x:f>ROUND(S649*F649+0.000000001,2)</x:f>
        <x:v>124.04</x:v>
      </x:c>
      <x:c r="U649" s="12" t="n">
        <x:f>E649*R649</x:f>
        <x:v>189.15</x:v>
      </x:c>
      <x:c r="V649" t="str">
        <x:f>IF(AND(C649="Active",Q649=0),"Active Zero Sales","Not Zero Sales")</x:f>
        <x:v>Not Zero Sales</x:v>
      </x:c>
      <x:c r="W649" s="12" t="n">
        <x:f>IF(V649="Active Zero Sales",U649,0)</x:f>
        <x:v>0</x:v>
      </x:c>
      <x:c r="X649" t="str">
        <x:f>IF(E649&lt;25,"Low &lt; 25",IF(E649&lt;100,"Medium 25-99",IF(E649&lt;300,"High 100-299","Premium 300+")))</x:f>
        <x:v>Low &lt; 25</x:v>
      </x:c>
      <x:c r="Y649" t="n">
        <x:f>IF(C649="Active",1,0)</x:f>
        <x:v>1</x:v>
      </x:c>
    </x:row>
    <x:row r="650">
      <x:c r="A650" t="str">
        <x:v>SKU00649</x:v>
      </x:c>
      <x:c r="B650" t="str">
        <x:v>Sample Product 00649</x:v>
      </x:c>
      <x:c r="C650" t="str">
        <x:v>Blocked</x:v>
      </x:c>
      <x:c r="D650" t="str">
        <x:v>2026-06</x:v>
      </x:c>
      <x:c r="E650" s="12" t="n">
        <x:v>41.88</x:v>
      </x:c>
      <x:c r="F650" s="10" t="n">
        <x:v>0.255</x:v>
      </x:c>
      <x:c r="G650" t="str">
        <x:v>General Merchandise</x:v>
      </x:c>
      <x:c r="H650" t="str">
        <x:v>Seasonal Care</x:v>
      </x:c>
      <x:c r="I650" t="str">
        <x:v>MFG009</x:v>
      </x:c>
      <x:c r="J650" t="str">
        <x:v>Manufacturer 009</x:v>
      </x:c>
      <x:c r="K650" t="str">
        <x:v>SUP020</x:v>
      </x:c>
      <x:c r="L650" t="str">
        <x:v>Supplier 020</x:v>
      </x:c>
      <x:c r="M650" t="str">
        <x:v>REG-361166</x:v>
      </x:c>
      <x:c r="N650" t="str">
        <x:v>Generic Ingredient 172</x:v>
      </x:c>
      <x:c r="O650" t="str">
        <x:v>General Sale</x:v>
      </x:c>
      <x:c r="P650" t="n">
        <x:v>25</x:v>
      </x:c>
      <x:c r="Q650" t="n">
        <x:v>0</x:v>
      </x:c>
      <x:c r="R650" t="n">
        <x:v>0</x:v>
      </x:c>
      <x:c r="S650" s="12" t="n">
        <x:f>E650*Q650</x:f>
        <x:v>0</x:v>
      </x:c>
      <x:c r="T650" s="12" t="n">
        <x:f>ROUND(S650*F650+0.000000001,2)</x:f>
        <x:v>0</x:v>
      </x:c>
      <x:c r="U650" s="12" t="n">
        <x:f>E650*R650</x:f>
        <x:v>0</x:v>
      </x:c>
      <x:c r="V650" t="str">
        <x:f>IF(AND(C650="Active",Q650=0),"Active Zero Sales","Not Zero Sales")</x:f>
        <x:v>Not Zero Sales</x:v>
      </x:c>
      <x:c r="W650" s="12" t="n">
        <x:f>IF(V650="Active Zero Sales",U650,0)</x:f>
        <x:v>0</x:v>
      </x:c>
      <x:c r="X650" t="str">
        <x:f>IF(E650&lt;25,"Low &lt; 25",IF(E650&lt;100,"Medium 25-99",IF(E650&lt;300,"High 100-299","Premium 300+")))</x:f>
        <x:v>Medium 25-99</x:v>
      </x:c>
      <x:c r="Y650" t="n">
        <x:f>IF(C650="Active",1,0)</x:f>
        <x:v>0</x:v>
      </x:c>
    </x:row>
    <x:row r="651">
      <x:c r="A651" t="str">
        <x:v>SKU00650</x:v>
      </x:c>
      <x:c r="B651" t="str">
        <x:v>Sample Product 00650</x:v>
      </x:c>
      <x:c r="C651" t="str">
        <x:v>Active</x:v>
      </x:c>
      <x:c r="D651" t="str">
        <x:v>2026-02</x:v>
      </x:c>
      <x:c r="E651" s="12" t="n">
        <x:v>165.79</x:v>
      </x:c>
      <x:c r="F651" s="10" t="n">
        <x:v>0.438</x:v>
      </x:c>
      <x:c r="G651" t="str">
        <x:v>Personal Care</x:v>
      </x:c>
      <x:c r="H651" t="str">
        <x:v>Oral Care</x:v>
      </x:c>
      <x:c r="I651" t="str">
        <x:v>MFG002</x:v>
      </x:c>
      <x:c r="J651" t="str">
        <x:v>Manufacturer 002</x:v>
      </x:c>
      <x:c r="K651" t="str">
        <x:v>SUP019</x:v>
      </x:c>
      <x:c r="L651" t="str">
        <x:v>Supplier 019</x:v>
      </x:c>
      <x:c r="M651" t="str">
        <x:v>REG-879022</x:v>
      </x:c>
      <x:c r="N651" t="str">
        <x:v>Generic Ingredient 005</x:v>
      </x:c>
      <x:c r="O651" t="str">
        <x:v>General Sale</x:v>
      </x:c>
      <x:c r="P651" t="n">
        <x:v>114</x:v>
      </x:c>
      <x:c r="Q651" t="n">
        <x:v>75</x:v>
      </x:c>
      <x:c r="R651" t="n">
        <x:v>49</x:v>
      </x:c>
      <x:c r="S651" s="12" t="n">
        <x:f>E651*Q651</x:f>
        <x:v>12434.25</x:v>
      </x:c>
      <x:c r="T651" s="12" t="n">
        <x:f>ROUND(S651*F651+0.000000001,2)</x:f>
        <x:v>5446.2</x:v>
      </x:c>
      <x:c r="U651" s="12" t="n">
        <x:f>E651*R651</x:f>
        <x:v>8123.71</x:v>
      </x:c>
      <x:c r="V651" t="str">
        <x:f>IF(AND(C651="Active",Q651=0),"Active Zero Sales","Not Zero Sales")</x:f>
        <x:v>Not Zero Sales</x:v>
      </x:c>
      <x:c r="W651" s="12" t="n">
        <x:f>IF(V651="Active Zero Sales",U651,0)</x:f>
        <x:v>0</x:v>
      </x:c>
      <x:c r="X651" t="str">
        <x:f>IF(E651&lt;25,"Low &lt; 25",IF(E651&lt;100,"Medium 25-99",IF(E651&lt;300,"High 100-299","Premium 300+")))</x:f>
        <x:v>High 100-299</x:v>
      </x:c>
      <x:c r="Y651" t="n">
        <x:f>IF(C651="Active",1,0)</x:f>
        <x:v>1</x:v>
      </x:c>
    </x:row>
    <x:row r="652">
      <x:c r="A652" t="str">
        <x:v>SKU00651</x:v>
      </x:c>
      <x:c r="B652" t="str">
        <x:v>Sample Product 00651</x:v>
      </x:c>
      <x:c r="C652" t="str">
        <x:v>Active</x:v>
      </x:c>
      <x:c r="D652" t="str">
        <x:v>2026-04</x:v>
      </x:c>
      <x:c r="E652" s="12" t="n">
        <x:v>297.99</x:v>
      </x:c>
      <x:c r="F652" s="10" t="n">
        <x:v>0.338</x:v>
      </x:c>
      <x:c r="G652" t="str">
        <x:v>Nutrition</x:v>
      </x:c>
      <x:c r="H652" t="str">
        <x:v>Hydration</x:v>
      </x:c>
      <x:c r="I652" t="str">
        <x:v>MFG002</x:v>
      </x:c>
      <x:c r="J652" t="str">
        <x:v>Manufacturer 002</x:v>
      </x:c>
      <x:c r="K652" t="str">
        <x:v>SUP029</x:v>
      </x:c>
      <x:c r="L652" t="str">
        <x:v>Supplier 029</x:v>
      </x:c>
      <x:c r="M652" t="str">
        <x:v>REG-950788</x:v>
      </x:c>
      <x:c r="N652" t="str">
        <x:v>Generic Ingredient 144</x:v>
      </x:c>
      <x:c r="O652" t="str">
        <x:v>General Sale</x:v>
      </x:c>
      <x:c r="P652" t="n">
        <x:v>84</x:v>
      </x:c>
      <x:c r="Q652" t="n">
        <x:v>0</x:v>
      </x:c>
      <x:c r="R652" t="n">
        <x:v>61</x:v>
      </x:c>
      <x:c r="S652" s="12" t="n">
        <x:f>E652*Q652</x:f>
        <x:v>0</x:v>
      </x:c>
      <x:c r="T652" s="12" t="n">
        <x:f>ROUND(S652*F652+0.000000001,2)</x:f>
        <x:v>0</x:v>
      </x:c>
      <x:c r="U652" s="12" t="n">
        <x:f>E652*R652</x:f>
        <x:v>18177.39</x:v>
      </x:c>
      <x:c r="V652" t="str">
        <x:f>IF(AND(C652="Active",Q652=0),"Active Zero Sales","Not Zero Sales")</x:f>
        <x:v>Active Zero Sales</x:v>
      </x:c>
      <x:c r="W652" s="12" t="n">
        <x:f>IF(V652="Active Zero Sales",U652,0)</x:f>
        <x:v>18177.39</x:v>
      </x:c>
      <x:c r="X652" t="str">
        <x:f>IF(E652&lt;25,"Low &lt; 25",IF(E652&lt;100,"Medium 25-99",IF(E652&lt;300,"High 100-299","Premium 300+")))</x:f>
        <x:v>High 100-299</x:v>
      </x:c>
      <x:c r="Y652" t="n">
        <x:f>IF(C652="Active",1,0)</x:f>
        <x:v>1</x:v>
      </x:c>
    </x:row>
    <x:row r="653">
      <x:c r="A653" t="str">
        <x:v>SKU00652</x:v>
      </x:c>
      <x:c r="B653" t="str">
        <x:v>Sample Product 00652</x:v>
      </x:c>
      <x:c r="C653" t="str">
        <x:v>Active</x:v>
      </x:c>
      <x:c r="D653" t="str">
        <x:v>2026-06</x:v>
      </x:c>
      <x:c r="E653" s="12" t="n">
        <x:v>58.39</x:v>
      </x:c>
      <x:c r="F653" s="10" t="n">
        <x:v>0.174</x:v>
      </x:c>
      <x:c r="G653" t="str">
        <x:v>Nutrition</x:v>
      </x:c>
      <x:c r="H653" t="str">
        <x:v>Adult Nutrition</x:v>
      </x:c>
      <x:c r="I653" t="str">
        <x:v>MFG002</x:v>
      </x:c>
      <x:c r="J653" t="str">
        <x:v>Manufacturer 002</x:v>
      </x:c>
      <x:c r="K653" t="str">
        <x:v>SUP003</x:v>
      </x:c>
      <x:c r="L653" t="str">
        <x:v>Supplier 003</x:v>
      </x:c>
      <x:c r="M653" t="str">
        <x:v>REG-683079</x:v>
      </x:c>
      <x:c r="N653" t="str">
        <x:v>Generic Ingredient 068</x:v>
      </x:c>
      <x:c r="O653" t="str">
        <x:v>Pharmacy Only</x:v>
      </x:c>
      <x:c r="P653" t="n">
        <x:v>48</x:v>
      </x:c>
      <x:c r="Q653" t="n">
        <x:v>27</x:v>
      </x:c>
      <x:c r="R653" t="n">
        <x:v>0</x:v>
      </x:c>
      <x:c r="S653" s="12" t="n">
        <x:f>E653*Q653</x:f>
        <x:v>1576.53</x:v>
      </x:c>
      <x:c r="T653" s="12" t="n">
        <x:f>ROUND(S653*F653+0.000000001,2)</x:f>
        <x:v>274.32</x:v>
      </x:c>
      <x:c r="U653" s="12" t="n">
        <x:f>E653*R653</x:f>
        <x:v>0</x:v>
      </x:c>
      <x:c r="V653" t="str">
        <x:f>IF(AND(C653="Active",Q653=0),"Active Zero Sales","Not Zero Sales")</x:f>
        <x:v>Not Zero Sales</x:v>
      </x:c>
      <x:c r="W653" s="12" t="n">
        <x:f>IF(V653="Active Zero Sales",U653,0)</x:f>
        <x:v>0</x:v>
      </x:c>
      <x:c r="X653" t="str">
        <x:f>IF(E653&lt;25,"Low &lt; 25",IF(E653&lt;100,"Medium 25-99",IF(E653&lt;300,"High 100-299","Premium 300+")))</x:f>
        <x:v>Medium 25-99</x:v>
      </x:c>
      <x:c r="Y653" t="n">
        <x:f>IF(C653="Active",1,0)</x:f>
        <x:v>1</x:v>
      </x:c>
    </x:row>
    <x:row r="654">
      <x:c r="A654" t="str">
        <x:v>SKU00653</x:v>
      </x:c>
      <x:c r="B654" t="str">
        <x:v>Sample Product 00653</x:v>
      </x:c>
      <x:c r="C654" t="str">
        <x:v>Blocked</x:v>
      </x:c>
      <x:c r="D654" t="str">
        <x:v>2026-03</x:v>
      </x:c>
      <x:c r="E654" s="12" t="n">
        <x:v>73.89</x:v>
      </x:c>
      <x:c r="F654" s="10" t="n">
        <x:v>0.29</x:v>
      </x:c>
      <x:c r="G654" t="str">
        <x:v>OTC &amp; Wellness</x:v>
      </x:c>
      <x:c r="H654" t="str">
        <x:v>Digestive Care</x:v>
      </x:c>
      <x:c r="I654" t="str">
        <x:v>MFG010</x:v>
      </x:c>
      <x:c r="J654" t="str">
        <x:v>Manufacturer 010</x:v>
      </x:c>
      <x:c r="K654" t="str">
        <x:v>SUP012</x:v>
      </x:c>
      <x:c r="L654" t="str">
        <x:v>Supplier 012</x:v>
      </x:c>
      <x:c r="M654" t="str">
        <x:v>REG-322220</x:v>
      </x:c>
      <x:c r="N654" t="str">
        <x:v>Generic Ingredient 138</x:v>
      </x:c>
      <x:c r="O654" t="str">
        <x:v>Pharmacy Only</x:v>
      </x:c>
      <x:c r="P654" t="n">
        <x:v>33</x:v>
      </x:c>
      <x:c r="Q654" t="n">
        <x:v>31</x:v>
      </x:c>
      <x:c r="R654" t="n">
        <x:v>0</x:v>
      </x:c>
      <x:c r="S654" s="12" t="n">
        <x:f>E654*Q654</x:f>
        <x:v>2290.59</x:v>
      </x:c>
      <x:c r="T654" s="12" t="n">
        <x:f>ROUND(S654*F654+0.000000001,2)</x:f>
        <x:v>664.27</x:v>
      </x:c>
      <x:c r="U654" s="12" t="n">
        <x:f>E654*R654</x:f>
        <x:v>0</x:v>
      </x:c>
      <x:c r="V654" t="str">
        <x:f>IF(AND(C654="Active",Q654=0),"Active Zero Sales","Not Zero Sales")</x:f>
        <x:v>Not Zero Sales</x:v>
      </x:c>
      <x:c r="W654" s="12" t="n">
        <x:f>IF(V654="Active Zero Sales",U654,0)</x:f>
        <x:v>0</x:v>
      </x:c>
      <x:c r="X654" t="str">
        <x:f>IF(E654&lt;25,"Low &lt; 25",IF(E654&lt;100,"Medium 25-99",IF(E654&lt;300,"High 100-299","Premium 300+")))</x:f>
        <x:v>Medium 25-99</x:v>
      </x:c>
      <x:c r="Y654" t="n">
        <x:f>IF(C654="Active",1,0)</x:f>
        <x:v>0</x:v>
      </x:c>
    </x:row>
    <x:row r="655">
      <x:c r="A655" t="str">
        <x:v>SKU00654</x:v>
      </x:c>
      <x:c r="B655" t="str">
        <x:v>Sample Product 00654</x:v>
      </x:c>
      <x:c r="C655" t="str">
        <x:v>Active</x:v>
      </x:c>
      <x:c r="D655" t="str">
        <x:v>2026-01</x:v>
      </x:c>
      <x:c r="E655" s="12" t="n">
        <x:v>222.17</x:v>
      </x:c>
      <x:c r="F655" s="10" t="n">
        <x:v>0.417</x:v>
      </x:c>
      <x:c r="G655" t="str">
        <x:v>Nutrition</x:v>
      </x:c>
      <x:c r="H655" t="str">
        <x:v>Healthy Snacks</x:v>
      </x:c>
      <x:c r="I655" t="str">
        <x:v>MFG010</x:v>
      </x:c>
      <x:c r="J655" t="str">
        <x:v>Manufacturer 010</x:v>
      </x:c>
      <x:c r="K655" t="str">
        <x:v>SUP017</x:v>
      </x:c>
      <x:c r="L655" t="str">
        <x:v>Supplier 017</x:v>
      </x:c>
      <x:c r="M655" t="str">
        <x:v>REG-606094</x:v>
      </x:c>
      <x:c r="N655" t="str">
        <x:v>Generic Ingredient 113</x:v>
      </x:c>
      <x:c r="O655" t="str">
        <x:v>General Sale</x:v>
      </x:c>
      <x:c r="P655" t="n">
        <x:v>20</x:v>
      </x:c>
      <x:c r="Q655" t="n">
        <x:v>16</x:v>
      </x:c>
      <x:c r="R655" t="n">
        <x:v>1</x:v>
      </x:c>
      <x:c r="S655" s="12" t="n">
        <x:f>E655*Q655</x:f>
        <x:v>3554.72</x:v>
      </x:c>
      <x:c r="T655" s="12" t="n">
        <x:f>ROUND(S655*F655+0.000000001,2)</x:f>
        <x:v>1482.32</x:v>
      </x:c>
      <x:c r="U655" s="12" t="n">
        <x:f>E655*R655</x:f>
        <x:v>222.17</x:v>
      </x:c>
      <x:c r="V655" t="str">
        <x:f>IF(AND(C655="Active",Q655=0),"Active Zero Sales","Not Zero Sales")</x:f>
        <x:v>Not Zero Sales</x:v>
      </x:c>
      <x:c r="W655" s="12" t="n">
        <x:f>IF(V655="Active Zero Sales",U655,0)</x:f>
        <x:v>0</x:v>
      </x:c>
      <x:c r="X655" t="str">
        <x:f>IF(E655&lt;25,"Low &lt; 25",IF(E655&lt;100,"Medium 25-99",IF(E655&lt;300,"High 100-299","Premium 300+")))</x:f>
        <x:v>High 100-299</x:v>
      </x:c>
      <x:c r="Y655" t="n">
        <x:f>IF(C655="Active",1,0)</x:f>
        <x:v>1</x:v>
      </x:c>
    </x:row>
    <x:row r="656">
      <x:c r="A656" t="str">
        <x:v>SKU00655</x:v>
      </x:c>
      <x:c r="B656" t="str">
        <x:v>Sample Product 00655</x:v>
      </x:c>
      <x:c r="C656" t="str">
        <x:v>Active</x:v>
      </x:c>
      <x:c r="D656" t="str">
        <x:v>2026-01</x:v>
      </x:c>
      <x:c r="E656" s="12" t="n">
        <x:v>11.07</x:v>
      </x:c>
      <x:c r="F656" s="10" t="n">
        <x:v>0.22</x:v>
      </x:c>
      <x:c r="G656" t="str">
        <x:v>Personal Care</x:v>
      </x:c>
      <x:c r="H656" t="str">
        <x:v>Skin Care</x:v>
      </x:c>
      <x:c r="I656" t="str">
        <x:v>MFG020</x:v>
      </x:c>
      <x:c r="J656" t="str">
        <x:v>Manufacturer 020</x:v>
      </x:c>
      <x:c r="K656" t="str">
        <x:v>SUP006</x:v>
      </x:c>
      <x:c r="L656" t="str">
        <x:v>Supplier 006</x:v>
      </x:c>
      <x:c r="M656" t="str">
        <x:v>REG-967603</x:v>
      </x:c>
      <x:c r="N656" t="str">
        <x:v>Generic Ingredient 074</x:v>
      </x:c>
      <x:c r="O656" t="str">
        <x:v>General Sale</x:v>
      </x:c>
      <x:c r="P656" t="n">
        <x:v>84</x:v>
      </x:c>
      <x:c r="Q656" t="n">
        <x:v>31</x:v>
      </x:c>
      <x:c r="R656" t="n">
        <x:v>8</x:v>
      </x:c>
      <x:c r="S656" s="12" t="n">
        <x:f>E656*Q656</x:f>
        <x:v>343.17</x:v>
      </x:c>
      <x:c r="T656" s="12" t="n">
        <x:f>ROUND(S656*F656+0.000000001,2)</x:f>
        <x:v>75.5</x:v>
      </x:c>
      <x:c r="U656" s="12" t="n">
        <x:f>E656*R656</x:f>
        <x:v>88.56</x:v>
      </x:c>
      <x:c r="V656" t="str">
        <x:f>IF(AND(C656="Active",Q656=0),"Active Zero Sales","Not Zero Sales")</x:f>
        <x:v>Not Zero Sales</x:v>
      </x:c>
      <x:c r="W656" s="12" t="n">
        <x:f>IF(V656="Active Zero Sales",U656,0)</x:f>
        <x:v>0</x:v>
      </x:c>
      <x:c r="X656" t="str">
        <x:f>IF(E656&lt;25,"Low &lt; 25",IF(E656&lt;100,"Medium 25-99",IF(E656&lt;300,"High 100-299","Premium 300+")))</x:f>
        <x:v>Low &lt; 25</x:v>
      </x:c>
      <x:c r="Y656" t="n">
        <x:f>IF(C656="Active",1,0)</x:f>
        <x:v>1</x:v>
      </x:c>
    </x:row>
    <x:row r="657">
      <x:c r="A657" t="str">
        <x:v>SKU00656</x:v>
      </x:c>
      <x:c r="B657" t="str">
        <x:v>Sample Product 00656</x:v>
      </x:c>
      <x:c r="C657" t="str">
        <x:v>Active</x:v>
      </x:c>
      <x:c r="D657" t="str">
        <x:v>2026-01</x:v>
      </x:c>
      <x:c r="E657" s="12" t="n">
        <x:v>40.76</x:v>
      </x:c>
      <x:c r="F657" s="10" t="n">
        <x:v>0.572</x:v>
      </x:c>
      <x:c r="G657" t="str">
        <x:v>Personal Care</x:v>
      </x:c>
      <x:c r="H657" t="str">
        <x:v>Skin Care</x:v>
      </x:c>
      <x:c r="I657" t="str">
        <x:v>MFG014</x:v>
      </x:c>
      <x:c r="J657" t="str">
        <x:v>Manufacturer 014</x:v>
      </x:c>
      <x:c r="K657" t="str">
        <x:v>SUP005</x:v>
      </x:c>
      <x:c r="L657" t="str">
        <x:v>Supplier 005</x:v>
      </x:c>
      <x:c r="M657" t="str">
        <x:v>REG-185950</x:v>
      </x:c>
      <x:c r="N657" t="str">
        <x:v>Generic Ingredient 139</x:v>
      </x:c>
      <x:c r="O657" t="str">
        <x:v>General Sale</x:v>
      </x:c>
      <x:c r="P657" t="n">
        <x:v>10</x:v>
      </x:c>
      <x:c r="Q657" t="n">
        <x:v>4</x:v>
      </x:c>
      <x:c r="R657" t="n">
        <x:v>6</x:v>
      </x:c>
      <x:c r="S657" s="12" t="n">
        <x:f>E657*Q657</x:f>
        <x:v>163.04</x:v>
      </x:c>
      <x:c r="T657" s="12" t="n">
        <x:f>ROUND(S657*F657+0.000000001,2)</x:f>
        <x:v>93.26</x:v>
      </x:c>
      <x:c r="U657" s="12" t="n">
        <x:f>E657*R657</x:f>
        <x:v>244.56</x:v>
      </x:c>
      <x:c r="V657" t="str">
        <x:f>IF(AND(C657="Active",Q657=0),"Active Zero Sales","Not Zero Sales")</x:f>
        <x:v>Not Zero Sales</x:v>
      </x:c>
      <x:c r="W657" s="12" t="n">
        <x:f>IF(V657="Active Zero Sales",U657,0)</x:f>
        <x:v>0</x:v>
      </x:c>
      <x:c r="X657" t="str">
        <x:f>IF(E657&lt;25,"Low &lt; 25",IF(E657&lt;100,"Medium 25-99",IF(E657&lt;300,"High 100-299","Premium 300+")))</x:f>
        <x:v>Medium 25-99</x:v>
      </x:c>
      <x:c r="Y657" t="n">
        <x:f>IF(C657="Active",1,0)</x:f>
        <x:v>1</x:v>
      </x:c>
    </x:row>
    <x:row r="658">
      <x:c r="A658" t="str">
        <x:v>SKU00657</x:v>
      </x:c>
      <x:c r="B658" t="str">
        <x:v>Sample Product 00657</x:v>
      </x:c>
      <x:c r="C658" t="str">
        <x:v>Blocked</x:v>
      </x:c>
      <x:c r="D658" t="str">
        <x:v>2026-03</x:v>
      </x:c>
      <x:c r="E658" s="12" t="n">
        <x:v>19.05</x:v>
      </x:c>
      <x:c r="F658" s="10" t="n">
        <x:v>0.462</x:v>
      </x:c>
      <x:c r="G658" t="str">
        <x:v>Personal Care</x:v>
      </x:c>
      <x:c r="H658" t="str">
        <x:v>Oral Care</x:v>
      </x:c>
      <x:c r="I658" t="str">
        <x:v>MFG016</x:v>
      </x:c>
      <x:c r="J658" t="str">
        <x:v>Manufacturer 016</x:v>
      </x:c>
      <x:c r="K658" t="str">
        <x:v>SUP013</x:v>
      </x:c>
      <x:c r="L658" t="str">
        <x:v>Supplier 013</x:v>
      </x:c>
      <x:c r="M658" t="str">
        <x:v>REG-881884</x:v>
      </x:c>
      <x:c r="N658" t="str">
        <x:v>Generic Ingredient 078</x:v>
      </x:c>
      <x:c r="O658" t="str">
        <x:v>General Sale</x:v>
      </x:c>
      <x:c r="P658" t="n">
        <x:v>0</x:v>
      </x:c>
      <x:c r="Q658" t="n">
        <x:v>0</x:v>
      </x:c>
      <x:c r="R658" t="n">
        <x:v>0</x:v>
      </x:c>
      <x:c r="S658" s="12" t="n">
        <x:f>E658*Q658</x:f>
        <x:v>0</x:v>
      </x:c>
      <x:c r="T658" s="12" t="n">
        <x:f>ROUND(S658*F658+0.000000001,2)</x:f>
        <x:v>0</x:v>
      </x:c>
      <x:c r="U658" s="12" t="n">
        <x:f>E658*R658</x:f>
        <x:v>0</x:v>
      </x:c>
      <x:c r="V658" t="str">
        <x:f>IF(AND(C658="Active",Q658=0),"Active Zero Sales","Not Zero Sales")</x:f>
        <x:v>Not Zero Sales</x:v>
      </x:c>
      <x:c r="W658" s="12" t="n">
        <x:f>IF(V658="Active Zero Sales",U658,0)</x:f>
        <x:v>0</x:v>
      </x:c>
      <x:c r="X658" t="str">
        <x:f>IF(E658&lt;25,"Low &lt; 25",IF(E658&lt;100,"Medium 25-99",IF(E658&lt;300,"High 100-299","Premium 300+")))</x:f>
        <x:v>Low &lt; 25</x:v>
      </x:c>
      <x:c r="Y658" t="n">
        <x:f>IF(C658="Active",1,0)</x:f>
        <x:v>0</x:v>
      </x:c>
    </x:row>
    <x:row r="659">
      <x:c r="A659" t="str">
        <x:v>SKU00658</x:v>
      </x:c>
      <x:c r="B659" t="str">
        <x:v>Sample Product 00658</x:v>
      </x:c>
      <x:c r="C659" t="str">
        <x:v>Active</x:v>
      </x:c>
      <x:c r="D659" t="str">
        <x:v>2026-06</x:v>
      </x:c>
      <x:c r="E659" s="12" t="n">
        <x:v>6.73</x:v>
      </x:c>
      <x:c r="F659" s="10" t="n">
        <x:v>0.312</x:v>
      </x:c>
      <x:c r="G659" t="str">
        <x:v>Medical Devices</x:v>
      </x:c>
      <x:c r="H659" t="str">
        <x:v>Monitoring Supplies</x:v>
      </x:c>
      <x:c r="I659" t="str">
        <x:v>MFG007</x:v>
      </x:c>
      <x:c r="J659" t="str">
        <x:v>Manufacturer 007</x:v>
      </x:c>
      <x:c r="K659" t="str">
        <x:v>SUP004</x:v>
      </x:c>
      <x:c r="L659" t="str">
        <x:v>Supplier 004</x:v>
      </x:c>
      <x:c r="M659" t="str">
        <x:v>REG-464036</x:v>
      </x:c>
      <x:c r="N659" t="str">
        <x:v>Generic Ingredient 060</x:v>
      </x:c>
      <x:c r="O659" t="str">
        <x:v>General Sale</x:v>
      </x:c>
      <x:c r="P659" t="n">
        <x:v>36</x:v>
      </x:c>
      <x:c r="Q659" t="n">
        <x:v>7</x:v>
      </x:c>
      <x:c r="R659" t="n">
        <x:v>0</x:v>
      </x:c>
      <x:c r="S659" s="12" t="n">
        <x:f>E659*Q659</x:f>
        <x:v>47.11</x:v>
      </x:c>
      <x:c r="T659" s="12" t="n">
        <x:f>ROUND(S659*F659+0.000000001,2)</x:f>
        <x:v>14.7</x:v>
      </x:c>
      <x:c r="U659" s="12" t="n">
        <x:f>E659*R659</x:f>
        <x:v>0</x:v>
      </x:c>
      <x:c r="V659" t="str">
        <x:f>IF(AND(C659="Active",Q659=0),"Active Zero Sales","Not Zero Sales")</x:f>
        <x:v>Not Zero Sales</x:v>
      </x:c>
      <x:c r="W659" s="12" t="n">
        <x:f>IF(V659="Active Zero Sales",U659,0)</x:f>
        <x:v>0</x:v>
      </x:c>
      <x:c r="X659" t="str">
        <x:f>IF(E659&lt;25,"Low &lt; 25",IF(E659&lt;100,"Medium 25-99",IF(E659&lt;300,"High 100-299","Premium 300+")))</x:f>
        <x:v>Low &lt; 25</x:v>
      </x:c>
      <x:c r="Y659" t="n">
        <x:f>IF(C659="Active",1,0)</x:f>
        <x:v>1</x:v>
      </x:c>
    </x:row>
    <x:row r="660">
      <x:c r="A660" t="str">
        <x:v>SKU00659</x:v>
      </x:c>
      <x:c r="B660" t="str">
        <x:v>Sample Product 00659</x:v>
      </x:c>
      <x:c r="C660" t="str">
        <x:v>Active</x:v>
      </x:c>
      <x:c r="D660" t="str">
        <x:v>2026-06</x:v>
      </x:c>
      <x:c r="E660" s="12" t="n">
        <x:v>79.81</x:v>
      </x:c>
      <x:c r="F660" s="10" t="n">
        <x:v>0.366</x:v>
      </x:c>
      <x:c r="G660" t="str">
        <x:v>Personal Care</x:v>
      </x:c>
      <x:c r="H660" t="str">
        <x:v>Hygiene</x:v>
      </x:c>
      <x:c r="I660" t="str">
        <x:v>MFG008</x:v>
      </x:c>
      <x:c r="J660" t="str">
        <x:v>Manufacturer 008</x:v>
      </x:c>
      <x:c r="K660" t="str">
        <x:v>SUP001</x:v>
      </x:c>
      <x:c r="L660" t="str">
        <x:v>Supplier 001</x:v>
      </x:c>
      <x:c r="M660" t="str">
        <x:v>REG-403347</x:v>
      </x:c>
      <x:c r="N660" t="str">
        <x:v>Generic Ingredient 064</x:v>
      </x:c>
      <x:c r="O660" t="str">
        <x:v>General Sale</x:v>
      </x:c>
      <x:c r="P660" t="n">
        <x:v>11</x:v>
      </x:c>
      <x:c r="Q660" t="n">
        <x:v>14</x:v>
      </x:c>
      <x:c r="R660" t="n">
        <x:v>6</x:v>
      </x:c>
      <x:c r="S660" s="12" t="n">
        <x:f>E660*Q660</x:f>
        <x:v>1117.3400000000001</x:v>
      </x:c>
      <x:c r="T660" s="12" t="n">
        <x:f>ROUND(S660*F660+0.000000001,2)</x:f>
        <x:v>408.95</x:v>
      </x:c>
      <x:c r="U660" s="12" t="n">
        <x:f>E660*R660</x:f>
        <x:v>478.86</x:v>
      </x:c>
      <x:c r="V660" t="str">
        <x:f>IF(AND(C660="Active",Q660=0),"Active Zero Sales","Not Zero Sales")</x:f>
        <x:v>Not Zero Sales</x:v>
      </x:c>
      <x:c r="W660" s="12" t="n">
        <x:f>IF(V660="Active Zero Sales",U660,0)</x:f>
        <x:v>0</x:v>
      </x:c>
      <x:c r="X660" t="str">
        <x:f>IF(E660&lt;25,"Low &lt; 25",IF(E660&lt;100,"Medium 25-99",IF(E660&lt;300,"High 100-299","Premium 300+")))</x:f>
        <x:v>Medium 25-99</x:v>
      </x:c>
      <x:c r="Y660" t="n">
        <x:f>IF(C660="Active",1,0)</x:f>
        <x:v>1</x:v>
      </x:c>
    </x:row>
    <x:row r="661">
      <x:c r="A661" t="str">
        <x:v>SKU00660</x:v>
      </x:c>
      <x:c r="B661" t="str">
        <x:v>Sample Product 00660</x:v>
      </x:c>
      <x:c r="C661" t="str">
        <x:v>Active</x:v>
      </x:c>
      <x:c r="D661" t="str">
        <x:v>2026-01</x:v>
      </x:c>
      <x:c r="E661" s="12" t="n">
        <x:v>57.12</x:v>
      </x:c>
      <x:c r="F661" s="10" t="n">
        <x:v>0.357</x:v>
      </x:c>
      <x:c r="G661" t="str">
        <x:v>Nutrition</x:v>
      </x:c>
      <x:c r="H661" t="str">
        <x:v>Adult Nutrition</x:v>
      </x:c>
      <x:c r="I661" t="str">
        <x:v>MFG013</x:v>
      </x:c>
      <x:c r="J661" t="str">
        <x:v>Manufacturer 013</x:v>
      </x:c>
      <x:c r="K661" t="str">
        <x:v>SUP022</x:v>
      </x:c>
      <x:c r="L661" t="str">
        <x:v>Supplier 022</x:v>
      </x:c>
      <x:c r="M661" t="str">
        <x:v>REG-377017</x:v>
      </x:c>
      <x:c r="N661" t="str">
        <x:v>Generic Ingredient 041</x:v>
      </x:c>
      <x:c r="O661" t="str">
        <x:v>Pharmacy Only</x:v>
      </x:c>
      <x:c r="P661" t="n">
        <x:v>68</x:v>
      </x:c>
      <x:c r="Q661" t="n">
        <x:v>23</x:v>
      </x:c>
      <x:c r="R661" t="n">
        <x:v>0</x:v>
      </x:c>
      <x:c r="S661" s="12" t="n">
        <x:f>E661*Q661</x:f>
        <x:v>1313.76</x:v>
      </x:c>
      <x:c r="T661" s="12" t="n">
        <x:f>ROUND(S661*F661+0.000000001,2)</x:f>
        <x:v>469.01</x:v>
      </x:c>
      <x:c r="U661" s="12" t="n">
        <x:f>E661*R661</x:f>
        <x:v>0</x:v>
      </x:c>
      <x:c r="V661" t="str">
        <x:f>IF(AND(C661="Active",Q661=0),"Active Zero Sales","Not Zero Sales")</x:f>
        <x:v>Not Zero Sales</x:v>
      </x:c>
      <x:c r="W661" s="12" t="n">
        <x:f>IF(V661="Active Zero Sales",U661,0)</x:f>
        <x:v>0</x:v>
      </x:c>
      <x:c r="X661" t="str">
        <x:f>IF(E661&lt;25,"Low &lt; 25",IF(E661&lt;100,"Medium 25-99",IF(E661&lt;300,"High 100-299","Premium 300+")))</x:f>
        <x:v>Medium 25-99</x:v>
      </x:c>
      <x:c r="Y661" t="n">
        <x:f>IF(C661="Active",1,0)</x:f>
        <x:v>1</x:v>
      </x:c>
    </x:row>
    <x:row r="662">
      <x:c r="A662" t="str">
        <x:v>SKU00661</x:v>
      </x:c>
      <x:c r="B662" t="str">
        <x:v>Sample Product 00661</x:v>
      </x:c>
      <x:c r="C662" t="str">
        <x:v>Blocked</x:v>
      </x:c>
      <x:c r="D662" t="str">
        <x:v>2026-02</x:v>
      </x:c>
      <x:c r="E662" s="12" t="n">
        <x:v>9.02</x:v>
      </x:c>
      <x:c r="F662" s="10" t="n">
        <x:v>0.256</x:v>
      </x:c>
      <x:c r="G662" t="str">
        <x:v>OTC &amp; Wellness</x:v>
      </x:c>
      <x:c r="H662" t="str">
        <x:v>Vitamins</x:v>
      </x:c>
      <x:c r="I662" t="str">
        <x:v>MFG010</x:v>
      </x:c>
      <x:c r="J662" t="str">
        <x:v>Manufacturer 010</x:v>
      </x:c>
      <x:c r="K662" t="str">
        <x:v>SUP025</x:v>
      </x:c>
      <x:c r="L662" t="str">
        <x:v>Supplier 025</x:v>
      </x:c>
      <x:c r="M662" t="str">
        <x:v>REG-770380</x:v>
      </x:c>
      <x:c r="N662" t="str">
        <x:v>Generic Ingredient 166</x:v>
      </x:c>
      <x:c r="O662" t="str">
        <x:v>Restricted Sale</x:v>
      </x:c>
      <x:c r="P662" t="n">
        <x:v>0</x:v>
      </x:c>
      <x:c r="Q662" t="n">
        <x:v>0</x:v>
      </x:c>
      <x:c r="R662" t="n">
        <x:v>4</x:v>
      </x:c>
      <x:c r="S662" s="12" t="n">
        <x:f>E662*Q662</x:f>
        <x:v>0</x:v>
      </x:c>
      <x:c r="T662" s="12" t="n">
        <x:f>ROUND(S662*F662+0.000000001,2)</x:f>
        <x:v>0</x:v>
      </x:c>
      <x:c r="U662" s="12" t="n">
        <x:f>E662*R662</x:f>
        <x:v>36.08</x:v>
      </x:c>
      <x:c r="V662" t="str">
        <x:f>IF(AND(C662="Active",Q662=0),"Active Zero Sales","Not Zero Sales")</x:f>
        <x:v>Not Zero Sales</x:v>
      </x:c>
      <x:c r="W662" s="12" t="n">
        <x:f>IF(V662="Active Zero Sales",U662,0)</x:f>
        <x:v>0</x:v>
      </x:c>
      <x:c r="X662" t="str">
        <x:f>IF(E662&lt;25,"Low &lt; 25",IF(E662&lt;100,"Medium 25-99",IF(E662&lt;300,"High 100-299","Premium 300+")))</x:f>
        <x:v>Low &lt; 25</x:v>
      </x:c>
      <x:c r="Y662" t="n">
        <x:f>IF(C662="Active",1,0)</x:f>
        <x:v>0</x:v>
      </x:c>
    </x:row>
    <x:row r="663">
      <x:c r="A663" t="str">
        <x:v>SKU00662</x:v>
      </x:c>
      <x:c r="B663" t="str">
        <x:v>Sample Product 00662</x:v>
      </x:c>
      <x:c r="C663" t="str">
        <x:v>Active</x:v>
      </x:c>
      <x:c r="D663" t="str">
        <x:v>2026-01</x:v>
      </x:c>
      <x:c r="E663" s="12" t="n">
        <x:v>55.11</x:v>
      </x:c>
      <x:c r="F663" s="10" t="n">
        <x:v>0.352</x:v>
      </x:c>
      <x:c r="G663" t="str">
        <x:v>Personal Care</x:v>
      </x:c>
      <x:c r="H663" t="str">
        <x:v>Oral Care</x:v>
      </x:c>
      <x:c r="I663" t="str">
        <x:v>MFG019</x:v>
      </x:c>
      <x:c r="J663" t="str">
        <x:v>Manufacturer 019</x:v>
      </x:c>
      <x:c r="K663" t="str">
        <x:v>SUP023</x:v>
      </x:c>
      <x:c r="L663" t="str">
        <x:v>Supplier 023</x:v>
      </x:c>
      <x:c r="M663" t="str">
        <x:v>REG-833260</x:v>
      </x:c>
      <x:c r="N663" t="str">
        <x:v>Generic Ingredient 024</x:v>
      </x:c>
      <x:c r="O663" t="str">
        <x:v>General Sale</x:v>
      </x:c>
      <x:c r="P663" t="n">
        <x:v>49</x:v>
      </x:c>
      <x:c r="Q663" t="n">
        <x:v>7</x:v>
      </x:c>
      <x:c r="R663" t="n">
        <x:v>0</x:v>
      </x:c>
      <x:c r="S663" s="12" t="n">
        <x:f>E663*Q663</x:f>
        <x:v>385.77</x:v>
      </x:c>
      <x:c r="T663" s="12" t="n">
        <x:f>ROUND(S663*F663+0.000000001,2)</x:f>
        <x:v>135.79</x:v>
      </x:c>
      <x:c r="U663" s="12" t="n">
        <x:f>E663*R663</x:f>
        <x:v>0</x:v>
      </x:c>
      <x:c r="V663" t="str">
        <x:f>IF(AND(C663="Active",Q663=0),"Active Zero Sales","Not Zero Sales")</x:f>
        <x:v>Not Zero Sales</x:v>
      </x:c>
      <x:c r="W663" s="12" t="n">
        <x:f>IF(V663="Active Zero Sales",U663,0)</x:f>
        <x:v>0</x:v>
      </x:c>
      <x:c r="X663" t="str">
        <x:f>IF(E663&lt;25,"Low &lt; 25",IF(E663&lt;100,"Medium 25-99",IF(E663&lt;300,"High 100-299","Premium 300+")))</x:f>
        <x:v>Medium 25-99</x:v>
      </x:c>
      <x:c r="Y663" t="n">
        <x:f>IF(C663="Active",1,0)</x:f>
        <x:v>1</x:v>
      </x:c>
    </x:row>
    <x:row r="664">
      <x:c r="A664" t="str">
        <x:v>SKU00663</x:v>
      </x:c>
      <x:c r="B664" t="str">
        <x:v>Sample Product 00663</x:v>
      </x:c>
      <x:c r="C664" t="str">
        <x:v>Blocked</x:v>
      </x:c>
      <x:c r="D664" t="str">
        <x:v>2026-02</x:v>
      </x:c>
      <x:c r="E664" s="12" t="n">
        <x:v>259.74</x:v>
      </x:c>
      <x:c r="F664" s="10" t="n">
        <x:v>0.469</x:v>
      </x:c>
      <x:c r="G664" t="str">
        <x:v>Personal Care</x:v>
      </x:c>
      <x:c r="H664" t="str">
        <x:v>Hygiene</x:v>
      </x:c>
      <x:c r="I664" t="str">
        <x:v>MFG001</x:v>
      </x:c>
      <x:c r="J664" t="str">
        <x:v>Manufacturer 001</x:v>
      </x:c>
      <x:c r="K664" t="str">
        <x:v>SUP002</x:v>
      </x:c>
      <x:c r="L664" t="str">
        <x:v>Supplier 002</x:v>
      </x:c>
      <x:c r="M664" t="str">
        <x:v>REG-851344</x:v>
      </x:c>
      <x:c r="N664" t="str">
        <x:v>Generic Ingredient 025</x:v>
      </x:c>
      <x:c r="O664" t="str">
        <x:v>General Sale</x:v>
      </x:c>
      <x:c r="P664" t="n">
        <x:v>27</x:v>
      </x:c>
      <x:c r="Q664" t="n">
        <x:v>0</x:v>
      </x:c>
      <x:c r="R664" t="n">
        <x:v>0</x:v>
      </x:c>
      <x:c r="S664" s="12" t="n">
        <x:f>E664*Q664</x:f>
        <x:v>0</x:v>
      </x:c>
      <x:c r="T664" s="12" t="n">
        <x:f>ROUND(S664*F664+0.000000001,2)</x:f>
        <x:v>0</x:v>
      </x:c>
      <x:c r="U664" s="12" t="n">
        <x:f>E664*R664</x:f>
        <x:v>0</x:v>
      </x:c>
      <x:c r="V664" t="str">
        <x:f>IF(AND(C664="Active",Q664=0),"Active Zero Sales","Not Zero Sales")</x:f>
        <x:v>Not Zero Sales</x:v>
      </x:c>
      <x:c r="W664" s="12" t="n">
        <x:f>IF(V664="Active Zero Sales",U664,0)</x:f>
        <x:v>0</x:v>
      </x:c>
      <x:c r="X664" t="str">
        <x:f>IF(E664&lt;25,"Low &lt; 25",IF(E664&lt;100,"Medium 25-99",IF(E664&lt;300,"High 100-299","Premium 300+")))</x:f>
        <x:v>High 100-299</x:v>
      </x:c>
      <x:c r="Y664" t="n">
        <x:f>IF(C664="Active",1,0)</x:f>
        <x:v>0</x:v>
      </x:c>
    </x:row>
    <x:row r="665">
      <x:c r="A665" t="str">
        <x:v>SKU00664</x:v>
      </x:c>
      <x:c r="B665" t="str">
        <x:v>Sample Product 00664</x:v>
      </x:c>
      <x:c r="C665" t="str">
        <x:v>Active</x:v>
      </x:c>
      <x:c r="D665" t="str">
        <x:v>2026-02</x:v>
      </x:c>
      <x:c r="E665" s="12" t="n">
        <x:v>83.93</x:v>
      </x:c>
      <x:c r="F665" s="10" t="n">
        <x:v>0.371</x:v>
      </x:c>
      <x:c r="G665" t="str">
        <x:v>Personal Care</x:v>
      </x:c>
      <x:c r="H665" t="str">
        <x:v>Oral Care</x:v>
      </x:c>
      <x:c r="I665" t="str">
        <x:v>MFG013</x:v>
      </x:c>
      <x:c r="J665" t="str">
        <x:v>Manufacturer 013</x:v>
      </x:c>
      <x:c r="K665" t="str">
        <x:v>SUP014</x:v>
      </x:c>
      <x:c r="L665" t="str">
        <x:v>Supplier 014</x:v>
      </x:c>
      <x:c r="M665" t="str">
        <x:v>REG-897642</x:v>
      </x:c>
      <x:c r="N665" t="str">
        <x:v>Generic Ingredient 178</x:v>
      </x:c>
      <x:c r="O665" t="str">
        <x:v>General Sale</x:v>
      </x:c>
      <x:c r="P665" t="n">
        <x:v>102</x:v>
      </x:c>
      <x:c r="Q665" t="n">
        <x:v>30</x:v>
      </x:c>
      <x:c r="R665" t="n">
        <x:v>26</x:v>
      </x:c>
      <x:c r="S665" s="12" t="n">
        <x:f>E665*Q665</x:f>
        <x:v>2517.9</x:v>
      </x:c>
      <x:c r="T665" s="12" t="n">
        <x:f>ROUND(S665*F665+0.000000001,2)</x:f>
        <x:v>934.14</x:v>
      </x:c>
      <x:c r="U665" s="12" t="n">
        <x:f>E665*R665</x:f>
        <x:v>2182.1800000000003</x:v>
      </x:c>
      <x:c r="V665" t="str">
        <x:f>IF(AND(C665="Active",Q665=0),"Active Zero Sales","Not Zero Sales")</x:f>
        <x:v>Not Zero Sales</x:v>
      </x:c>
      <x:c r="W665" s="12" t="n">
        <x:f>IF(V665="Active Zero Sales",U665,0)</x:f>
        <x:v>0</x:v>
      </x:c>
      <x:c r="X665" t="str">
        <x:f>IF(E665&lt;25,"Low &lt; 25",IF(E665&lt;100,"Medium 25-99",IF(E665&lt;300,"High 100-299","Premium 300+")))</x:f>
        <x:v>Medium 25-99</x:v>
      </x:c>
      <x:c r="Y665" t="n">
        <x:f>IF(C665="Active",1,0)</x:f>
        <x:v>1</x:v>
      </x:c>
    </x:row>
    <x:row r="666">
      <x:c r="A666" t="str">
        <x:v>SKU00665</x:v>
      </x:c>
      <x:c r="B666" t="str">
        <x:v>Sample Product 00665</x:v>
      </x:c>
      <x:c r="C666" t="str">
        <x:v>Active</x:v>
      </x:c>
      <x:c r="D666" t="str">
        <x:v>2026-01</x:v>
      </x:c>
      <x:c r="E666" s="12" t="n">
        <x:v>58.83</x:v>
      </x:c>
      <x:c r="F666" s="10" t="n">
        <x:v>0.359</x:v>
      </x:c>
      <x:c r="G666" t="str">
        <x:v>General Merchandise</x:v>
      </x:c>
      <x:c r="H666" t="str">
        <x:v>Baby Essentials</x:v>
      </x:c>
      <x:c r="I666" t="str">
        <x:v>MFG004</x:v>
      </x:c>
      <x:c r="J666" t="str">
        <x:v>Manufacturer 004</x:v>
      </x:c>
      <x:c r="K666" t="str">
        <x:v>SUP023</x:v>
      </x:c>
      <x:c r="L666" t="str">
        <x:v>Supplier 023</x:v>
      </x:c>
      <x:c r="M666" t="str">
        <x:v>REG-528498</x:v>
      </x:c>
      <x:c r="N666" t="str">
        <x:v>Generic Ingredient 127</x:v>
      </x:c>
      <x:c r="O666" t="str">
        <x:v>General Sale</x:v>
      </x:c>
      <x:c r="P666" t="n">
        <x:v>22</x:v>
      </x:c>
      <x:c r="Q666" t="n">
        <x:v>16</x:v>
      </x:c>
      <x:c r="R666" t="n">
        <x:v>3</x:v>
      </x:c>
      <x:c r="S666" s="12" t="n">
        <x:f>E666*Q666</x:f>
        <x:v>941.28</x:v>
      </x:c>
      <x:c r="T666" s="12" t="n">
        <x:f>ROUND(S666*F666+0.000000001,2)</x:f>
        <x:v>337.92</x:v>
      </x:c>
      <x:c r="U666" s="12" t="n">
        <x:f>E666*R666</x:f>
        <x:v>176.49</x:v>
      </x:c>
      <x:c r="V666" t="str">
        <x:f>IF(AND(C666="Active",Q666=0),"Active Zero Sales","Not Zero Sales")</x:f>
        <x:v>Not Zero Sales</x:v>
      </x:c>
      <x:c r="W666" s="12" t="n">
        <x:f>IF(V666="Active Zero Sales",U666,0)</x:f>
        <x:v>0</x:v>
      </x:c>
      <x:c r="X666" t="str">
        <x:f>IF(E666&lt;25,"Low &lt; 25",IF(E666&lt;100,"Medium 25-99",IF(E666&lt;300,"High 100-299","Premium 300+")))</x:f>
        <x:v>Medium 25-99</x:v>
      </x:c>
      <x:c r="Y666" t="n">
        <x:f>IF(C666="Active",1,0)</x:f>
        <x:v>1</x:v>
      </x:c>
    </x:row>
    <x:row r="667">
      <x:c r="A667" t="str">
        <x:v>SKU00666</x:v>
      </x:c>
      <x:c r="B667" t="str">
        <x:v>Sample Product 00666</x:v>
      </x:c>
      <x:c r="C667" t="str">
        <x:v>Active</x:v>
      </x:c>
      <x:c r="D667" t="str">
        <x:v>2026-03</x:v>
      </x:c>
      <x:c r="E667" s="12" t="n">
        <x:v>179.54</x:v>
      </x:c>
      <x:c r="F667" s="10" t="n">
        <x:v>0.486</x:v>
      </x:c>
      <x:c r="G667" t="str">
        <x:v>Personal Care</x:v>
      </x:c>
      <x:c r="H667" t="str">
        <x:v>Skin Care</x:v>
      </x:c>
      <x:c r="I667" t="str">
        <x:v>MFG004</x:v>
      </x:c>
      <x:c r="J667" t="str">
        <x:v>Manufacturer 004</x:v>
      </x:c>
      <x:c r="K667" t="str">
        <x:v>SUP001</x:v>
      </x:c>
      <x:c r="L667" t="str">
        <x:v>Supplier 001</x:v>
      </x:c>
      <x:c r="M667" t="str">
        <x:v>REG-165717</x:v>
      </x:c>
      <x:c r="N667" t="str">
        <x:v>Generic Ingredient 108</x:v>
      </x:c>
      <x:c r="O667" t="str">
        <x:v>General Sale</x:v>
      </x:c>
      <x:c r="P667" t="n">
        <x:v>34</x:v>
      </x:c>
      <x:c r="Q667" t="n">
        <x:v>0</x:v>
      </x:c>
      <x:c r="R667" t="n">
        <x:v>21</x:v>
      </x:c>
      <x:c r="S667" s="12" t="n">
        <x:f>E667*Q667</x:f>
        <x:v>0</x:v>
      </x:c>
      <x:c r="T667" s="12" t="n">
        <x:f>ROUND(S667*F667+0.000000001,2)</x:f>
        <x:v>0</x:v>
      </x:c>
      <x:c r="U667" s="12" t="n">
        <x:f>E667*R667</x:f>
        <x:v>3770.3399999999997</x:v>
      </x:c>
      <x:c r="V667" t="str">
        <x:f>IF(AND(C667="Active",Q667=0),"Active Zero Sales","Not Zero Sales")</x:f>
        <x:v>Active Zero Sales</x:v>
      </x:c>
      <x:c r="W667" s="12" t="n">
        <x:f>IF(V667="Active Zero Sales",U667,0)</x:f>
        <x:v>3770.3399999999997</x:v>
      </x:c>
      <x:c r="X667" t="str">
        <x:f>IF(E667&lt;25,"Low &lt; 25",IF(E667&lt;100,"Medium 25-99",IF(E667&lt;300,"High 100-299","Premium 300+")))</x:f>
        <x:v>High 100-299</x:v>
      </x:c>
      <x:c r="Y667" t="n">
        <x:f>IF(C667="Active",1,0)</x:f>
        <x:v>1</x:v>
      </x:c>
    </x:row>
    <x:row r="668">
      <x:c r="A668" t="str">
        <x:v>SKU00667</x:v>
      </x:c>
      <x:c r="B668" t="str">
        <x:v>Sample Product 00667</x:v>
      </x:c>
      <x:c r="C668" t="str">
        <x:v>Active</x:v>
      </x:c>
      <x:c r="D668" t="str">
        <x:v>2026-04</x:v>
      </x:c>
      <x:c r="E668" s="12" t="n">
        <x:v>82.57</x:v>
      </x:c>
      <x:c r="F668" s="10" t="n">
        <x:v>0.37</x:v>
      </x:c>
      <x:c r="G668" t="str">
        <x:v>Personal Care</x:v>
      </x:c>
      <x:c r="H668" t="str">
        <x:v>Hygiene</x:v>
      </x:c>
      <x:c r="I668" t="str">
        <x:v>MFG013</x:v>
      </x:c>
      <x:c r="J668" t="str">
        <x:v>Manufacturer 013</x:v>
      </x:c>
      <x:c r="K668" t="str">
        <x:v>SUP019</x:v>
      </x:c>
      <x:c r="L668" t="str">
        <x:v>Supplier 019</x:v>
      </x:c>
      <x:c r="M668" t="str">
        <x:v>REG-667250</x:v>
      </x:c>
      <x:c r="N668" t="str">
        <x:v>Generic Ingredient 179</x:v>
      </x:c>
      <x:c r="O668" t="str">
        <x:v>General Sale</x:v>
      </x:c>
      <x:c r="P668" t="n">
        <x:v>59</x:v>
      </x:c>
      <x:c r="Q668" t="n">
        <x:v>17</x:v>
      </x:c>
      <x:c r="R668" t="n">
        <x:v>34</x:v>
      </x:c>
      <x:c r="S668" s="12" t="n">
        <x:f>E668*Q668</x:f>
        <x:v>1403.6899999999998</x:v>
      </x:c>
      <x:c r="T668" s="12" t="n">
        <x:f>ROUND(S668*F668+0.000000001,2)</x:f>
        <x:v>519.37</x:v>
      </x:c>
      <x:c r="U668" s="12" t="n">
        <x:f>E668*R668</x:f>
        <x:v>2807.3799999999997</x:v>
      </x:c>
      <x:c r="V668" t="str">
        <x:f>IF(AND(C668="Active",Q668=0),"Active Zero Sales","Not Zero Sales")</x:f>
        <x:v>Not Zero Sales</x:v>
      </x:c>
      <x:c r="W668" s="12" t="n">
        <x:f>IF(V668="Active Zero Sales",U668,0)</x:f>
        <x:v>0</x:v>
      </x:c>
      <x:c r="X668" t="str">
        <x:f>IF(E668&lt;25,"Low &lt; 25",IF(E668&lt;100,"Medium 25-99",IF(E668&lt;300,"High 100-299","Premium 300+")))</x:f>
        <x:v>Medium 25-99</x:v>
      </x:c>
      <x:c r="Y668" t="n">
        <x:f>IF(C668="Active",1,0)</x:f>
        <x:v>1</x:v>
      </x:c>
    </x:row>
    <x:row r="669">
      <x:c r="A669" t="str">
        <x:v>SKU00668</x:v>
      </x:c>
      <x:c r="B669" t="str">
        <x:v>Sample Product 00668</x:v>
      </x:c>
      <x:c r="C669" t="str">
        <x:v>Active</x:v>
      </x:c>
      <x:c r="D669" t="str">
        <x:v>2026-05</x:v>
      </x:c>
      <x:c r="E669" s="12" t="n">
        <x:v>49.7</x:v>
      </x:c>
      <x:c r="F669" s="10" t="n">
        <x:v>0.343</x:v>
      </x:c>
      <x:c r="G669" t="str">
        <x:v>Medical Devices</x:v>
      </x:c>
      <x:c r="H669" t="str">
        <x:v>Mobility Aids</x:v>
      </x:c>
      <x:c r="I669" t="str">
        <x:v>MFG020</x:v>
      </x:c>
      <x:c r="J669" t="str">
        <x:v>Manufacturer 020</x:v>
      </x:c>
      <x:c r="K669" t="str">
        <x:v>SUP011</x:v>
      </x:c>
      <x:c r="L669" t="str">
        <x:v>Supplier 011</x:v>
      </x:c>
      <x:c r="M669" t="str">
        <x:v>REG-121343</x:v>
      </x:c>
      <x:c r="N669" t="str">
        <x:v>Generic Ingredient 140</x:v>
      </x:c>
      <x:c r="O669" t="str">
        <x:v>Pharmacy Only</x:v>
      </x:c>
      <x:c r="P669" t="n">
        <x:v>56</x:v>
      </x:c>
      <x:c r="Q669" t="n">
        <x:v>51</x:v>
      </x:c>
      <x:c r="R669" t="n">
        <x:v>12</x:v>
      </x:c>
      <x:c r="S669" s="12" t="n">
        <x:f>E669*Q669</x:f>
        <x:v>2534.7000000000003</x:v>
      </x:c>
      <x:c r="T669" s="12" t="n">
        <x:f>ROUND(S669*F669+0.000000001,2)</x:f>
        <x:v>869.4</x:v>
      </x:c>
      <x:c r="U669" s="12" t="n">
        <x:f>E669*R669</x:f>
        <x:v>596.4000000000001</x:v>
      </x:c>
      <x:c r="V669" t="str">
        <x:f>IF(AND(C669="Active",Q669=0),"Active Zero Sales","Not Zero Sales")</x:f>
        <x:v>Not Zero Sales</x:v>
      </x:c>
      <x:c r="W669" s="12" t="n">
        <x:f>IF(V669="Active Zero Sales",U669,0)</x:f>
        <x:v>0</x:v>
      </x:c>
      <x:c r="X669" t="str">
        <x:f>IF(E669&lt;25,"Low &lt; 25",IF(E669&lt;100,"Medium 25-99",IF(E669&lt;300,"High 100-299","Premium 300+")))</x:f>
        <x:v>Medium 25-99</x:v>
      </x:c>
      <x:c r="Y669" t="n">
        <x:f>IF(C669="Active",1,0)</x:f>
        <x:v>1</x:v>
      </x:c>
    </x:row>
    <x:row r="670">
      <x:c r="A670" t="str">
        <x:v>SKU00669</x:v>
      </x:c>
      <x:c r="B670" t="str">
        <x:v>Sample Product 00669</x:v>
      </x:c>
      <x:c r="C670" t="str">
        <x:v>Active</x:v>
      </x:c>
      <x:c r="D670" t="str">
        <x:v>2026-04</x:v>
      </x:c>
      <x:c r="E670" s="12" t="n">
        <x:v>259.63</x:v>
      </x:c>
      <x:c r="F670" s="10" t="n">
        <x:v>0.295</x:v>
      </x:c>
      <x:c r="G670" t="str">
        <x:v>OTC &amp; Wellness</x:v>
      </x:c>
      <x:c r="H670" t="str">
        <x:v>Vitamins</x:v>
      </x:c>
      <x:c r="I670" t="str">
        <x:v>MFG001</x:v>
      </x:c>
      <x:c r="J670" t="str">
        <x:v>Manufacturer 001</x:v>
      </x:c>
      <x:c r="K670" t="str">
        <x:v>SUP029</x:v>
      </x:c>
      <x:c r="L670" t="str">
        <x:v>Supplier 029</x:v>
      </x:c>
      <x:c r="M670" t="str">
        <x:v>REG-784552</x:v>
      </x:c>
      <x:c r="N670" t="str">
        <x:v>Generic Ingredient 121</x:v>
      </x:c>
      <x:c r="O670" t="str">
        <x:v>General Sale</x:v>
      </x:c>
      <x:c r="P670" t="n">
        <x:v>40</x:v>
      </x:c>
      <x:c r="Q670" t="n">
        <x:v>18</x:v>
      </x:c>
      <x:c r="R670" t="n">
        <x:v>0</x:v>
      </x:c>
      <x:c r="S670" s="12" t="n">
        <x:f>E670*Q670</x:f>
        <x:v>4673.34</x:v>
      </x:c>
      <x:c r="T670" s="12" t="n">
        <x:f>ROUND(S670*F670+0.000000001,2)</x:f>
        <x:v>1378.64</x:v>
      </x:c>
      <x:c r="U670" s="12" t="n">
        <x:f>E670*R670</x:f>
        <x:v>0</x:v>
      </x:c>
      <x:c r="V670" t="str">
        <x:f>IF(AND(C670="Active",Q670=0),"Active Zero Sales","Not Zero Sales")</x:f>
        <x:v>Not Zero Sales</x:v>
      </x:c>
      <x:c r="W670" s="12" t="n">
        <x:f>IF(V670="Active Zero Sales",U670,0)</x:f>
        <x:v>0</x:v>
      </x:c>
      <x:c r="X670" t="str">
        <x:f>IF(E670&lt;25,"Low &lt; 25",IF(E670&lt;100,"Medium 25-99",IF(E670&lt;300,"High 100-299","Premium 300+")))</x:f>
        <x:v>High 100-299</x:v>
      </x:c>
      <x:c r="Y670" t="n">
        <x:f>IF(C670="Active",1,0)</x:f>
        <x:v>1</x:v>
      </x:c>
    </x:row>
    <x:row r="671">
      <x:c r="A671" t="str">
        <x:v>SKU00670</x:v>
      </x:c>
      <x:c r="B671" t="str">
        <x:v>Sample Product 00670</x:v>
      </x:c>
      <x:c r="C671" t="str">
        <x:v>Blocked</x:v>
      </x:c>
      <x:c r="D671" t="str">
        <x:v>2026-04</x:v>
      </x:c>
      <x:c r="E671" s="12" t="n">
        <x:v>153.05</x:v>
      </x:c>
      <x:c r="F671" s="10" t="n">
        <x:v>0.187</x:v>
      </x:c>
      <x:c r="G671" t="str">
        <x:v>Medical Devices</x:v>
      </x:c>
      <x:c r="H671" t="str">
        <x:v>Mobility Aids</x:v>
      </x:c>
      <x:c r="I671" t="str">
        <x:v>MFG010</x:v>
      </x:c>
      <x:c r="J671" t="str">
        <x:v>Manufacturer 010</x:v>
      </x:c>
      <x:c r="K671" t="str">
        <x:v>SUP011</x:v>
      </x:c>
      <x:c r="L671" t="str">
        <x:v>Supplier 011</x:v>
      </x:c>
      <x:c r="M671" t="str">
        <x:v>REG-744917</x:v>
      </x:c>
      <x:c r="N671" t="str">
        <x:v>Generic Ingredient 031</x:v>
      </x:c>
      <x:c r="O671" t="str">
        <x:v>General Sale</x:v>
      </x:c>
      <x:c r="P671" t="n">
        <x:v>48</x:v>
      </x:c>
      <x:c r="Q671" t="n">
        <x:v>0</x:v>
      </x:c>
      <x:c r="R671" t="n">
        <x:v>0</x:v>
      </x:c>
      <x:c r="S671" s="12" t="n">
        <x:f>E671*Q671</x:f>
        <x:v>0</x:v>
      </x:c>
      <x:c r="T671" s="12" t="n">
        <x:f>ROUND(S671*F671+0.000000001,2)</x:f>
        <x:v>0</x:v>
      </x:c>
      <x:c r="U671" s="12" t="n">
        <x:f>E671*R671</x:f>
        <x:v>0</x:v>
      </x:c>
      <x:c r="V671" t="str">
        <x:f>IF(AND(C671="Active",Q671=0),"Active Zero Sales","Not Zero Sales")</x:f>
        <x:v>Not Zero Sales</x:v>
      </x:c>
      <x:c r="W671" s="12" t="n">
        <x:f>IF(V671="Active Zero Sales",U671,0)</x:f>
        <x:v>0</x:v>
      </x:c>
      <x:c r="X671" t="str">
        <x:f>IF(E671&lt;25,"Low &lt; 25",IF(E671&lt;100,"Medium 25-99",IF(E671&lt;300,"High 100-299","Premium 300+")))</x:f>
        <x:v>High 100-299</x:v>
      </x:c>
      <x:c r="Y671" t="n">
        <x:f>IF(C671="Active",1,0)</x:f>
        <x:v>0</x:v>
      </x:c>
    </x:row>
    <x:row r="672">
      <x:c r="A672" t="str">
        <x:v>SKU00671</x:v>
      </x:c>
      <x:c r="B672" t="str">
        <x:v>Sample Product 00671</x:v>
      </x:c>
      <x:c r="C672" t="str">
        <x:v>Active</x:v>
      </x:c>
      <x:c r="D672" t="str">
        <x:v>2026-05</x:v>
      </x:c>
      <x:c r="E672" s="12" t="n">
        <x:v>97.35</x:v>
      </x:c>
      <x:c r="F672" s="10" t="n">
        <x:v>0.24</x:v>
      </x:c>
      <x:c r="G672" t="str">
        <x:v>OTC &amp; Wellness</x:v>
      </x:c>
      <x:c r="H672" t="str">
        <x:v>Pain Relief</x:v>
      </x:c>
      <x:c r="I672" t="str">
        <x:v>MFG007</x:v>
      </x:c>
      <x:c r="J672" t="str">
        <x:v>Manufacturer 007</x:v>
      </x:c>
      <x:c r="K672" t="str">
        <x:v>SUP019</x:v>
      </x:c>
      <x:c r="L672" t="str">
        <x:v>Supplier 019</x:v>
      </x:c>
      <x:c r="M672" t="str">
        <x:v>REG-870344</x:v>
      </x:c>
      <x:c r="N672" t="str">
        <x:v>Generic Ingredient 146</x:v>
      </x:c>
      <x:c r="O672" t="str">
        <x:v>General Sale</x:v>
      </x:c>
      <x:c r="P672" t="n">
        <x:v>0</x:v>
      </x:c>
      <x:c r="Q672" t="n">
        <x:v>0</x:v>
      </x:c>
      <x:c r="R672" t="n">
        <x:v>3</x:v>
      </x:c>
      <x:c r="S672" s="12" t="n">
        <x:f>E672*Q672</x:f>
        <x:v>0</x:v>
      </x:c>
      <x:c r="T672" s="12" t="n">
        <x:f>ROUND(S672*F672+0.000000001,2)</x:f>
        <x:v>0</x:v>
      </x:c>
      <x:c r="U672" s="12" t="n">
        <x:f>E672*R672</x:f>
        <x:v>292.04999999999995</x:v>
      </x:c>
      <x:c r="V672" t="str">
        <x:f>IF(AND(C672="Active",Q672=0),"Active Zero Sales","Not Zero Sales")</x:f>
        <x:v>Active Zero Sales</x:v>
      </x:c>
      <x:c r="W672" s="12" t="n">
        <x:f>IF(V672="Active Zero Sales",U672,0)</x:f>
        <x:v>292.04999999999995</x:v>
      </x:c>
      <x:c r="X672" t="str">
        <x:f>IF(E672&lt;25,"Low &lt; 25",IF(E672&lt;100,"Medium 25-99",IF(E672&lt;300,"High 100-299","Premium 300+")))</x:f>
        <x:v>Medium 25-99</x:v>
      </x:c>
      <x:c r="Y672" t="n">
        <x:f>IF(C672="Active",1,0)</x:f>
        <x:v>1</x:v>
      </x:c>
    </x:row>
    <x:row r="673">
      <x:c r="A673" t="str">
        <x:v>SKU00672</x:v>
      </x:c>
      <x:c r="B673" t="str">
        <x:v>Sample Product 00672</x:v>
      </x:c>
      <x:c r="C673" t="str">
        <x:v>Active</x:v>
      </x:c>
      <x:c r="D673" t="str">
        <x:v>2026-02</x:v>
      </x:c>
      <x:c r="E673" s="12" t="n">
        <x:v>6.06</x:v>
      </x:c>
      <x:c r="F673" s="10" t="n">
        <x:v>0.44</x:v>
      </x:c>
      <x:c r="G673" t="str">
        <x:v>Personal Care</x:v>
      </x:c>
      <x:c r="H673" t="str">
        <x:v>Hair Care</x:v>
      </x:c>
      <x:c r="I673" t="str">
        <x:v>MFG019</x:v>
      </x:c>
      <x:c r="J673" t="str">
        <x:v>Manufacturer 019</x:v>
      </x:c>
      <x:c r="K673" t="str">
        <x:v>SUP030</x:v>
      </x:c>
      <x:c r="L673" t="str">
        <x:v>Supplier 030</x:v>
      </x:c>
      <x:c r="M673" t="str">
        <x:v>REG-844745</x:v>
      </x:c>
      <x:c r="N673" t="str">
        <x:v>Generic Ingredient 001</x:v>
      </x:c>
      <x:c r="O673" t="str">
        <x:v>General Sale</x:v>
      </x:c>
      <x:c r="P673" t="n">
        <x:v>71</x:v>
      </x:c>
      <x:c r="Q673" t="n">
        <x:v>28</x:v>
      </x:c>
      <x:c r="R673" t="n">
        <x:v>8</x:v>
      </x:c>
      <x:c r="S673" s="12" t="n">
        <x:f>E673*Q673</x:f>
        <x:v>169.67999999999998</x:v>
      </x:c>
      <x:c r="T673" s="12" t="n">
        <x:f>ROUND(S673*F673+0.000000001,2)</x:f>
        <x:v>74.66</x:v>
      </x:c>
      <x:c r="U673" s="12" t="n">
        <x:f>E673*R673</x:f>
        <x:v>48.48</x:v>
      </x:c>
      <x:c r="V673" t="str">
        <x:f>IF(AND(C673="Active",Q673=0),"Active Zero Sales","Not Zero Sales")</x:f>
        <x:v>Not Zero Sales</x:v>
      </x:c>
      <x:c r="W673" s="12" t="n">
        <x:f>IF(V673="Active Zero Sales",U673,0)</x:f>
        <x:v>0</x:v>
      </x:c>
      <x:c r="X673" t="str">
        <x:f>IF(E673&lt;25,"Low &lt; 25",IF(E673&lt;100,"Medium 25-99",IF(E673&lt;300,"High 100-299","Premium 300+")))</x:f>
        <x:v>Low &lt; 25</x:v>
      </x:c>
      <x:c r="Y673" t="n">
        <x:f>IF(C673="Active",1,0)</x:f>
        <x:v>1</x:v>
      </x:c>
    </x:row>
    <x:row r="674">
      <x:c r="A674" t="str">
        <x:v>SKU00673</x:v>
      </x:c>
      <x:c r="B674" t="str">
        <x:v>Sample Product 00673</x:v>
      </x:c>
      <x:c r="C674" t="str">
        <x:v>Active</x:v>
      </x:c>
      <x:c r="D674" t="str">
        <x:v>2026-03</x:v>
      </x:c>
      <x:c r="E674" s="12" t="n">
        <x:v>379.3</x:v>
      </x:c>
      <x:c r="F674" s="10" t="n">
        <x:v>0.49</x:v>
      </x:c>
      <x:c r="G674" t="str">
        <x:v>General Merchandise</x:v>
      </x:c>
      <x:c r="H674" t="str">
        <x:v>Accessories</x:v>
      </x:c>
      <x:c r="I674" t="str">
        <x:v>MFG005</x:v>
      </x:c>
      <x:c r="J674" t="str">
        <x:v>Manufacturer 005</x:v>
      </x:c>
      <x:c r="K674" t="str">
        <x:v>SUP016</x:v>
      </x:c>
      <x:c r="L674" t="str">
        <x:v>Supplier 016</x:v>
      </x:c>
      <x:c r="M674" t="str">
        <x:v>REG-875407</x:v>
      </x:c>
      <x:c r="N674" t="str">
        <x:v>Generic Ingredient 115</x:v>
      </x:c>
      <x:c r="O674" t="str">
        <x:v>General Sale</x:v>
      </x:c>
      <x:c r="P674" t="n">
        <x:v>92</x:v>
      </x:c>
      <x:c r="Q674" t="n">
        <x:v>40</x:v>
      </x:c>
      <x:c r="R674" t="n">
        <x:v>27</x:v>
      </x:c>
      <x:c r="S674" s="12" t="n">
        <x:f>E674*Q674</x:f>
        <x:v>15172</x:v>
      </x:c>
      <x:c r="T674" s="12" t="n">
        <x:f>ROUND(S674*F674+0.000000001,2)</x:f>
        <x:v>7434.28</x:v>
      </x:c>
      <x:c r="U674" s="12" t="n">
        <x:f>E674*R674</x:f>
        <x:v>10241.1</x:v>
      </x:c>
      <x:c r="V674" t="str">
        <x:f>IF(AND(C674="Active",Q674=0),"Active Zero Sales","Not Zero Sales")</x:f>
        <x:v>Not Zero Sales</x:v>
      </x:c>
      <x:c r="W674" s="12" t="n">
        <x:f>IF(V674="Active Zero Sales",U674,0)</x:f>
        <x:v>0</x:v>
      </x:c>
      <x:c r="X674" t="str">
        <x:f>IF(E674&lt;25,"Low &lt; 25",IF(E674&lt;100,"Medium 25-99",IF(E674&lt;300,"High 100-299","Premium 300+")))</x:f>
        <x:v>Premium 300+</x:v>
      </x:c>
      <x:c r="Y674" t="n">
        <x:f>IF(C674="Active",1,0)</x:f>
        <x:v>1</x:v>
      </x:c>
    </x:row>
    <x:row r="675">
      <x:c r="A675" t="str">
        <x:v>SKU00674</x:v>
      </x:c>
      <x:c r="B675" t="str">
        <x:v>Sample Product 00674</x:v>
      </x:c>
      <x:c r="C675" t="str">
        <x:v>Active</x:v>
      </x:c>
      <x:c r="D675" t="str">
        <x:v>2026-06</x:v>
      </x:c>
      <x:c r="E675" s="12" t="n">
        <x:v>62.53</x:v>
      </x:c>
      <x:c r="F675" s="10" t="n">
        <x:v>0.392</x:v>
      </x:c>
      <x:c r="G675" t="str">
        <x:v>Nutrition</x:v>
      </x:c>
      <x:c r="H675" t="str">
        <x:v>Hydration</x:v>
      </x:c>
      <x:c r="I675" t="str">
        <x:v>MFG012</x:v>
      </x:c>
      <x:c r="J675" t="str">
        <x:v>Manufacturer 012</x:v>
      </x:c>
      <x:c r="K675" t="str">
        <x:v>SUP005</x:v>
      </x:c>
      <x:c r="L675" t="str">
        <x:v>Supplier 005</x:v>
      </x:c>
      <x:c r="M675" t="str">
        <x:v>REG-538296</x:v>
      </x:c>
      <x:c r="N675" t="str">
        <x:v>Generic Ingredient 097</x:v>
      </x:c>
      <x:c r="O675" t="str">
        <x:v>Pharmacy Only</x:v>
      </x:c>
      <x:c r="P675" t="n">
        <x:v>50</x:v>
      </x:c>
      <x:c r="Q675" t="n">
        <x:v>14</x:v>
      </x:c>
      <x:c r="R675" t="n">
        <x:v>22</x:v>
      </x:c>
      <x:c r="S675" s="12" t="n">
        <x:f>E675*Q675</x:f>
        <x:v>875.4200000000001</x:v>
      </x:c>
      <x:c r="T675" s="12" t="n">
        <x:f>ROUND(S675*F675+0.000000001,2)</x:f>
        <x:v>343.16</x:v>
      </x:c>
      <x:c r="U675" s="12" t="n">
        <x:f>E675*R675</x:f>
        <x:v>1375.66</x:v>
      </x:c>
      <x:c r="V675" t="str">
        <x:f>IF(AND(C675="Active",Q675=0),"Active Zero Sales","Not Zero Sales")</x:f>
        <x:v>Not Zero Sales</x:v>
      </x:c>
      <x:c r="W675" s="12" t="n">
        <x:f>IF(V675="Active Zero Sales",U675,0)</x:f>
        <x:v>0</x:v>
      </x:c>
      <x:c r="X675" t="str">
        <x:f>IF(E675&lt;25,"Low &lt; 25",IF(E675&lt;100,"Medium 25-99",IF(E675&lt;300,"High 100-299","Premium 300+")))</x:f>
        <x:v>Medium 25-99</x:v>
      </x:c>
      <x:c r="Y675" t="n">
        <x:f>IF(C675="Active",1,0)</x:f>
        <x:v>1</x:v>
      </x:c>
    </x:row>
    <x:row r="676">
      <x:c r="A676" t="str">
        <x:v>SKU00675</x:v>
      </x:c>
      <x:c r="B676" t="str">
        <x:v>Sample Product 00675</x:v>
      </x:c>
      <x:c r="C676" t="str">
        <x:v>Active</x:v>
      </x:c>
      <x:c r="D676" t="str">
        <x:v>2026-01</x:v>
      </x:c>
      <x:c r="E676" s="12" t="n">
        <x:v>52.44</x:v>
      </x:c>
      <x:c r="F676" s="10" t="n">
        <x:v>0.195</x:v>
      </x:c>
      <x:c r="G676" t="str">
        <x:v>Medical Devices</x:v>
      </x:c>
      <x:c r="H676" t="str">
        <x:v>First Aid</x:v>
      </x:c>
      <x:c r="I676" t="str">
        <x:v>MFG008</x:v>
      </x:c>
      <x:c r="J676" t="str">
        <x:v>Manufacturer 008</x:v>
      </x:c>
      <x:c r="K676" t="str">
        <x:v>SUP010</x:v>
      </x:c>
      <x:c r="L676" t="str">
        <x:v>Supplier 010</x:v>
      </x:c>
      <x:c r="M676" t="str">
        <x:v>REG-487463</x:v>
      </x:c>
      <x:c r="N676" t="str">
        <x:v>Generic Ingredient 041</x:v>
      </x:c>
      <x:c r="O676" t="str">
        <x:v>General Sale</x:v>
      </x:c>
      <x:c r="P676" t="n">
        <x:v>166</x:v>
      </x:c>
      <x:c r="Q676" t="n">
        <x:v>86</x:v>
      </x:c>
      <x:c r="R676" t="n">
        <x:v>45</x:v>
      </x:c>
      <x:c r="S676" s="12" t="n">
        <x:f>E676*Q676</x:f>
        <x:v>4509.84</x:v>
      </x:c>
      <x:c r="T676" s="12" t="n">
        <x:f>ROUND(S676*F676+0.000000001,2)</x:f>
        <x:v>879.42</x:v>
      </x:c>
      <x:c r="U676" s="12" t="n">
        <x:f>E676*R676</x:f>
        <x:v>2359.7999999999997</x:v>
      </x:c>
      <x:c r="V676" t="str">
        <x:f>IF(AND(C676="Active",Q676=0),"Active Zero Sales","Not Zero Sales")</x:f>
        <x:v>Not Zero Sales</x:v>
      </x:c>
      <x:c r="W676" s="12" t="n">
        <x:f>IF(V676="Active Zero Sales",U676,0)</x:f>
        <x:v>0</x:v>
      </x:c>
      <x:c r="X676" t="str">
        <x:f>IF(E676&lt;25,"Low &lt; 25",IF(E676&lt;100,"Medium 25-99",IF(E676&lt;300,"High 100-299","Premium 300+")))</x:f>
        <x:v>Medium 25-99</x:v>
      </x:c>
      <x:c r="Y676" t="n">
        <x:f>IF(C676="Active",1,0)</x:f>
        <x:v>1</x:v>
      </x:c>
    </x:row>
    <x:row r="677">
      <x:c r="A677" t="str">
        <x:v>SKU00676</x:v>
      </x:c>
      <x:c r="B677" t="str">
        <x:v>Sample Product 00676</x:v>
      </x:c>
      <x:c r="C677" t="str">
        <x:v>Active</x:v>
      </x:c>
      <x:c r="D677" t="str">
        <x:v>2026-02</x:v>
      </x:c>
      <x:c r="E677" s="12" t="n">
        <x:v>17.48</x:v>
      </x:c>
      <x:c r="F677" s="10" t="n">
        <x:v>0.396</x:v>
      </x:c>
      <x:c r="G677" t="str">
        <x:v>Personal Care</x:v>
      </x:c>
      <x:c r="H677" t="str">
        <x:v>Oral Care</x:v>
      </x:c>
      <x:c r="I677" t="str">
        <x:v>MFG006</x:v>
      </x:c>
      <x:c r="J677" t="str">
        <x:v>Manufacturer 006</x:v>
      </x:c>
      <x:c r="K677" t="str">
        <x:v>SUP022</x:v>
      </x:c>
      <x:c r="L677" t="str">
        <x:v>Supplier 022</x:v>
      </x:c>
      <x:c r="M677" t="str">
        <x:v>REG-700307</x:v>
      </x:c>
      <x:c r="N677" t="str">
        <x:v>Generic Ingredient 010</x:v>
      </x:c>
      <x:c r="O677" t="str">
        <x:v>Pharmacy Only</x:v>
      </x:c>
      <x:c r="P677" t="n">
        <x:v>95</x:v>
      </x:c>
      <x:c r="Q677" t="n">
        <x:v>57</x:v>
      </x:c>
      <x:c r="R677" t="n">
        <x:v>31</x:v>
      </x:c>
      <x:c r="S677" s="12" t="n">
        <x:f>E677*Q677</x:f>
        <x:v>996.36</x:v>
      </x:c>
      <x:c r="T677" s="12" t="n">
        <x:f>ROUND(S677*F677+0.000000001,2)</x:f>
        <x:v>394.56</x:v>
      </x:c>
      <x:c r="U677" s="12" t="n">
        <x:f>E677*R677</x:f>
        <x:v>541.88</x:v>
      </x:c>
      <x:c r="V677" t="str">
        <x:f>IF(AND(C677="Active",Q677=0),"Active Zero Sales","Not Zero Sales")</x:f>
        <x:v>Not Zero Sales</x:v>
      </x:c>
      <x:c r="W677" s="12" t="n">
        <x:f>IF(V677="Active Zero Sales",U677,0)</x:f>
        <x:v>0</x:v>
      </x:c>
      <x:c r="X677" t="str">
        <x:f>IF(E677&lt;25,"Low &lt; 25",IF(E677&lt;100,"Medium 25-99",IF(E677&lt;300,"High 100-299","Premium 300+")))</x:f>
        <x:v>Low &lt; 25</x:v>
      </x:c>
      <x:c r="Y677" t="n">
        <x:f>IF(C677="Active",1,0)</x:f>
        <x:v>1</x:v>
      </x:c>
    </x:row>
    <x:row r="678">
      <x:c r="A678" t="str">
        <x:v>SKU00677</x:v>
      </x:c>
      <x:c r="B678" t="str">
        <x:v>Sample Product 00677</x:v>
      </x:c>
      <x:c r="C678" t="str">
        <x:v>Active</x:v>
      </x:c>
      <x:c r="D678" t="str">
        <x:v>2026-03</x:v>
      </x:c>
      <x:c r="E678" s="12" t="n">
        <x:v>46.89</x:v>
      </x:c>
      <x:c r="F678" s="10" t="n">
        <x:v>0.346</x:v>
      </x:c>
      <x:c r="G678" t="str">
        <x:v>OTC &amp; Wellness</x:v>
      </x:c>
      <x:c r="H678" t="str">
        <x:v>Vitamins</x:v>
      </x:c>
      <x:c r="I678" t="str">
        <x:v>MFG004</x:v>
      </x:c>
      <x:c r="J678" t="str">
        <x:v>Manufacturer 004</x:v>
      </x:c>
      <x:c r="K678" t="str">
        <x:v>SUP024</x:v>
      </x:c>
      <x:c r="L678" t="str">
        <x:v>Supplier 024</x:v>
      </x:c>
      <x:c r="M678" t="str">
        <x:v>REG-731685</x:v>
      </x:c>
      <x:c r="N678" t="str">
        <x:v>Generic Ingredient 165</x:v>
      </x:c>
      <x:c r="O678" t="str">
        <x:v>General Sale</x:v>
      </x:c>
      <x:c r="P678" t="n">
        <x:v>45</x:v>
      </x:c>
      <x:c r="Q678" t="n">
        <x:v>10</x:v>
      </x:c>
      <x:c r="R678" t="n">
        <x:v>7</x:v>
      </x:c>
      <x:c r="S678" s="12" t="n">
        <x:f>E678*Q678</x:f>
        <x:v>468.9</x:v>
      </x:c>
      <x:c r="T678" s="12" t="n">
        <x:f>ROUND(S678*F678+0.000000001,2)</x:f>
        <x:v>162.24</x:v>
      </x:c>
      <x:c r="U678" s="12" t="n">
        <x:f>E678*R678</x:f>
        <x:v>328.23</x:v>
      </x:c>
      <x:c r="V678" t="str">
        <x:f>IF(AND(C678="Active",Q678=0),"Active Zero Sales","Not Zero Sales")</x:f>
        <x:v>Not Zero Sales</x:v>
      </x:c>
      <x:c r="W678" s="12" t="n">
        <x:f>IF(V678="Active Zero Sales",U678,0)</x:f>
        <x:v>0</x:v>
      </x:c>
      <x:c r="X678" t="str">
        <x:f>IF(E678&lt;25,"Low &lt; 25",IF(E678&lt;100,"Medium 25-99",IF(E678&lt;300,"High 100-299","Premium 300+")))</x:f>
        <x:v>Medium 25-99</x:v>
      </x:c>
      <x:c r="Y678" t="n">
        <x:f>IF(C678="Active",1,0)</x:f>
        <x:v>1</x:v>
      </x:c>
    </x:row>
    <x:row r="679">
      <x:c r="A679" t="str">
        <x:v>SKU00678</x:v>
      </x:c>
      <x:c r="B679" t="str">
        <x:v>Sample Product 00678</x:v>
      </x:c>
      <x:c r="C679" t="str">
        <x:v>Blocked</x:v>
      </x:c>
      <x:c r="D679" t="str">
        <x:v>2026-04</x:v>
      </x:c>
      <x:c r="E679" s="12" t="n">
        <x:v>19.96</x:v>
      </x:c>
      <x:c r="F679" s="10" t="n">
        <x:v>0.315</x:v>
      </x:c>
      <x:c r="G679" t="str">
        <x:v>General Merchandise</x:v>
      </x:c>
      <x:c r="H679" t="str">
        <x:v>Travel Health</x:v>
      </x:c>
      <x:c r="I679" t="str">
        <x:v>MFG019</x:v>
      </x:c>
      <x:c r="J679" t="str">
        <x:v>Manufacturer 019</x:v>
      </x:c>
      <x:c r="K679" t="str">
        <x:v>SUP019</x:v>
      </x:c>
      <x:c r="L679" t="str">
        <x:v>Supplier 019</x:v>
      </x:c>
      <x:c r="M679" t="str">
        <x:v>REG-382881</x:v>
      </x:c>
      <x:c r="N679" t="str">
        <x:v>Generic Ingredient 128</x:v>
      </x:c>
      <x:c r="O679" t="str">
        <x:v>Pharmacy Only</x:v>
      </x:c>
      <x:c r="P679" t="n">
        <x:v>39</x:v>
      </x:c>
      <x:c r="Q679" t="n">
        <x:v>0</x:v>
      </x:c>
      <x:c r="R679" t="n">
        <x:v>0</x:v>
      </x:c>
      <x:c r="S679" s="12" t="n">
        <x:f>E679*Q679</x:f>
        <x:v>0</x:v>
      </x:c>
      <x:c r="T679" s="12" t="n">
        <x:f>ROUND(S679*F679+0.000000001,2)</x:f>
        <x:v>0</x:v>
      </x:c>
      <x:c r="U679" s="12" t="n">
        <x:f>E679*R679</x:f>
        <x:v>0</x:v>
      </x:c>
      <x:c r="V679" t="str">
        <x:f>IF(AND(C679="Active",Q679=0),"Active Zero Sales","Not Zero Sales")</x:f>
        <x:v>Not Zero Sales</x:v>
      </x:c>
      <x:c r="W679" s="12" t="n">
        <x:f>IF(V679="Active Zero Sales",U679,0)</x:f>
        <x:v>0</x:v>
      </x:c>
      <x:c r="X679" t="str">
        <x:f>IF(E679&lt;25,"Low &lt; 25",IF(E679&lt;100,"Medium 25-99",IF(E679&lt;300,"High 100-299","Premium 300+")))</x:f>
        <x:v>Low &lt; 25</x:v>
      </x:c>
      <x:c r="Y679" t="n">
        <x:f>IF(C679="Active",1,0)</x:f>
        <x:v>0</x:v>
      </x:c>
    </x:row>
    <x:row r="680">
      <x:c r="A680" t="str">
        <x:v>SKU00679</x:v>
      </x:c>
      <x:c r="B680" t="str">
        <x:v>Sample Product 00679</x:v>
      </x:c>
      <x:c r="C680" t="str">
        <x:v>Active</x:v>
      </x:c>
      <x:c r="D680" t="str">
        <x:v>2026-01</x:v>
      </x:c>
      <x:c r="E680" s="12" t="n">
        <x:v>92.38</x:v>
      </x:c>
      <x:c r="F680" s="10" t="n">
        <x:v>0.343</x:v>
      </x:c>
      <x:c r="G680" t="str">
        <x:v>Personal Care</x:v>
      </x:c>
      <x:c r="H680" t="str">
        <x:v>Hair Care</x:v>
      </x:c>
      <x:c r="I680" t="str">
        <x:v>MFG015</x:v>
      </x:c>
      <x:c r="J680" t="str">
        <x:v>Manufacturer 015</x:v>
      </x:c>
      <x:c r="K680" t="str">
        <x:v>SUP013</x:v>
      </x:c>
      <x:c r="L680" t="str">
        <x:v>Supplier 013</x:v>
      </x:c>
      <x:c r="M680" t="str">
        <x:v>REG-503852</x:v>
      </x:c>
      <x:c r="N680" t="str">
        <x:v>Generic Ingredient 120</x:v>
      </x:c>
      <x:c r="O680" t="str">
        <x:v>General Sale</x:v>
      </x:c>
      <x:c r="P680" t="n">
        <x:v>56</x:v>
      </x:c>
      <x:c r="Q680" t="n">
        <x:v>48</x:v>
      </x:c>
      <x:c r="R680" t="n">
        <x:v>7</x:v>
      </x:c>
      <x:c r="S680" s="12" t="n">
        <x:f>E680*Q680</x:f>
        <x:v>4434.24</x:v>
      </x:c>
      <x:c r="T680" s="12" t="n">
        <x:f>ROUND(S680*F680+0.000000001,2)</x:f>
        <x:v>1520.94</x:v>
      </x:c>
      <x:c r="U680" s="12" t="n">
        <x:f>E680*R680</x:f>
        <x:v>646.66</x:v>
      </x:c>
      <x:c r="V680" t="str">
        <x:f>IF(AND(C680="Active",Q680=0),"Active Zero Sales","Not Zero Sales")</x:f>
        <x:v>Not Zero Sales</x:v>
      </x:c>
      <x:c r="W680" s="12" t="n">
        <x:f>IF(V680="Active Zero Sales",U680,0)</x:f>
        <x:v>0</x:v>
      </x:c>
      <x:c r="X680" t="str">
        <x:f>IF(E680&lt;25,"Low &lt; 25",IF(E680&lt;100,"Medium 25-99",IF(E680&lt;300,"High 100-299","Premium 300+")))</x:f>
        <x:v>Medium 25-99</x:v>
      </x:c>
      <x:c r="Y680" t="n">
        <x:f>IF(C680="Active",1,0)</x:f>
        <x:v>1</x:v>
      </x:c>
    </x:row>
    <x:row r="681">
      <x:c r="A681" t="str">
        <x:v>SKU00680</x:v>
      </x:c>
      <x:c r="B681" t="str">
        <x:v>Sample Product 00680</x:v>
      </x:c>
      <x:c r="C681" t="str">
        <x:v>Active</x:v>
      </x:c>
      <x:c r="D681" t="str">
        <x:v>2026-02</x:v>
      </x:c>
      <x:c r="E681" s="12" t="n">
        <x:v>296.15</x:v>
      </x:c>
      <x:c r="F681" s="10" t="n">
        <x:v>0.241</x:v>
      </x:c>
      <x:c r="G681" t="str">
        <x:v>Medical Devices</x:v>
      </x:c>
      <x:c r="H681" t="str">
        <x:v>Home Diagnostics</x:v>
      </x:c>
      <x:c r="I681" t="str">
        <x:v>MFG004</x:v>
      </x:c>
      <x:c r="J681" t="str">
        <x:v>Manufacturer 004</x:v>
      </x:c>
      <x:c r="K681" t="str">
        <x:v>SUP003</x:v>
      </x:c>
      <x:c r="L681" t="str">
        <x:v>Supplier 003</x:v>
      </x:c>
      <x:c r="M681" t="str">
        <x:v>REG-888600</x:v>
      </x:c>
      <x:c r="N681" t="str">
        <x:v>Generic Ingredient 134</x:v>
      </x:c>
      <x:c r="O681" t="str">
        <x:v>General Sale</x:v>
      </x:c>
      <x:c r="P681" t="n">
        <x:v>72</x:v>
      </x:c>
      <x:c r="Q681" t="n">
        <x:v>0</x:v>
      </x:c>
      <x:c r="R681" t="n">
        <x:v>25</x:v>
      </x:c>
      <x:c r="S681" s="12" t="n">
        <x:f>E681*Q681</x:f>
        <x:v>0</x:v>
      </x:c>
      <x:c r="T681" s="12" t="n">
        <x:f>ROUND(S681*F681+0.000000001,2)</x:f>
        <x:v>0</x:v>
      </x:c>
      <x:c r="U681" s="12" t="n">
        <x:f>E681*R681</x:f>
        <x:v>7403.749999999999</x:v>
      </x:c>
      <x:c r="V681" t="str">
        <x:f>IF(AND(C681="Active",Q681=0),"Active Zero Sales","Not Zero Sales")</x:f>
        <x:v>Active Zero Sales</x:v>
      </x:c>
      <x:c r="W681" s="12" t="n">
        <x:f>IF(V681="Active Zero Sales",U681,0)</x:f>
        <x:v>7403.749999999999</x:v>
      </x:c>
      <x:c r="X681" t="str">
        <x:f>IF(E681&lt;25,"Low &lt; 25",IF(E681&lt;100,"Medium 25-99",IF(E681&lt;300,"High 100-299","Premium 300+")))</x:f>
        <x:v>High 100-299</x:v>
      </x:c>
      <x:c r="Y681" t="n">
        <x:f>IF(C681="Active",1,0)</x:f>
        <x:v>1</x:v>
      </x:c>
    </x:row>
    <x:row r="682">
      <x:c r="A682" t="str">
        <x:v>SKU00681</x:v>
      </x:c>
      <x:c r="B682" t="str">
        <x:v>Sample Product 00681</x:v>
      </x:c>
      <x:c r="C682" t="str">
        <x:v>Active</x:v>
      </x:c>
      <x:c r="D682" t="str">
        <x:v>2026-01</x:v>
      </x:c>
      <x:c r="E682" s="12" t="n">
        <x:v>261.68</x:v>
      </x:c>
      <x:c r="F682" s="10" t="n">
        <x:v>0.364</x:v>
      </x:c>
      <x:c r="G682" t="str">
        <x:v>OTC &amp; Wellness</x:v>
      </x:c>
      <x:c r="H682" t="str">
        <x:v>Vitamins</x:v>
      </x:c>
      <x:c r="I682" t="str">
        <x:v>MFG002</x:v>
      </x:c>
      <x:c r="J682" t="str">
        <x:v>Manufacturer 002</x:v>
      </x:c>
      <x:c r="K682" t="str">
        <x:v>SUP025</x:v>
      </x:c>
      <x:c r="L682" t="str">
        <x:v>Supplier 025</x:v>
      </x:c>
      <x:c r="M682" t="str">
        <x:v>REG-884252</x:v>
      </x:c>
      <x:c r="N682" t="str">
        <x:v>Generic Ingredient 052</x:v>
      </x:c>
      <x:c r="O682" t="str">
        <x:v>General Sale</x:v>
      </x:c>
      <x:c r="P682" t="n">
        <x:v>30</x:v>
      </x:c>
      <x:c r="Q682" t="n">
        <x:v>19</x:v>
      </x:c>
      <x:c r="R682" t="n">
        <x:v>10</x:v>
      </x:c>
      <x:c r="S682" s="12" t="n">
        <x:f>E682*Q682</x:f>
        <x:v>4971.92</x:v>
      </x:c>
      <x:c r="T682" s="12" t="n">
        <x:f>ROUND(S682*F682+0.000000001,2)</x:f>
        <x:v>1809.78</x:v>
      </x:c>
      <x:c r="U682" s="12" t="n">
        <x:f>E682*R682</x:f>
        <x:v>2616.8</x:v>
      </x:c>
      <x:c r="V682" t="str">
        <x:f>IF(AND(C682="Active",Q682=0),"Active Zero Sales","Not Zero Sales")</x:f>
        <x:v>Not Zero Sales</x:v>
      </x:c>
      <x:c r="W682" s="12" t="n">
        <x:f>IF(V682="Active Zero Sales",U682,0)</x:f>
        <x:v>0</x:v>
      </x:c>
      <x:c r="X682" t="str">
        <x:f>IF(E682&lt;25,"Low &lt; 25",IF(E682&lt;100,"Medium 25-99",IF(E682&lt;300,"High 100-299","Premium 300+")))</x:f>
        <x:v>High 100-299</x:v>
      </x:c>
      <x:c r="Y682" t="n">
        <x:f>IF(C682="Active",1,0)</x:f>
        <x:v>1</x:v>
      </x:c>
    </x:row>
    <x:row r="683">
      <x:c r="A683" t="str">
        <x:v>SKU00682</x:v>
      </x:c>
      <x:c r="B683" t="str">
        <x:v>Sample Product 00682</x:v>
      </x:c>
      <x:c r="C683" t="str">
        <x:v>Blocked</x:v>
      </x:c>
      <x:c r="D683" t="str">
        <x:v>2026-05</x:v>
      </x:c>
      <x:c r="E683" s="12" t="n">
        <x:v>242.75</x:v>
      </x:c>
      <x:c r="F683" s="10" t="n">
        <x:v>0.331</x:v>
      </x:c>
      <x:c r="G683" t="str">
        <x:v>Nutrition</x:v>
      </x:c>
      <x:c r="H683" t="str">
        <x:v>Hydration</x:v>
      </x:c>
      <x:c r="I683" t="str">
        <x:v>MFG015</x:v>
      </x:c>
      <x:c r="J683" t="str">
        <x:v>Manufacturer 015</x:v>
      </x:c>
      <x:c r="K683" t="str">
        <x:v>SUP002</x:v>
      </x:c>
      <x:c r="L683" t="str">
        <x:v>Supplier 002</x:v>
      </x:c>
      <x:c r="M683" t="str">
        <x:v>REG-204760</x:v>
      </x:c>
      <x:c r="N683" t="str">
        <x:v>Generic Ingredient 147</x:v>
      </x:c>
      <x:c r="O683" t="str">
        <x:v>Pharmacy Only</x:v>
      </x:c>
      <x:c r="P683" t="n">
        <x:v>44</x:v>
      </x:c>
      <x:c r="Q683" t="n">
        <x:v>0</x:v>
      </x:c>
      <x:c r="R683" t="n">
        <x:v>0</x:v>
      </x:c>
      <x:c r="S683" s="12" t="n">
        <x:f>E683*Q683</x:f>
        <x:v>0</x:v>
      </x:c>
      <x:c r="T683" s="12" t="n">
        <x:f>ROUND(S683*F683+0.000000001,2)</x:f>
        <x:v>0</x:v>
      </x:c>
      <x:c r="U683" s="12" t="n">
        <x:f>E683*R683</x:f>
        <x:v>0</x:v>
      </x:c>
      <x:c r="V683" t="str">
        <x:f>IF(AND(C683="Active",Q683=0),"Active Zero Sales","Not Zero Sales")</x:f>
        <x:v>Not Zero Sales</x:v>
      </x:c>
      <x:c r="W683" s="12" t="n">
        <x:f>IF(V683="Active Zero Sales",U683,0)</x:f>
        <x:v>0</x:v>
      </x:c>
      <x:c r="X683" t="str">
        <x:f>IF(E683&lt;25,"Low &lt; 25",IF(E683&lt;100,"Medium 25-99",IF(E683&lt;300,"High 100-299","Premium 300+")))</x:f>
        <x:v>High 100-299</x:v>
      </x:c>
      <x:c r="Y683" t="n">
        <x:f>IF(C683="Active",1,0)</x:f>
        <x:v>0</x:v>
      </x:c>
    </x:row>
    <x:row r="684">
      <x:c r="A684" t="str">
        <x:v>SKU00683</x:v>
      </x:c>
      <x:c r="B684" t="str">
        <x:v>Sample Product 00683</x:v>
      </x:c>
      <x:c r="C684" t="str">
        <x:v>Active</x:v>
      </x:c>
      <x:c r="D684" t="str">
        <x:v>2026-05</x:v>
      </x:c>
      <x:c r="E684" s="12" t="n">
        <x:v>5.81</x:v>
      </x:c>
      <x:c r="F684" s="10" t="n">
        <x:v>0.373</x:v>
      </x:c>
      <x:c r="G684" t="str">
        <x:v>Personal Care</x:v>
      </x:c>
      <x:c r="H684" t="str">
        <x:v>Oral Care</x:v>
      </x:c>
      <x:c r="I684" t="str">
        <x:v>MFG016</x:v>
      </x:c>
      <x:c r="J684" t="str">
        <x:v>Manufacturer 016</x:v>
      </x:c>
      <x:c r="K684" t="str">
        <x:v>SUP018</x:v>
      </x:c>
      <x:c r="L684" t="str">
        <x:v>Supplier 018</x:v>
      </x:c>
      <x:c r="M684" t="str">
        <x:v>REG-915413</x:v>
      </x:c>
      <x:c r="N684" t="str">
        <x:v>Generic Ingredient 076</x:v>
      </x:c>
      <x:c r="O684" t="str">
        <x:v>General Sale</x:v>
      </x:c>
      <x:c r="P684" t="n">
        <x:v>75</x:v>
      </x:c>
      <x:c r="Q684" t="n">
        <x:v>54</x:v>
      </x:c>
      <x:c r="R684" t="n">
        <x:v>11</x:v>
      </x:c>
      <x:c r="S684" s="12" t="n">
        <x:f>E684*Q684</x:f>
        <x:v>313.73999999999995</x:v>
      </x:c>
      <x:c r="T684" s="12" t="n">
        <x:f>ROUND(S684*F684+0.000000001,2)</x:f>
        <x:v>117.03</x:v>
      </x:c>
      <x:c r="U684" s="12" t="n">
        <x:f>E684*R684</x:f>
        <x:v>63.91</x:v>
      </x:c>
      <x:c r="V684" t="str">
        <x:f>IF(AND(C684="Active",Q684=0),"Active Zero Sales","Not Zero Sales")</x:f>
        <x:v>Not Zero Sales</x:v>
      </x:c>
      <x:c r="W684" s="12" t="n">
        <x:f>IF(V684="Active Zero Sales",U684,0)</x:f>
        <x:v>0</x:v>
      </x:c>
      <x:c r="X684" t="str">
        <x:f>IF(E684&lt;25,"Low &lt; 25",IF(E684&lt;100,"Medium 25-99",IF(E684&lt;300,"High 100-299","Premium 300+")))</x:f>
        <x:v>Low &lt; 25</x:v>
      </x:c>
      <x:c r="Y684" t="n">
        <x:f>IF(C684="Active",1,0)</x:f>
        <x:v>1</x:v>
      </x:c>
    </x:row>
    <x:row r="685">
      <x:c r="A685" t="str">
        <x:v>SKU00684</x:v>
      </x:c>
      <x:c r="B685" t="str">
        <x:v>Sample Product 00684</x:v>
      </x:c>
      <x:c r="C685" t="str">
        <x:v>Active</x:v>
      </x:c>
      <x:c r="D685" t="str">
        <x:v>2026-02</x:v>
      </x:c>
      <x:c r="E685" s="12" t="n">
        <x:v>19.11</x:v>
      </x:c>
      <x:c r="F685" s="10" t="n">
        <x:v>0.349</x:v>
      </x:c>
      <x:c r="G685" t="str">
        <x:v>OTC &amp; Wellness</x:v>
      </x:c>
      <x:c r="H685" t="str">
        <x:v>Cold &amp; Allergy</x:v>
      </x:c>
      <x:c r="I685" t="str">
        <x:v>MFG017</x:v>
      </x:c>
      <x:c r="J685" t="str">
        <x:v>Manufacturer 017</x:v>
      </x:c>
      <x:c r="K685" t="str">
        <x:v>SUP017</x:v>
      </x:c>
      <x:c r="L685" t="str">
        <x:v>Supplier 017</x:v>
      </x:c>
      <x:c r="M685" t="str">
        <x:v>REG-927491</x:v>
      </x:c>
      <x:c r="N685" t="str">
        <x:v>Generic Ingredient 123</x:v>
      </x:c>
      <x:c r="O685" t="str">
        <x:v>General Sale</x:v>
      </x:c>
      <x:c r="P685" t="n">
        <x:v>73</x:v>
      </x:c>
      <x:c r="Q685" t="n">
        <x:v>10</x:v>
      </x:c>
      <x:c r="R685" t="n">
        <x:v>15</x:v>
      </x:c>
      <x:c r="S685" s="12" t="n">
        <x:f>E685*Q685</x:f>
        <x:v>191.1</x:v>
      </x:c>
      <x:c r="T685" s="12" t="n">
        <x:f>ROUND(S685*F685+0.000000001,2)</x:f>
        <x:v>66.69</x:v>
      </x:c>
      <x:c r="U685" s="12" t="n">
        <x:f>E685*R685</x:f>
        <x:v>286.65</x:v>
      </x:c>
      <x:c r="V685" t="str">
        <x:f>IF(AND(C685="Active",Q685=0),"Active Zero Sales","Not Zero Sales")</x:f>
        <x:v>Not Zero Sales</x:v>
      </x:c>
      <x:c r="W685" s="12" t="n">
        <x:f>IF(V685="Active Zero Sales",U685,0)</x:f>
        <x:v>0</x:v>
      </x:c>
      <x:c r="X685" t="str">
        <x:f>IF(E685&lt;25,"Low &lt; 25",IF(E685&lt;100,"Medium 25-99",IF(E685&lt;300,"High 100-299","Premium 300+")))</x:f>
        <x:v>Low &lt; 25</x:v>
      </x:c>
      <x:c r="Y685" t="n">
        <x:f>IF(C685="Active",1,0)</x:f>
        <x:v>1</x:v>
      </x:c>
    </x:row>
    <x:row r="686">
      <x:c r="A686" t="str">
        <x:v>SKU00685</x:v>
      </x:c>
      <x:c r="B686" t="str">
        <x:v>Sample Product 00685</x:v>
      </x:c>
      <x:c r="C686" t="str">
        <x:v>Active</x:v>
      </x:c>
      <x:c r="D686" t="str">
        <x:v>2026-04</x:v>
      </x:c>
      <x:c r="E686" s="12" t="n">
        <x:v>26.98</x:v>
      </x:c>
      <x:c r="F686" s="10" t="n">
        <x:v>0.349</x:v>
      </x:c>
      <x:c r="G686" t="str">
        <x:v>OTC &amp; Wellness</x:v>
      </x:c>
      <x:c r="H686" t="str">
        <x:v>Digestive Care</x:v>
      </x:c>
      <x:c r="I686" t="str">
        <x:v>MFG018</x:v>
      </x:c>
      <x:c r="J686" t="str">
        <x:v>Manufacturer 018</x:v>
      </x:c>
      <x:c r="K686" t="str">
        <x:v>SUP024</x:v>
      </x:c>
      <x:c r="L686" t="str">
        <x:v>Supplier 024</x:v>
      </x:c>
      <x:c r="M686" t="str">
        <x:v>REG-623291</x:v>
      </x:c>
      <x:c r="N686" t="str">
        <x:v>Generic Ingredient 140</x:v>
      </x:c>
      <x:c r="O686" t="str">
        <x:v>Pharmacy Only</x:v>
      </x:c>
      <x:c r="P686" t="n">
        <x:v>47</x:v>
      </x:c>
      <x:c r="Q686" t="n">
        <x:v>9</x:v>
      </x:c>
      <x:c r="R686" t="n">
        <x:v>0</x:v>
      </x:c>
      <x:c r="S686" s="12" t="n">
        <x:f>E686*Q686</x:f>
        <x:v>242.82</x:v>
      </x:c>
      <x:c r="T686" s="12" t="n">
        <x:f>ROUND(S686*F686+0.000000001,2)</x:f>
        <x:v>84.74</x:v>
      </x:c>
      <x:c r="U686" s="12" t="n">
        <x:f>E686*R686</x:f>
        <x:v>0</x:v>
      </x:c>
      <x:c r="V686" t="str">
        <x:f>IF(AND(C686="Active",Q686=0),"Active Zero Sales","Not Zero Sales")</x:f>
        <x:v>Not Zero Sales</x:v>
      </x:c>
      <x:c r="W686" s="12" t="n">
        <x:f>IF(V686="Active Zero Sales",U686,0)</x:f>
        <x:v>0</x:v>
      </x:c>
      <x:c r="X686" t="str">
        <x:f>IF(E686&lt;25,"Low &lt; 25",IF(E686&lt;100,"Medium 25-99",IF(E686&lt;300,"High 100-299","Premium 300+")))</x:f>
        <x:v>Medium 25-99</x:v>
      </x:c>
      <x:c r="Y686" t="n">
        <x:f>IF(C686="Active",1,0)</x:f>
        <x:v>1</x:v>
      </x:c>
    </x:row>
    <x:row r="687">
      <x:c r="A687" t="str">
        <x:v>SKU00686</x:v>
      </x:c>
      <x:c r="B687" t="str">
        <x:v>Sample Product 00686</x:v>
      </x:c>
      <x:c r="C687" t="str">
        <x:v>Blocked</x:v>
      </x:c>
      <x:c r="D687" t="str">
        <x:v>2026-04</x:v>
      </x:c>
      <x:c r="E687" s="12" t="n">
        <x:v>395.9</x:v>
      </x:c>
      <x:c r="F687" s="10" t="n">
        <x:v>0.179</x:v>
      </x:c>
      <x:c r="G687" t="str">
        <x:v>Medical Devices</x:v>
      </x:c>
      <x:c r="H687" t="str">
        <x:v>Mobility Aids</x:v>
      </x:c>
      <x:c r="I687" t="str">
        <x:v>MFG019</x:v>
      </x:c>
      <x:c r="J687" t="str">
        <x:v>Manufacturer 019</x:v>
      </x:c>
      <x:c r="K687" t="str">
        <x:v>SUP011</x:v>
      </x:c>
      <x:c r="L687" t="str">
        <x:v>Supplier 011</x:v>
      </x:c>
      <x:c r="M687" t="str">
        <x:v>REG-699089</x:v>
      </x:c>
      <x:c r="N687" t="str">
        <x:v>Generic Ingredient 129</x:v>
      </x:c>
      <x:c r="O687" t="str">
        <x:v>General Sale</x:v>
      </x:c>
      <x:c r="P687" t="n">
        <x:v>11</x:v>
      </x:c>
      <x:c r="Q687" t="n">
        <x:v>17</x:v>
      </x:c>
      <x:c r="R687" t="n">
        <x:v>0</x:v>
      </x:c>
      <x:c r="S687" s="12" t="n">
        <x:f>E687*Q687</x:f>
        <x:v>6730.299999999999</x:v>
      </x:c>
      <x:c r="T687" s="12" t="n">
        <x:f>ROUND(S687*F687+0.000000001,2)</x:f>
        <x:v>1204.72</x:v>
      </x:c>
      <x:c r="U687" s="12" t="n">
        <x:f>E687*R687</x:f>
        <x:v>0</x:v>
      </x:c>
      <x:c r="V687" t="str">
        <x:f>IF(AND(C687="Active",Q687=0),"Active Zero Sales","Not Zero Sales")</x:f>
        <x:v>Not Zero Sales</x:v>
      </x:c>
      <x:c r="W687" s="12" t="n">
        <x:f>IF(V687="Active Zero Sales",U687,0)</x:f>
        <x:v>0</x:v>
      </x:c>
      <x:c r="X687" t="str">
        <x:f>IF(E687&lt;25,"Low &lt; 25",IF(E687&lt;100,"Medium 25-99",IF(E687&lt;300,"High 100-299","Premium 300+")))</x:f>
        <x:v>Premium 300+</x:v>
      </x:c>
      <x:c r="Y687" t="n">
        <x:f>IF(C687="Active",1,0)</x:f>
        <x:v>0</x:v>
      </x:c>
    </x:row>
    <x:row r="688">
      <x:c r="A688" t="str">
        <x:v>SKU00687</x:v>
      </x:c>
      <x:c r="B688" t="str">
        <x:v>Sample Product 00687</x:v>
      </x:c>
      <x:c r="C688" t="str">
        <x:v>Active</x:v>
      </x:c>
      <x:c r="D688" t="str">
        <x:v>2026-05</x:v>
      </x:c>
      <x:c r="E688" s="12" t="n">
        <x:v>53.02</x:v>
      </x:c>
      <x:c r="F688" s="10" t="n">
        <x:v>0.333</x:v>
      </x:c>
      <x:c r="G688" t="str">
        <x:v>OTC &amp; Wellness</x:v>
      </x:c>
      <x:c r="H688" t="str">
        <x:v>Digestive Care</x:v>
      </x:c>
      <x:c r="I688" t="str">
        <x:v>MFG008</x:v>
      </x:c>
      <x:c r="J688" t="str">
        <x:v>Manufacturer 008</x:v>
      </x:c>
      <x:c r="K688" t="str">
        <x:v>SUP015</x:v>
      </x:c>
      <x:c r="L688" t="str">
        <x:v>Supplier 015</x:v>
      </x:c>
      <x:c r="M688" t="str">
        <x:v>REG-291983</x:v>
      </x:c>
      <x:c r="N688" t="str">
        <x:v>Generic Ingredient 057</x:v>
      </x:c>
      <x:c r="O688" t="str">
        <x:v>General Sale</x:v>
      </x:c>
      <x:c r="P688" t="n">
        <x:v>69</x:v>
      </x:c>
      <x:c r="Q688" t="n">
        <x:v>0</x:v>
      </x:c>
      <x:c r="R688" t="n">
        <x:v>53</x:v>
      </x:c>
      <x:c r="S688" s="12" t="n">
        <x:f>E688*Q688</x:f>
        <x:v>0</x:v>
      </x:c>
      <x:c r="T688" s="12" t="n">
        <x:f>ROUND(S688*F688+0.000000001,2)</x:f>
        <x:v>0</x:v>
      </x:c>
      <x:c r="U688" s="12" t="n">
        <x:f>E688*R688</x:f>
        <x:v>2810.06</x:v>
      </x:c>
      <x:c r="V688" t="str">
        <x:f>IF(AND(C688="Active",Q688=0),"Active Zero Sales","Not Zero Sales")</x:f>
        <x:v>Active Zero Sales</x:v>
      </x:c>
      <x:c r="W688" s="12" t="n">
        <x:f>IF(V688="Active Zero Sales",U688,0)</x:f>
        <x:v>2810.06</x:v>
      </x:c>
      <x:c r="X688" t="str">
        <x:f>IF(E688&lt;25,"Low &lt; 25",IF(E688&lt;100,"Medium 25-99",IF(E688&lt;300,"High 100-299","Premium 300+")))</x:f>
        <x:v>Medium 25-99</x:v>
      </x:c>
      <x:c r="Y688" t="n">
        <x:f>IF(C688="Active",1,0)</x:f>
        <x:v>1</x:v>
      </x:c>
    </x:row>
    <x:row r="689">
      <x:c r="A689" t="str">
        <x:v>SKU00688</x:v>
      </x:c>
      <x:c r="B689" t="str">
        <x:v>Sample Product 00688</x:v>
      </x:c>
      <x:c r="C689" t="str">
        <x:v>Active</x:v>
      </x:c>
      <x:c r="D689" t="str">
        <x:v>2026-06</x:v>
      </x:c>
      <x:c r="E689" s="12" t="n">
        <x:v>44.76</x:v>
      </x:c>
      <x:c r="F689" s="10" t="n">
        <x:v>0.361</x:v>
      </x:c>
      <x:c r="G689" t="str">
        <x:v>Personal Care</x:v>
      </x:c>
      <x:c r="H689" t="str">
        <x:v>Skin Care</x:v>
      </x:c>
      <x:c r="I689" t="str">
        <x:v>MFG001</x:v>
      </x:c>
      <x:c r="J689" t="str">
        <x:v>Manufacturer 001</x:v>
      </x:c>
      <x:c r="K689" t="str">
        <x:v>SUP017</x:v>
      </x:c>
      <x:c r="L689" t="str">
        <x:v>Supplier 017</x:v>
      </x:c>
      <x:c r="M689" t="str">
        <x:v>REG-589041</x:v>
      </x:c>
      <x:c r="N689" t="str">
        <x:v>Generic Ingredient 046</x:v>
      </x:c>
      <x:c r="O689" t="str">
        <x:v>General Sale</x:v>
      </x:c>
      <x:c r="P689" t="n">
        <x:v>168</x:v>
      </x:c>
      <x:c r="Q689" t="n">
        <x:v>92</x:v>
      </x:c>
      <x:c r="R689" t="n">
        <x:v>40</x:v>
      </x:c>
      <x:c r="S689" s="12" t="n">
        <x:f>E689*Q689</x:f>
        <x:v>4117.92</x:v>
      </x:c>
      <x:c r="T689" s="12" t="n">
        <x:f>ROUND(S689*F689+0.000000001,2)</x:f>
        <x:v>1486.57</x:v>
      </x:c>
      <x:c r="U689" s="12" t="n">
        <x:f>E689*R689</x:f>
        <x:v>1790.3999999999999</x:v>
      </x:c>
      <x:c r="V689" t="str">
        <x:f>IF(AND(C689="Active",Q689=0),"Active Zero Sales","Not Zero Sales")</x:f>
        <x:v>Not Zero Sales</x:v>
      </x:c>
      <x:c r="W689" s="12" t="n">
        <x:f>IF(V689="Active Zero Sales",U689,0)</x:f>
        <x:v>0</x:v>
      </x:c>
      <x:c r="X689" t="str">
        <x:f>IF(E689&lt;25,"Low &lt; 25",IF(E689&lt;100,"Medium 25-99",IF(E689&lt;300,"High 100-299","Premium 300+")))</x:f>
        <x:v>Medium 25-99</x:v>
      </x:c>
      <x:c r="Y689" t="n">
        <x:f>IF(C689="Active",1,0)</x:f>
        <x:v>1</x:v>
      </x:c>
    </x:row>
    <x:row r="690">
      <x:c r="A690" t="str">
        <x:v>SKU00689</x:v>
      </x:c>
      <x:c r="B690" t="str">
        <x:v>Sample Product 00689</x:v>
      </x:c>
      <x:c r="C690" t="str">
        <x:v>Blocked</x:v>
      </x:c>
      <x:c r="D690" t="str">
        <x:v>2026-01</x:v>
      </x:c>
      <x:c r="E690" s="12" t="n">
        <x:v>244.52</x:v>
      </x:c>
      <x:c r="F690" s="10" t="n">
        <x:v>0.408</x:v>
      </x:c>
      <x:c r="G690" t="str">
        <x:v>General Merchandise</x:v>
      </x:c>
      <x:c r="H690" t="str">
        <x:v>Baby Essentials</x:v>
      </x:c>
      <x:c r="I690" t="str">
        <x:v>MFG001</x:v>
      </x:c>
      <x:c r="J690" t="str">
        <x:v>Manufacturer 001</x:v>
      </x:c>
      <x:c r="K690" t="str">
        <x:v>SUP024</x:v>
      </x:c>
      <x:c r="L690" t="str">
        <x:v>Supplier 024</x:v>
      </x:c>
      <x:c r="M690" t="str">
        <x:v>REG-336700</x:v>
      </x:c>
      <x:c r="N690" t="str">
        <x:v>Generic Ingredient 089</x:v>
      </x:c>
      <x:c r="O690" t="str">
        <x:v>General Sale</x:v>
      </x:c>
      <x:c r="P690" t="n">
        <x:v>13</x:v>
      </x:c>
      <x:c r="Q690" t="n">
        <x:v>0</x:v>
      </x:c>
      <x:c r="R690" t="n">
        <x:v>0</x:v>
      </x:c>
      <x:c r="S690" s="12" t="n">
        <x:f>E690*Q690</x:f>
        <x:v>0</x:v>
      </x:c>
      <x:c r="T690" s="12" t="n">
        <x:f>ROUND(S690*F690+0.000000001,2)</x:f>
        <x:v>0</x:v>
      </x:c>
      <x:c r="U690" s="12" t="n">
        <x:f>E690*R690</x:f>
        <x:v>0</x:v>
      </x:c>
      <x:c r="V690" t="str">
        <x:f>IF(AND(C690="Active",Q690=0),"Active Zero Sales","Not Zero Sales")</x:f>
        <x:v>Not Zero Sales</x:v>
      </x:c>
      <x:c r="W690" s="12" t="n">
        <x:f>IF(V690="Active Zero Sales",U690,0)</x:f>
        <x:v>0</x:v>
      </x:c>
      <x:c r="X690" t="str">
        <x:f>IF(E690&lt;25,"Low &lt; 25",IF(E690&lt;100,"Medium 25-99",IF(E690&lt;300,"High 100-299","Premium 300+")))</x:f>
        <x:v>High 100-299</x:v>
      </x:c>
      <x:c r="Y690" t="n">
        <x:f>IF(C690="Active",1,0)</x:f>
        <x:v>0</x:v>
      </x:c>
    </x:row>
    <x:row r="691">
      <x:c r="A691" t="str">
        <x:v>SKU00690</x:v>
      </x:c>
      <x:c r="B691" t="str">
        <x:v>Sample Product 00690</x:v>
      </x:c>
      <x:c r="C691" t="str">
        <x:v>Active</x:v>
      </x:c>
      <x:c r="D691" t="str">
        <x:v>2026-06</x:v>
      </x:c>
      <x:c r="E691" s="12" t="n">
        <x:v>597.78</x:v>
      </x:c>
      <x:c r="F691" s="10" t="n">
        <x:v>0.388</x:v>
      </x:c>
      <x:c r="G691" t="str">
        <x:v>Personal Care</x:v>
      </x:c>
      <x:c r="H691" t="str">
        <x:v>Oral Care</x:v>
      </x:c>
      <x:c r="I691" t="str">
        <x:v>MFG002</x:v>
      </x:c>
      <x:c r="J691" t="str">
        <x:v>Manufacturer 002</x:v>
      </x:c>
      <x:c r="K691" t="str">
        <x:v>SUP030</x:v>
      </x:c>
      <x:c r="L691" t="str">
        <x:v>Supplier 030</x:v>
      </x:c>
      <x:c r="M691" t="str">
        <x:v>REG-889031</x:v>
      </x:c>
      <x:c r="N691" t="str">
        <x:v>Generic Ingredient 055</x:v>
      </x:c>
      <x:c r="O691" t="str">
        <x:v>General Sale</x:v>
      </x:c>
      <x:c r="P691" t="n">
        <x:v>46</x:v>
      </x:c>
      <x:c r="Q691" t="n">
        <x:v>16</x:v>
      </x:c>
      <x:c r="R691" t="n">
        <x:v>23</x:v>
      </x:c>
      <x:c r="S691" s="12" t="n">
        <x:f>E691*Q691</x:f>
        <x:v>9564.48</x:v>
      </x:c>
      <x:c r="T691" s="12" t="n">
        <x:f>ROUND(S691*F691+0.000000001,2)</x:f>
        <x:v>3711.02</x:v>
      </x:c>
      <x:c r="U691" s="12" t="n">
        <x:f>E691*R691</x:f>
        <x:v>13748.939999999999</x:v>
      </x:c>
      <x:c r="V691" t="str">
        <x:f>IF(AND(C691="Active",Q691=0),"Active Zero Sales","Not Zero Sales")</x:f>
        <x:v>Not Zero Sales</x:v>
      </x:c>
      <x:c r="W691" s="12" t="n">
        <x:f>IF(V691="Active Zero Sales",U691,0)</x:f>
        <x:v>0</x:v>
      </x:c>
      <x:c r="X691" t="str">
        <x:f>IF(E691&lt;25,"Low &lt; 25",IF(E691&lt;100,"Medium 25-99",IF(E691&lt;300,"High 100-299","Premium 300+")))</x:f>
        <x:v>Premium 300+</x:v>
      </x:c>
      <x:c r="Y691" t="n">
        <x:f>IF(C691="Active",1,0)</x:f>
        <x:v>1</x:v>
      </x:c>
    </x:row>
    <x:row r="692">
      <x:c r="A692" t="str">
        <x:v>SKU00691</x:v>
      </x:c>
      <x:c r="B692" t="str">
        <x:v>Sample Product 00691</x:v>
      </x:c>
      <x:c r="C692" t="str">
        <x:v>Blocked</x:v>
      </x:c>
      <x:c r="D692" t="str">
        <x:v>2026-02</x:v>
      </x:c>
      <x:c r="E692" s="12" t="n">
        <x:v>524.57</x:v>
      </x:c>
      <x:c r="F692" s="10" t="n">
        <x:v>0.409</x:v>
      </x:c>
      <x:c r="G692" t="str">
        <x:v>Personal Care</x:v>
      </x:c>
      <x:c r="H692" t="str">
        <x:v>Hair Care</x:v>
      </x:c>
      <x:c r="I692" t="str">
        <x:v>MFG015</x:v>
      </x:c>
      <x:c r="J692" t="str">
        <x:v>Manufacturer 015</x:v>
      </x:c>
      <x:c r="K692" t="str">
        <x:v>SUP013</x:v>
      </x:c>
      <x:c r="L692" t="str">
        <x:v>Supplier 013</x:v>
      </x:c>
      <x:c r="M692" t="str">
        <x:v>REG-781684</x:v>
      </x:c>
      <x:c r="N692" t="str">
        <x:v>Generic Ingredient 060</x:v>
      </x:c>
      <x:c r="O692" t="str">
        <x:v>General Sale</x:v>
      </x:c>
      <x:c r="P692" t="n">
        <x:v>13</x:v>
      </x:c>
      <x:c r="Q692" t="n">
        <x:v>0</x:v>
      </x:c>
      <x:c r="R692" t="n">
        <x:v>0</x:v>
      </x:c>
      <x:c r="S692" s="12" t="n">
        <x:f>E692*Q692</x:f>
        <x:v>0</x:v>
      </x:c>
      <x:c r="T692" s="12" t="n">
        <x:f>ROUND(S692*F692+0.000000001,2)</x:f>
        <x:v>0</x:v>
      </x:c>
      <x:c r="U692" s="12" t="n">
        <x:f>E692*R692</x:f>
        <x:v>0</x:v>
      </x:c>
      <x:c r="V692" t="str">
        <x:f>IF(AND(C692="Active",Q692=0),"Active Zero Sales","Not Zero Sales")</x:f>
        <x:v>Not Zero Sales</x:v>
      </x:c>
      <x:c r="W692" s="12" t="n">
        <x:f>IF(V692="Active Zero Sales",U692,0)</x:f>
        <x:v>0</x:v>
      </x:c>
      <x:c r="X692" t="str">
        <x:f>IF(E692&lt;25,"Low &lt; 25",IF(E692&lt;100,"Medium 25-99",IF(E692&lt;300,"High 100-299","Premium 300+")))</x:f>
        <x:v>Premium 300+</x:v>
      </x:c>
      <x:c r="Y692" t="n">
        <x:f>IF(C692="Active",1,0)</x:f>
        <x:v>0</x:v>
      </x:c>
    </x:row>
    <x:row r="693">
      <x:c r="A693" t="str">
        <x:v>SKU00692</x:v>
      </x:c>
      <x:c r="B693" t="str">
        <x:v>Sample Product 00692</x:v>
      </x:c>
      <x:c r="C693" t="str">
        <x:v>Blocked</x:v>
      </x:c>
      <x:c r="D693" t="str">
        <x:v>2026-06</x:v>
      </x:c>
      <x:c r="E693" s="12" t="n">
        <x:v>21.97</x:v>
      </x:c>
      <x:c r="F693" s="10" t="n">
        <x:v>0.397</x:v>
      </x:c>
      <x:c r="G693" t="str">
        <x:v>Medical Devices</x:v>
      </x:c>
      <x:c r="H693" t="str">
        <x:v>Mobility Aids</x:v>
      </x:c>
      <x:c r="I693" t="str">
        <x:v>MFG004</x:v>
      </x:c>
      <x:c r="J693" t="str">
        <x:v>Manufacturer 004</x:v>
      </x:c>
      <x:c r="K693" t="str">
        <x:v>SUP011</x:v>
      </x:c>
      <x:c r="L693" t="str">
        <x:v>Supplier 011</x:v>
      </x:c>
      <x:c r="M693" t="str">
        <x:v>REG-554098</x:v>
      </x:c>
      <x:c r="N693" t="str">
        <x:v>Generic Ingredient 107</x:v>
      </x:c>
      <x:c r="O693" t="str">
        <x:v>Pharmacy Only</x:v>
      </x:c>
      <x:c r="P693" t="n">
        <x:v>0</x:v>
      </x:c>
      <x:c r="Q693" t="n">
        <x:v>0</x:v>
      </x:c>
      <x:c r="R693" t="n">
        <x:v>0</x:v>
      </x:c>
      <x:c r="S693" s="12" t="n">
        <x:f>E693*Q693</x:f>
        <x:v>0</x:v>
      </x:c>
      <x:c r="T693" s="12" t="n">
        <x:f>ROUND(S693*F693+0.000000001,2)</x:f>
        <x:v>0</x:v>
      </x:c>
      <x:c r="U693" s="12" t="n">
        <x:f>E693*R693</x:f>
        <x:v>0</x:v>
      </x:c>
      <x:c r="V693" t="str">
        <x:f>IF(AND(C693="Active",Q693=0),"Active Zero Sales","Not Zero Sales")</x:f>
        <x:v>Not Zero Sales</x:v>
      </x:c>
      <x:c r="W693" s="12" t="n">
        <x:f>IF(V693="Active Zero Sales",U693,0)</x:f>
        <x:v>0</x:v>
      </x:c>
      <x:c r="X693" t="str">
        <x:f>IF(E693&lt;25,"Low &lt; 25",IF(E693&lt;100,"Medium 25-99",IF(E693&lt;300,"High 100-299","Premium 300+")))</x:f>
        <x:v>Low &lt; 25</x:v>
      </x:c>
      <x:c r="Y693" t="n">
        <x:f>IF(C693="Active",1,0)</x:f>
        <x:v>0</x:v>
      </x:c>
    </x:row>
    <x:row r="694">
      <x:c r="A694" t="str">
        <x:v>SKU00693</x:v>
      </x:c>
      <x:c r="B694" t="str">
        <x:v>Sample Product 00693</x:v>
      </x:c>
      <x:c r="C694" t="str">
        <x:v>Blocked</x:v>
      </x:c>
      <x:c r="D694" t="str">
        <x:v>2026-03</x:v>
      </x:c>
      <x:c r="E694" s="12" t="n">
        <x:v>83.33</x:v>
      </x:c>
      <x:c r="F694" s="10" t="n">
        <x:v>0.3</x:v>
      </x:c>
      <x:c r="G694" t="str">
        <x:v>General Merchandise</x:v>
      </x:c>
      <x:c r="H694" t="str">
        <x:v>Seasonal Care</x:v>
      </x:c>
      <x:c r="I694" t="str">
        <x:v>MFG003</x:v>
      </x:c>
      <x:c r="J694" t="str">
        <x:v>Manufacturer 003</x:v>
      </x:c>
      <x:c r="K694" t="str">
        <x:v>SUP001</x:v>
      </x:c>
      <x:c r="L694" t="str">
        <x:v>Supplier 001</x:v>
      </x:c>
      <x:c r="M694" t="str">
        <x:v>REG-347009</x:v>
      </x:c>
      <x:c r="N694" t="str">
        <x:v>Generic Ingredient 043</x:v>
      </x:c>
      <x:c r="O694" t="str">
        <x:v>General Sale</x:v>
      </x:c>
      <x:c r="P694" t="n">
        <x:v>46</x:v>
      </x:c>
      <x:c r="Q694" t="n">
        <x:v>21</x:v>
      </x:c>
      <x:c r="R694" t="n">
        <x:v>0</x:v>
      </x:c>
      <x:c r="S694" s="12" t="n">
        <x:f>E694*Q694</x:f>
        <x:v>1749.93</x:v>
      </x:c>
      <x:c r="T694" s="12" t="n">
        <x:f>ROUND(S694*F694+0.000000001,2)</x:f>
        <x:v>524.98</x:v>
      </x:c>
      <x:c r="U694" s="12" t="n">
        <x:f>E694*R694</x:f>
        <x:v>0</x:v>
      </x:c>
      <x:c r="V694" t="str">
        <x:f>IF(AND(C694="Active",Q694=0),"Active Zero Sales","Not Zero Sales")</x:f>
        <x:v>Not Zero Sales</x:v>
      </x:c>
      <x:c r="W694" s="12" t="n">
        <x:f>IF(V694="Active Zero Sales",U694,0)</x:f>
        <x:v>0</x:v>
      </x:c>
      <x:c r="X694" t="str">
        <x:f>IF(E694&lt;25,"Low &lt; 25",IF(E694&lt;100,"Medium 25-99",IF(E694&lt;300,"High 100-299","Premium 300+")))</x:f>
        <x:v>Medium 25-99</x:v>
      </x:c>
      <x:c r="Y694" t="n">
        <x:f>IF(C694="Active",1,0)</x:f>
        <x:v>0</x:v>
      </x:c>
    </x:row>
    <x:row r="695">
      <x:c r="A695" t="str">
        <x:v>SKU00694</x:v>
      </x:c>
      <x:c r="B695" t="str">
        <x:v>Sample Product 00694</x:v>
      </x:c>
      <x:c r="C695" t="str">
        <x:v>Active</x:v>
      </x:c>
      <x:c r="D695" t="str">
        <x:v>2026-06</x:v>
      </x:c>
      <x:c r="E695" s="12" t="n">
        <x:v>12.8</x:v>
      </x:c>
      <x:c r="F695" s="10" t="n">
        <x:v>0.491</x:v>
      </x:c>
      <x:c r="G695" t="str">
        <x:v>General Merchandise</x:v>
      </x:c>
      <x:c r="H695" t="str">
        <x:v>Baby Essentials</x:v>
      </x:c>
      <x:c r="I695" t="str">
        <x:v>MFG003</x:v>
      </x:c>
      <x:c r="J695" t="str">
        <x:v>Manufacturer 003</x:v>
      </x:c>
      <x:c r="K695" t="str">
        <x:v>SUP019</x:v>
      </x:c>
      <x:c r="L695" t="str">
        <x:v>Supplier 019</x:v>
      </x:c>
      <x:c r="M695" t="str">
        <x:v>REG-764386</x:v>
      </x:c>
      <x:c r="N695" t="str">
        <x:v>Generic Ingredient 080</x:v>
      </x:c>
      <x:c r="O695" t="str">
        <x:v>General Sale</x:v>
      </x:c>
      <x:c r="P695" t="n">
        <x:v>68</x:v>
      </x:c>
      <x:c r="Q695" t="n">
        <x:v>23</x:v>
      </x:c>
      <x:c r="R695" t="n">
        <x:v>0</x:v>
      </x:c>
      <x:c r="S695" s="12" t="n">
        <x:f>E695*Q695</x:f>
        <x:v>294.40000000000003</x:v>
      </x:c>
      <x:c r="T695" s="12" t="n">
        <x:f>ROUND(S695*F695+0.000000001,2)</x:f>
        <x:v>144.55</x:v>
      </x:c>
      <x:c r="U695" s="12" t="n">
        <x:f>E695*R695</x:f>
        <x:v>0</x:v>
      </x:c>
      <x:c r="V695" t="str">
        <x:f>IF(AND(C695="Active",Q695=0),"Active Zero Sales","Not Zero Sales")</x:f>
        <x:v>Not Zero Sales</x:v>
      </x:c>
      <x:c r="W695" s="12" t="n">
        <x:f>IF(V695="Active Zero Sales",U695,0)</x:f>
        <x:v>0</x:v>
      </x:c>
      <x:c r="X695" t="str">
        <x:f>IF(E695&lt;25,"Low &lt; 25",IF(E695&lt;100,"Medium 25-99",IF(E695&lt;300,"High 100-299","Premium 300+")))</x:f>
        <x:v>Low &lt; 25</x:v>
      </x:c>
      <x:c r="Y695" t="n">
        <x:f>IF(C695="Active",1,0)</x:f>
        <x:v>1</x:v>
      </x:c>
    </x:row>
    <x:row r="696">
      <x:c r="A696" t="str">
        <x:v>SKU00695</x:v>
      </x:c>
      <x:c r="B696" t="str">
        <x:v>Sample Product 00695</x:v>
      </x:c>
      <x:c r="C696" t="str">
        <x:v>Blocked</x:v>
      </x:c>
      <x:c r="D696" t="str">
        <x:v>2026-04</x:v>
      </x:c>
      <x:c r="E696" s="12" t="n">
        <x:v>73.42</x:v>
      </x:c>
      <x:c r="F696" s="10" t="n">
        <x:v>0.194</x:v>
      </x:c>
      <x:c r="G696" t="str">
        <x:v>Nutrition</x:v>
      </x:c>
      <x:c r="H696" t="str">
        <x:v>Healthy Snacks</x:v>
      </x:c>
      <x:c r="I696" t="str">
        <x:v>MFG004</x:v>
      </x:c>
      <x:c r="J696" t="str">
        <x:v>Manufacturer 004</x:v>
      </x:c>
      <x:c r="K696" t="str">
        <x:v>SUP016</x:v>
      </x:c>
      <x:c r="L696" t="str">
        <x:v>Supplier 016</x:v>
      </x:c>
      <x:c r="M696" t="str">
        <x:v>REG-712838</x:v>
      </x:c>
      <x:c r="N696" t="str">
        <x:v>Generic Ingredient 066</x:v>
      </x:c>
      <x:c r="O696" t="str">
        <x:v>General Sale</x:v>
      </x:c>
      <x:c r="P696" t="n">
        <x:v>18</x:v>
      </x:c>
      <x:c r="Q696" t="n">
        <x:v>0</x:v>
      </x:c>
      <x:c r="R696" t="n">
        <x:v>0</x:v>
      </x:c>
      <x:c r="S696" s="12" t="n">
        <x:f>E696*Q696</x:f>
        <x:v>0</x:v>
      </x:c>
      <x:c r="T696" s="12" t="n">
        <x:f>ROUND(S696*F696+0.000000001,2)</x:f>
        <x:v>0</x:v>
      </x:c>
      <x:c r="U696" s="12" t="n">
        <x:f>E696*R696</x:f>
        <x:v>0</x:v>
      </x:c>
      <x:c r="V696" t="str">
        <x:f>IF(AND(C696="Active",Q696=0),"Active Zero Sales","Not Zero Sales")</x:f>
        <x:v>Not Zero Sales</x:v>
      </x:c>
      <x:c r="W696" s="12" t="n">
        <x:f>IF(V696="Active Zero Sales",U696,0)</x:f>
        <x:v>0</x:v>
      </x:c>
      <x:c r="X696" t="str">
        <x:f>IF(E696&lt;25,"Low &lt; 25",IF(E696&lt;100,"Medium 25-99",IF(E696&lt;300,"High 100-299","Premium 300+")))</x:f>
        <x:v>Medium 25-99</x:v>
      </x:c>
      <x:c r="Y696" t="n">
        <x:f>IF(C696="Active",1,0)</x:f>
        <x:v>0</x:v>
      </x:c>
    </x:row>
    <x:row r="697">
      <x:c r="A697" t="str">
        <x:v>SKU00696</x:v>
      </x:c>
      <x:c r="B697" t="str">
        <x:v>Sample Product 00696</x:v>
      </x:c>
      <x:c r="C697" t="str">
        <x:v>Active</x:v>
      </x:c>
      <x:c r="D697" t="str">
        <x:v>2026-03</x:v>
      </x:c>
      <x:c r="E697" s="12" t="n">
        <x:v>324.73</x:v>
      </x:c>
      <x:c r="F697" s="10" t="n">
        <x:v>0.383</x:v>
      </x:c>
      <x:c r="G697" t="str">
        <x:v>Personal Care</x:v>
      </x:c>
      <x:c r="H697" t="str">
        <x:v>Oral Care</x:v>
      </x:c>
      <x:c r="I697" t="str">
        <x:v>MFG015</x:v>
      </x:c>
      <x:c r="J697" t="str">
        <x:v>Manufacturer 015</x:v>
      </x:c>
      <x:c r="K697" t="str">
        <x:v>SUP014</x:v>
      </x:c>
      <x:c r="L697" t="str">
        <x:v>Supplier 014</x:v>
      </x:c>
      <x:c r="M697" t="str">
        <x:v>REG-830804</x:v>
      </x:c>
      <x:c r="N697" t="str">
        <x:v>Generic Ingredient 090</x:v>
      </x:c>
      <x:c r="O697" t="str">
        <x:v>General Sale</x:v>
      </x:c>
      <x:c r="P697" t="n">
        <x:v>52</x:v>
      </x:c>
      <x:c r="Q697" t="n">
        <x:v>24</x:v>
      </x:c>
      <x:c r="R697" t="n">
        <x:v>7</x:v>
      </x:c>
      <x:c r="S697" s="12" t="n">
        <x:f>E697*Q697</x:f>
        <x:v>7793.52</x:v>
      </x:c>
      <x:c r="T697" s="12" t="n">
        <x:f>ROUND(S697*F697+0.000000001,2)</x:f>
        <x:v>2984.92</x:v>
      </x:c>
      <x:c r="U697" s="12" t="n">
        <x:f>E697*R697</x:f>
        <x:v>2273.11</x:v>
      </x:c>
      <x:c r="V697" t="str">
        <x:f>IF(AND(C697="Active",Q697=0),"Active Zero Sales","Not Zero Sales")</x:f>
        <x:v>Not Zero Sales</x:v>
      </x:c>
      <x:c r="W697" s="12" t="n">
        <x:f>IF(V697="Active Zero Sales",U697,0)</x:f>
        <x:v>0</x:v>
      </x:c>
      <x:c r="X697" t="str">
        <x:f>IF(E697&lt;25,"Low &lt; 25",IF(E697&lt;100,"Medium 25-99",IF(E697&lt;300,"High 100-299","Premium 300+")))</x:f>
        <x:v>Premium 300+</x:v>
      </x:c>
      <x:c r="Y697" t="n">
        <x:f>IF(C697="Active",1,0)</x:f>
        <x:v>1</x:v>
      </x:c>
    </x:row>
    <x:row r="698">
      <x:c r="A698" t="str">
        <x:v>SKU00697</x:v>
      </x:c>
      <x:c r="B698" t="str">
        <x:v>Sample Product 00697</x:v>
      </x:c>
      <x:c r="C698" t="str">
        <x:v>Active</x:v>
      </x:c>
      <x:c r="D698" t="str">
        <x:v>2026-04</x:v>
      </x:c>
      <x:c r="E698" s="12" t="n">
        <x:v>26.35</x:v>
      </x:c>
      <x:c r="F698" s="10" t="n">
        <x:v>0.365</x:v>
      </x:c>
      <x:c r="G698" t="str">
        <x:v>OTC &amp; Wellness</x:v>
      </x:c>
      <x:c r="H698" t="str">
        <x:v>Cold &amp; Allergy</x:v>
      </x:c>
      <x:c r="I698" t="str">
        <x:v>MFG009</x:v>
      </x:c>
      <x:c r="J698" t="str">
        <x:v>Manufacturer 009</x:v>
      </x:c>
      <x:c r="K698" t="str">
        <x:v>SUP030</x:v>
      </x:c>
      <x:c r="L698" t="str">
        <x:v>Supplier 030</x:v>
      </x:c>
      <x:c r="M698" t="str">
        <x:v>REG-986595</x:v>
      </x:c>
      <x:c r="N698" t="str">
        <x:v>Generic Ingredient 128</x:v>
      </x:c>
      <x:c r="O698" t="str">
        <x:v>Pharmacy Only</x:v>
      </x:c>
      <x:c r="P698" t="n">
        <x:v>80</x:v>
      </x:c>
      <x:c r="Q698" t="n">
        <x:v>32</x:v>
      </x:c>
      <x:c r="R698" t="n">
        <x:v>0</x:v>
      </x:c>
      <x:c r="S698" s="12" t="n">
        <x:f>E698*Q698</x:f>
        <x:v>843.2</x:v>
      </x:c>
      <x:c r="T698" s="12" t="n">
        <x:f>ROUND(S698*F698+0.000000001,2)</x:f>
        <x:v>307.77</x:v>
      </x:c>
      <x:c r="U698" s="12" t="n">
        <x:f>E698*R698</x:f>
        <x:v>0</x:v>
      </x:c>
      <x:c r="V698" t="str">
        <x:f>IF(AND(C698="Active",Q698=0),"Active Zero Sales","Not Zero Sales")</x:f>
        <x:v>Not Zero Sales</x:v>
      </x:c>
      <x:c r="W698" s="12" t="n">
        <x:f>IF(V698="Active Zero Sales",U698,0)</x:f>
        <x:v>0</x:v>
      </x:c>
      <x:c r="X698" t="str">
        <x:f>IF(E698&lt;25,"Low &lt; 25",IF(E698&lt;100,"Medium 25-99",IF(E698&lt;300,"High 100-299","Premium 300+")))</x:f>
        <x:v>Medium 25-99</x:v>
      </x:c>
      <x:c r="Y698" t="n">
        <x:f>IF(C698="Active",1,0)</x:f>
        <x:v>1</x:v>
      </x:c>
    </x:row>
    <x:row r="699">
      <x:c r="A699" t="str">
        <x:v>SKU00698</x:v>
      </x:c>
      <x:c r="B699" t="str">
        <x:v>Sample Product 00698</x:v>
      </x:c>
      <x:c r="C699" t="str">
        <x:v>Blocked</x:v>
      </x:c>
      <x:c r="D699" t="str">
        <x:v>2026-01</x:v>
      </x:c>
      <x:c r="E699" s="12" t="n">
        <x:v>15.62</x:v>
      </x:c>
      <x:c r="F699" s="10" t="n">
        <x:v>0.383</x:v>
      </x:c>
      <x:c r="G699" t="str">
        <x:v>Medical Devices</x:v>
      </x:c>
      <x:c r="H699" t="str">
        <x:v>First Aid</x:v>
      </x:c>
      <x:c r="I699" t="str">
        <x:v>MFG014</x:v>
      </x:c>
      <x:c r="J699" t="str">
        <x:v>Manufacturer 014</x:v>
      </x:c>
      <x:c r="K699" t="str">
        <x:v>SUP016</x:v>
      </x:c>
      <x:c r="L699" t="str">
        <x:v>Supplier 016</x:v>
      </x:c>
      <x:c r="M699" t="str">
        <x:v>REG-755878</x:v>
      </x:c>
      <x:c r="N699" t="str">
        <x:v>Generic Ingredient 136</x:v>
      </x:c>
      <x:c r="O699" t="str">
        <x:v>General Sale</x:v>
      </x:c>
      <x:c r="P699" t="n">
        <x:v>28</x:v>
      </x:c>
      <x:c r="Q699" t="n">
        <x:v>18</x:v>
      </x:c>
      <x:c r="R699" t="n">
        <x:v>7</x:v>
      </x:c>
      <x:c r="S699" s="12" t="n">
        <x:f>E699*Q699</x:f>
        <x:v>281.15999999999997</x:v>
      </x:c>
      <x:c r="T699" s="12" t="n">
        <x:f>ROUND(S699*F699+0.000000001,2)</x:f>
        <x:v>107.68</x:v>
      </x:c>
      <x:c r="U699" s="12" t="n">
        <x:f>E699*R699</x:f>
        <x:v>109.33999999999999</x:v>
      </x:c>
      <x:c r="V699" t="str">
        <x:f>IF(AND(C699="Active",Q699=0),"Active Zero Sales","Not Zero Sales")</x:f>
        <x:v>Not Zero Sales</x:v>
      </x:c>
      <x:c r="W699" s="12" t="n">
        <x:f>IF(V699="Active Zero Sales",U699,0)</x:f>
        <x:v>0</x:v>
      </x:c>
      <x:c r="X699" t="str">
        <x:f>IF(E699&lt;25,"Low &lt; 25",IF(E699&lt;100,"Medium 25-99",IF(E699&lt;300,"High 100-299","Premium 300+")))</x:f>
        <x:v>Low &lt; 25</x:v>
      </x:c>
      <x:c r="Y699" t="n">
        <x:f>IF(C699="Active",1,0)</x:f>
        <x:v>0</x:v>
      </x:c>
    </x:row>
    <x:row r="700">
      <x:c r="A700" t="str">
        <x:v>SKU00699</x:v>
      </x:c>
      <x:c r="B700" t="str">
        <x:v>Sample Product 00699</x:v>
      </x:c>
      <x:c r="C700" t="str">
        <x:v>Active</x:v>
      </x:c>
      <x:c r="D700" t="str">
        <x:v>2026-02</x:v>
      </x:c>
      <x:c r="E700" s="12" t="n">
        <x:v>96.22</x:v>
      </x:c>
      <x:c r="F700" s="10" t="n">
        <x:v>0.426</x:v>
      </x:c>
      <x:c r="G700" t="str">
        <x:v>General Merchandise</x:v>
      </x:c>
      <x:c r="H700" t="str">
        <x:v>Travel Health</x:v>
      </x:c>
      <x:c r="I700" t="str">
        <x:v>MFG013</x:v>
      </x:c>
      <x:c r="J700" t="str">
        <x:v>Manufacturer 013</x:v>
      </x:c>
      <x:c r="K700" t="str">
        <x:v>SUP019</x:v>
      </x:c>
      <x:c r="L700" t="str">
        <x:v>Supplier 019</x:v>
      </x:c>
      <x:c r="M700" t="str">
        <x:v>REG-842530</x:v>
      </x:c>
      <x:c r="N700" t="str">
        <x:v>Generic Ingredient 009</x:v>
      </x:c>
      <x:c r="O700" t="str">
        <x:v>General Sale</x:v>
      </x:c>
      <x:c r="P700" t="n">
        <x:v>34</x:v>
      </x:c>
      <x:c r="Q700" t="n">
        <x:v>12</x:v>
      </x:c>
      <x:c r="R700" t="n">
        <x:v>25</x:v>
      </x:c>
      <x:c r="S700" s="12" t="n">
        <x:f>E700*Q700</x:f>
        <x:v>1154.6399999999999</x:v>
      </x:c>
      <x:c r="T700" s="12" t="n">
        <x:f>ROUND(S700*F700+0.000000001,2)</x:f>
        <x:v>491.88</x:v>
      </x:c>
      <x:c r="U700" s="12" t="n">
        <x:f>E700*R700</x:f>
        <x:v>2405.5</x:v>
      </x:c>
      <x:c r="V700" t="str">
        <x:f>IF(AND(C700="Active",Q700=0),"Active Zero Sales","Not Zero Sales")</x:f>
        <x:v>Not Zero Sales</x:v>
      </x:c>
      <x:c r="W700" s="12" t="n">
        <x:f>IF(V700="Active Zero Sales",U700,0)</x:f>
        <x:v>0</x:v>
      </x:c>
      <x:c r="X700" t="str">
        <x:f>IF(E700&lt;25,"Low &lt; 25",IF(E700&lt;100,"Medium 25-99",IF(E700&lt;300,"High 100-299","Premium 300+")))</x:f>
        <x:v>Medium 25-99</x:v>
      </x:c>
      <x:c r="Y700" t="n">
        <x:f>IF(C700="Active",1,0)</x:f>
        <x:v>1</x:v>
      </x:c>
    </x:row>
    <x:row r="701">
      <x:c r="A701" t="str">
        <x:v>SKU00700</x:v>
      </x:c>
      <x:c r="B701" t="str">
        <x:v>Sample Product 00700</x:v>
      </x:c>
      <x:c r="C701" t="str">
        <x:v>Active</x:v>
      </x:c>
      <x:c r="D701" t="str">
        <x:v>2026-04</x:v>
      </x:c>
      <x:c r="E701" s="12" t="n">
        <x:v>67.12</x:v>
      </x:c>
      <x:c r="F701" s="10" t="n">
        <x:v>0.4</x:v>
      </x:c>
      <x:c r="G701" t="str">
        <x:v>OTC &amp; Wellness</x:v>
      </x:c>
      <x:c r="H701" t="str">
        <x:v>Digestive Care</x:v>
      </x:c>
      <x:c r="I701" t="str">
        <x:v>MFG001</x:v>
      </x:c>
      <x:c r="J701" t="str">
        <x:v>Manufacturer 001</x:v>
      </x:c>
      <x:c r="K701" t="str">
        <x:v>SUP019</x:v>
      </x:c>
      <x:c r="L701" t="str">
        <x:v>Supplier 019</x:v>
      </x:c>
      <x:c r="M701" t="str">
        <x:v>REG-164637</x:v>
      </x:c>
      <x:c r="N701" t="str">
        <x:v>Generic Ingredient 018</x:v>
      </x:c>
      <x:c r="O701" t="str">
        <x:v>General Sale</x:v>
      </x:c>
      <x:c r="P701" t="n">
        <x:v>98</x:v>
      </x:c>
      <x:c r="Q701" t="n">
        <x:v>37</x:v>
      </x:c>
      <x:c r="R701" t="n">
        <x:v>14</x:v>
      </x:c>
      <x:c r="S701" s="12" t="n">
        <x:f>E701*Q701</x:f>
        <x:v>2483.44</x:v>
      </x:c>
      <x:c r="T701" s="12" t="n">
        <x:f>ROUND(S701*F701+0.000000001,2)</x:f>
        <x:v>993.38</x:v>
      </x:c>
      <x:c r="U701" s="12" t="n">
        <x:f>E701*R701</x:f>
        <x:v>939.6800000000001</x:v>
      </x:c>
      <x:c r="V701" t="str">
        <x:f>IF(AND(C701="Active",Q701=0),"Active Zero Sales","Not Zero Sales")</x:f>
        <x:v>Not Zero Sales</x:v>
      </x:c>
      <x:c r="W701" s="12" t="n">
        <x:f>IF(V701="Active Zero Sales",U701,0)</x:f>
        <x:v>0</x:v>
      </x:c>
      <x:c r="X701" t="str">
        <x:f>IF(E701&lt;25,"Low &lt; 25",IF(E701&lt;100,"Medium 25-99",IF(E701&lt;300,"High 100-299","Premium 300+")))</x:f>
        <x:v>Medium 25-99</x:v>
      </x:c>
      <x:c r="Y701" t="n">
        <x:f>IF(C701="Active",1,0)</x:f>
        <x:v>1</x:v>
      </x:c>
    </x:row>
    <x:row r="702">
      <x:c r="A702" t="str">
        <x:v>SKU00701</x:v>
      </x:c>
      <x:c r="B702" t="str">
        <x:v>Sample Product 00701</x:v>
      </x:c>
      <x:c r="C702" t="str">
        <x:v>Blocked</x:v>
      </x:c>
      <x:c r="D702" t="str">
        <x:v>2026-03</x:v>
      </x:c>
      <x:c r="E702" s="12" t="n">
        <x:v>290.47</x:v>
      </x:c>
      <x:c r="F702" s="10" t="n">
        <x:v>0.427</x:v>
      </x:c>
      <x:c r="G702" t="str">
        <x:v>General Merchandise</x:v>
      </x:c>
      <x:c r="H702" t="str">
        <x:v>Accessories</x:v>
      </x:c>
      <x:c r="I702" t="str">
        <x:v>MFG008</x:v>
      </x:c>
      <x:c r="J702" t="str">
        <x:v>Manufacturer 008</x:v>
      </x:c>
      <x:c r="K702" t="str">
        <x:v>SUP029</x:v>
      </x:c>
      <x:c r="L702" t="str">
        <x:v>Supplier 029</x:v>
      </x:c>
      <x:c r="M702" t="str">
        <x:v>REG-392597</x:v>
      </x:c>
      <x:c r="N702" t="str">
        <x:v>Generic Ingredient 148</x:v>
      </x:c>
      <x:c r="O702" t="str">
        <x:v>General Sale</x:v>
      </x:c>
      <x:c r="P702" t="n">
        <x:v>62</x:v>
      </x:c>
      <x:c r="Q702" t="n">
        <x:v>0</x:v>
      </x:c>
      <x:c r="R702" t="n">
        <x:v>15</x:v>
      </x:c>
      <x:c r="S702" s="12" t="n">
        <x:f>E702*Q702</x:f>
        <x:v>0</x:v>
      </x:c>
      <x:c r="T702" s="12" t="n">
        <x:f>ROUND(S702*F702+0.000000001,2)</x:f>
        <x:v>0</x:v>
      </x:c>
      <x:c r="U702" s="12" t="n">
        <x:f>E702*R702</x:f>
        <x:v>4357.05</x:v>
      </x:c>
      <x:c r="V702" t="str">
        <x:f>IF(AND(C702="Active",Q702=0),"Active Zero Sales","Not Zero Sales")</x:f>
        <x:v>Not Zero Sales</x:v>
      </x:c>
      <x:c r="W702" s="12" t="n">
        <x:f>IF(V702="Active Zero Sales",U702,0)</x:f>
        <x:v>0</x:v>
      </x:c>
      <x:c r="X702" t="str">
        <x:f>IF(E702&lt;25,"Low &lt; 25",IF(E702&lt;100,"Medium 25-99",IF(E702&lt;300,"High 100-299","Premium 300+")))</x:f>
        <x:v>High 100-299</x:v>
      </x:c>
      <x:c r="Y702" t="n">
        <x:f>IF(C702="Active",1,0)</x:f>
        <x:v>0</x:v>
      </x:c>
    </x:row>
    <x:row r="703">
      <x:c r="A703" t="str">
        <x:v>SKU00702</x:v>
      </x:c>
      <x:c r="B703" t="str">
        <x:v>Sample Product 00702</x:v>
      </x:c>
      <x:c r="C703" t="str">
        <x:v>Active</x:v>
      </x:c>
      <x:c r="D703" t="str">
        <x:v>2026-04</x:v>
      </x:c>
      <x:c r="E703" s="12" t="n">
        <x:v>267.15</x:v>
      </x:c>
      <x:c r="F703" s="10" t="n">
        <x:v>0.46</x:v>
      </x:c>
      <x:c r="G703" t="str">
        <x:v>Personal Care</x:v>
      </x:c>
      <x:c r="H703" t="str">
        <x:v>Oral Care</x:v>
      </x:c>
      <x:c r="I703" t="str">
        <x:v>MFG020</x:v>
      </x:c>
      <x:c r="J703" t="str">
        <x:v>Manufacturer 020</x:v>
      </x:c>
      <x:c r="K703" t="str">
        <x:v>SUP016</x:v>
      </x:c>
      <x:c r="L703" t="str">
        <x:v>Supplier 016</x:v>
      </x:c>
      <x:c r="M703" t="str">
        <x:v>REG-848987</x:v>
      </x:c>
      <x:c r="N703" t="str">
        <x:v>Generic Ingredient 143</x:v>
      </x:c>
      <x:c r="O703" t="str">
        <x:v>General Sale</x:v>
      </x:c>
      <x:c r="P703" t="n">
        <x:v>71</x:v>
      </x:c>
      <x:c r="Q703" t="n">
        <x:v>14</x:v>
      </x:c>
      <x:c r="R703" t="n">
        <x:v>7</x:v>
      </x:c>
      <x:c r="S703" s="12" t="n">
        <x:f>E703*Q703</x:f>
        <x:v>3740.0999999999995</x:v>
      </x:c>
      <x:c r="T703" s="12" t="n">
        <x:f>ROUND(S703*F703+0.000000001,2)</x:f>
        <x:v>1720.45</x:v>
      </x:c>
      <x:c r="U703" s="12" t="n">
        <x:f>E703*R703</x:f>
        <x:v>1870.0499999999997</x:v>
      </x:c>
      <x:c r="V703" t="str">
        <x:f>IF(AND(C703="Active",Q703=0),"Active Zero Sales","Not Zero Sales")</x:f>
        <x:v>Not Zero Sales</x:v>
      </x:c>
      <x:c r="W703" s="12" t="n">
        <x:f>IF(V703="Active Zero Sales",U703,0)</x:f>
        <x:v>0</x:v>
      </x:c>
      <x:c r="X703" t="str">
        <x:f>IF(E703&lt;25,"Low &lt; 25",IF(E703&lt;100,"Medium 25-99",IF(E703&lt;300,"High 100-299","Premium 300+")))</x:f>
        <x:v>High 100-299</x:v>
      </x:c>
      <x:c r="Y703" t="n">
        <x:f>IF(C703="Active",1,0)</x:f>
        <x:v>1</x:v>
      </x:c>
    </x:row>
    <x:row r="704">
      <x:c r="A704" t="str">
        <x:v>SKU00703</x:v>
      </x:c>
      <x:c r="B704" t="str">
        <x:v>Sample Product 00703</x:v>
      </x:c>
      <x:c r="C704" t="str">
        <x:v>Active</x:v>
      </x:c>
      <x:c r="D704" t="str">
        <x:v>2026-04</x:v>
      </x:c>
      <x:c r="E704" s="12" t="n">
        <x:v>99.29</x:v>
      </x:c>
      <x:c r="F704" s="10" t="n">
        <x:v>0.362</x:v>
      </x:c>
      <x:c r="G704" t="str">
        <x:v>General Merchandise</x:v>
      </x:c>
      <x:c r="H704" t="str">
        <x:v>Baby Essentials</x:v>
      </x:c>
      <x:c r="I704" t="str">
        <x:v>MFG005</x:v>
      </x:c>
      <x:c r="J704" t="str">
        <x:v>Manufacturer 005</x:v>
      </x:c>
      <x:c r="K704" t="str">
        <x:v>SUP020</x:v>
      </x:c>
      <x:c r="L704" t="str">
        <x:v>Supplier 020</x:v>
      </x:c>
      <x:c r="M704" t="str">
        <x:v>REG-842985</x:v>
      </x:c>
      <x:c r="N704" t="str">
        <x:v>Generic Ingredient 084</x:v>
      </x:c>
      <x:c r="O704" t="str">
        <x:v>General Sale</x:v>
      </x:c>
      <x:c r="P704" t="n">
        <x:v>67</x:v>
      </x:c>
      <x:c r="Q704" t="n">
        <x:v>0</x:v>
      </x:c>
      <x:c r="R704" t="n">
        <x:v>23</x:v>
      </x:c>
      <x:c r="S704" s="12" t="n">
        <x:f>E704*Q704</x:f>
        <x:v>0</x:v>
      </x:c>
      <x:c r="T704" s="12" t="n">
        <x:f>ROUND(S704*F704+0.000000001,2)</x:f>
        <x:v>0</x:v>
      </x:c>
      <x:c r="U704" s="12" t="n">
        <x:f>E704*R704</x:f>
        <x:v>2283.67</x:v>
      </x:c>
      <x:c r="V704" t="str">
        <x:f>IF(AND(C704="Active",Q704=0),"Active Zero Sales","Not Zero Sales")</x:f>
        <x:v>Active Zero Sales</x:v>
      </x:c>
      <x:c r="W704" s="12" t="n">
        <x:f>IF(V704="Active Zero Sales",U704,0)</x:f>
        <x:v>2283.67</x:v>
      </x:c>
      <x:c r="X704" t="str">
        <x:f>IF(E704&lt;25,"Low &lt; 25",IF(E704&lt;100,"Medium 25-99",IF(E704&lt;300,"High 100-299","Premium 300+")))</x:f>
        <x:v>Medium 25-99</x:v>
      </x:c>
      <x:c r="Y704" t="n">
        <x:f>IF(C704="Active",1,0)</x:f>
        <x:v>1</x:v>
      </x:c>
    </x:row>
    <x:row r="705">
      <x:c r="A705" t="str">
        <x:v>SKU00704</x:v>
      </x:c>
      <x:c r="B705" t="str">
        <x:v>Sample Product 00704</x:v>
      </x:c>
      <x:c r="C705" t="str">
        <x:v>Active</x:v>
      </x:c>
      <x:c r="D705" t="str">
        <x:v>2026-04</x:v>
      </x:c>
      <x:c r="E705" s="12" t="n">
        <x:v>163.32</x:v>
      </x:c>
      <x:c r="F705" s="10" t="n">
        <x:v>0.39</x:v>
      </x:c>
      <x:c r="G705" t="str">
        <x:v>Personal Care</x:v>
      </x:c>
      <x:c r="H705" t="str">
        <x:v>Hygiene</x:v>
      </x:c>
      <x:c r="I705" t="str">
        <x:v>MFG014</x:v>
      </x:c>
      <x:c r="J705" t="str">
        <x:v>Manufacturer 014</x:v>
      </x:c>
      <x:c r="K705" t="str">
        <x:v>SUP020</x:v>
      </x:c>
      <x:c r="L705" t="str">
        <x:v>Supplier 020</x:v>
      </x:c>
      <x:c r="M705" t="str">
        <x:v>REG-881808</x:v>
      </x:c>
      <x:c r="N705" t="str">
        <x:v>Generic Ingredient 041</x:v>
      </x:c>
      <x:c r="O705" t="str">
        <x:v>General Sale</x:v>
      </x:c>
      <x:c r="P705" t="n">
        <x:v>1</x:v>
      </x:c>
      <x:c r="Q705" t="n">
        <x:v>4</x:v>
      </x:c>
      <x:c r="R705" t="n">
        <x:v>0</x:v>
      </x:c>
      <x:c r="S705" s="12" t="n">
        <x:f>E705*Q705</x:f>
        <x:v>653.28</x:v>
      </x:c>
      <x:c r="T705" s="12" t="n">
        <x:f>ROUND(S705*F705+0.000000001,2)</x:f>
        <x:v>254.78</x:v>
      </x:c>
      <x:c r="U705" s="12" t="n">
        <x:f>E705*R705</x:f>
        <x:v>0</x:v>
      </x:c>
      <x:c r="V705" t="str">
        <x:f>IF(AND(C705="Active",Q705=0),"Active Zero Sales","Not Zero Sales")</x:f>
        <x:v>Not Zero Sales</x:v>
      </x:c>
      <x:c r="W705" s="12" t="n">
        <x:f>IF(V705="Active Zero Sales",U705,0)</x:f>
        <x:v>0</x:v>
      </x:c>
      <x:c r="X705" t="str">
        <x:f>IF(E705&lt;25,"Low &lt; 25",IF(E705&lt;100,"Medium 25-99",IF(E705&lt;300,"High 100-299","Premium 300+")))</x:f>
        <x:v>High 100-299</x:v>
      </x:c>
      <x:c r="Y705" t="n">
        <x:f>IF(C705="Active",1,0)</x:f>
        <x:v>1</x:v>
      </x:c>
    </x:row>
    <x:row r="706">
      <x:c r="A706" t="str">
        <x:v>SKU00705</x:v>
      </x:c>
      <x:c r="B706" t="str">
        <x:v>Sample Product 00705</x:v>
      </x:c>
      <x:c r="C706" t="str">
        <x:v>Active</x:v>
      </x:c>
      <x:c r="D706" t="str">
        <x:v>2026-04</x:v>
      </x:c>
      <x:c r="E706" s="12" t="n">
        <x:v>141.25</x:v>
      </x:c>
      <x:c r="F706" s="10" t="n">
        <x:v>0.409</x:v>
      </x:c>
      <x:c r="G706" t="str">
        <x:v>General Merchandise</x:v>
      </x:c>
      <x:c r="H706" t="str">
        <x:v>Accessories</x:v>
      </x:c>
      <x:c r="I706" t="str">
        <x:v>MFG002</x:v>
      </x:c>
      <x:c r="J706" t="str">
        <x:v>Manufacturer 002</x:v>
      </x:c>
      <x:c r="K706" t="str">
        <x:v>SUP003</x:v>
      </x:c>
      <x:c r="L706" t="str">
        <x:v>Supplier 003</x:v>
      </x:c>
      <x:c r="M706" t="str">
        <x:v>REG-938693</x:v>
      </x:c>
      <x:c r="N706" t="str">
        <x:v>Generic Ingredient 163</x:v>
      </x:c>
      <x:c r="O706" t="str">
        <x:v>General Sale</x:v>
      </x:c>
      <x:c r="P706" t="n">
        <x:v>78</x:v>
      </x:c>
      <x:c r="Q706" t="n">
        <x:v>11</x:v>
      </x:c>
      <x:c r="R706" t="n">
        <x:v>20</x:v>
      </x:c>
      <x:c r="S706" s="12" t="n">
        <x:f>E706*Q706</x:f>
        <x:v>1553.75</x:v>
      </x:c>
      <x:c r="T706" s="12" t="n">
        <x:f>ROUND(S706*F706+0.000000001,2)</x:f>
        <x:v>635.48</x:v>
      </x:c>
      <x:c r="U706" s="12" t="n">
        <x:f>E706*R706</x:f>
        <x:v>2825</x:v>
      </x:c>
      <x:c r="V706" t="str">
        <x:f>IF(AND(C706="Active",Q706=0),"Active Zero Sales","Not Zero Sales")</x:f>
        <x:v>Not Zero Sales</x:v>
      </x:c>
      <x:c r="W706" s="12" t="n">
        <x:f>IF(V706="Active Zero Sales",U706,0)</x:f>
        <x:v>0</x:v>
      </x:c>
      <x:c r="X706" t="str">
        <x:f>IF(E706&lt;25,"Low &lt; 25",IF(E706&lt;100,"Medium 25-99",IF(E706&lt;300,"High 100-299","Premium 300+")))</x:f>
        <x:v>High 100-299</x:v>
      </x:c>
      <x:c r="Y706" t="n">
        <x:f>IF(C706="Active",1,0)</x:f>
        <x:v>1</x:v>
      </x:c>
    </x:row>
    <x:row r="707">
      <x:c r="A707" t="str">
        <x:v>SKU00706</x:v>
      </x:c>
      <x:c r="B707" t="str">
        <x:v>Sample Product 00706</x:v>
      </x:c>
      <x:c r="C707" t="str">
        <x:v>Active</x:v>
      </x:c>
      <x:c r="D707" t="str">
        <x:v>2026-02</x:v>
      </x:c>
      <x:c r="E707" s="12" t="n">
        <x:v>24.06</x:v>
      </x:c>
      <x:c r="F707" s="10" t="n">
        <x:v>0.29</x:v>
      </x:c>
      <x:c r="G707" t="str">
        <x:v>Nutrition</x:v>
      </x:c>
      <x:c r="H707" t="str">
        <x:v>Hydration</x:v>
      </x:c>
      <x:c r="I707" t="str">
        <x:v>MFG014</x:v>
      </x:c>
      <x:c r="J707" t="str">
        <x:v>Manufacturer 014</x:v>
      </x:c>
      <x:c r="K707" t="str">
        <x:v>SUP024</x:v>
      </x:c>
      <x:c r="L707" t="str">
        <x:v>Supplier 024</x:v>
      </x:c>
      <x:c r="M707" t="str">
        <x:v>REG-532023</x:v>
      </x:c>
      <x:c r="N707" t="str">
        <x:v>Generic Ingredient 035</x:v>
      </x:c>
      <x:c r="O707" t="str">
        <x:v>General Sale</x:v>
      </x:c>
      <x:c r="P707" t="n">
        <x:v>43</x:v>
      </x:c>
      <x:c r="Q707" t="n">
        <x:v>12</x:v>
      </x:c>
      <x:c r="R707" t="n">
        <x:v>14</x:v>
      </x:c>
      <x:c r="S707" s="12" t="n">
        <x:f>E707*Q707</x:f>
        <x:v>288.71999999999997</x:v>
      </x:c>
      <x:c r="T707" s="12" t="n">
        <x:f>ROUND(S707*F707+0.000000001,2)</x:f>
        <x:v>83.73</x:v>
      </x:c>
      <x:c r="U707" s="12" t="n">
        <x:f>E707*R707</x:f>
        <x:v>336.84</x:v>
      </x:c>
      <x:c r="V707" t="str">
        <x:f>IF(AND(C707="Active",Q707=0),"Active Zero Sales","Not Zero Sales")</x:f>
        <x:v>Not Zero Sales</x:v>
      </x:c>
      <x:c r="W707" s="12" t="n">
        <x:f>IF(V707="Active Zero Sales",U707,0)</x:f>
        <x:v>0</x:v>
      </x:c>
      <x:c r="X707" t="str">
        <x:f>IF(E707&lt;25,"Low &lt; 25",IF(E707&lt;100,"Medium 25-99",IF(E707&lt;300,"High 100-299","Premium 300+")))</x:f>
        <x:v>Low &lt; 25</x:v>
      </x:c>
      <x:c r="Y707" t="n">
        <x:f>IF(C707="Active",1,0)</x:f>
        <x:v>1</x:v>
      </x:c>
    </x:row>
    <x:row r="708">
      <x:c r="A708" t="str">
        <x:v>SKU00707</x:v>
      </x:c>
      <x:c r="B708" t="str">
        <x:v>Sample Product 00707</x:v>
      </x:c>
      <x:c r="C708" t="str">
        <x:v>Active</x:v>
      </x:c>
      <x:c r="D708" t="str">
        <x:v>2026-02</x:v>
      </x:c>
      <x:c r="E708" s="12" t="n">
        <x:v>633.68</x:v>
      </x:c>
      <x:c r="F708" s="10" t="n">
        <x:v>0.297</x:v>
      </x:c>
      <x:c r="G708" t="str">
        <x:v>Medical Devices</x:v>
      </x:c>
      <x:c r="H708" t="str">
        <x:v>Home Diagnostics</x:v>
      </x:c>
      <x:c r="I708" t="str">
        <x:v>MFG008</x:v>
      </x:c>
      <x:c r="J708" t="str">
        <x:v>Manufacturer 008</x:v>
      </x:c>
      <x:c r="K708" t="str">
        <x:v>SUP003</x:v>
      </x:c>
      <x:c r="L708" t="str">
        <x:v>Supplier 003</x:v>
      </x:c>
      <x:c r="M708" t="str">
        <x:v>REG-411083</x:v>
      </x:c>
      <x:c r="N708" t="str">
        <x:v>Generic Ingredient 079</x:v>
      </x:c>
      <x:c r="O708" t="str">
        <x:v>Pharmacy Only</x:v>
      </x:c>
      <x:c r="P708" t="n">
        <x:v>23</x:v>
      </x:c>
      <x:c r="Q708" t="n">
        <x:v>13</x:v>
      </x:c>
      <x:c r="R708" t="n">
        <x:v>20</x:v>
      </x:c>
      <x:c r="S708" s="12" t="n">
        <x:f>E708*Q708</x:f>
        <x:v>8237.84</x:v>
      </x:c>
      <x:c r="T708" s="12" t="n">
        <x:f>ROUND(S708*F708+0.000000001,2)</x:f>
        <x:v>2446.64</x:v>
      </x:c>
      <x:c r="U708" s="12" t="n">
        <x:f>E708*R708</x:f>
        <x:v>12673.599999999999</x:v>
      </x:c>
      <x:c r="V708" t="str">
        <x:f>IF(AND(C708="Active",Q708=0),"Active Zero Sales","Not Zero Sales")</x:f>
        <x:v>Not Zero Sales</x:v>
      </x:c>
      <x:c r="W708" s="12" t="n">
        <x:f>IF(V708="Active Zero Sales",U708,0)</x:f>
        <x:v>0</x:v>
      </x:c>
      <x:c r="X708" t="str">
        <x:f>IF(E708&lt;25,"Low &lt; 25",IF(E708&lt;100,"Medium 25-99",IF(E708&lt;300,"High 100-299","Premium 300+")))</x:f>
        <x:v>Premium 300+</x:v>
      </x:c>
      <x:c r="Y708" t="n">
        <x:f>IF(C708="Active",1,0)</x:f>
        <x:v>1</x:v>
      </x:c>
    </x:row>
    <x:row r="709">
      <x:c r="A709" t="str">
        <x:v>SKU00708</x:v>
      </x:c>
      <x:c r="B709" t="str">
        <x:v>Sample Product 00708</x:v>
      </x:c>
      <x:c r="C709" t="str">
        <x:v>Active</x:v>
      </x:c>
      <x:c r="D709" t="str">
        <x:v>2026-05</x:v>
      </x:c>
      <x:c r="E709" s="12" t="n">
        <x:v>72.84</x:v>
      </x:c>
      <x:c r="F709" s="10" t="n">
        <x:v>0.291</x:v>
      </x:c>
      <x:c r="G709" t="str">
        <x:v>Personal Care</x:v>
      </x:c>
      <x:c r="H709" t="str">
        <x:v>Oral Care</x:v>
      </x:c>
      <x:c r="I709" t="str">
        <x:v>MFG010</x:v>
      </x:c>
      <x:c r="J709" t="str">
        <x:v>Manufacturer 010</x:v>
      </x:c>
      <x:c r="K709" t="str">
        <x:v>SUP022</x:v>
      </x:c>
      <x:c r="L709" t="str">
        <x:v>Supplier 022</x:v>
      </x:c>
      <x:c r="M709" t="str">
        <x:v>REG-670774</x:v>
      </x:c>
      <x:c r="N709" t="str">
        <x:v>Generic Ingredient 024</x:v>
      </x:c>
      <x:c r="O709" t="str">
        <x:v>General Sale</x:v>
      </x:c>
      <x:c r="P709" t="n">
        <x:v>64</x:v>
      </x:c>
      <x:c r="Q709" t="n">
        <x:v>30</x:v>
      </x:c>
      <x:c r="R709" t="n">
        <x:v>5</x:v>
      </x:c>
      <x:c r="S709" s="12" t="n">
        <x:f>E709*Q709</x:f>
        <x:v>2185.2000000000003</x:v>
      </x:c>
      <x:c r="T709" s="12" t="n">
        <x:f>ROUND(S709*F709+0.000000001,2)</x:f>
        <x:v>635.89</x:v>
      </x:c>
      <x:c r="U709" s="12" t="n">
        <x:f>E709*R709</x:f>
        <x:v>364.20000000000005</x:v>
      </x:c>
      <x:c r="V709" t="str">
        <x:f>IF(AND(C709="Active",Q709=0),"Active Zero Sales","Not Zero Sales")</x:f>
        <x:v>Not Zero Sales</x:v>
      </x:c>
      <x:c r="W709" s="12" t="n">
        <x:f>IF(V709="Active Zero Sales",U709,0)</x:f>
        <x:v>0</x:v>
      </x:c>
      <x:c r="X709" t="str">
        <x:f>IF(E709&lt;25,"Low &lt; 25",IF(E709&lt;100,"Medium 25-99",IF(E709&lt;300,"High 100-299","Premium 300+")))</x:f>
        <x:v>Medium 25-99</x:v>
      </x:c>
      <x:c r="Y709" t="n">
        <x:f>IF(C709="Active",1,0)</x:f>
        <x:v>1</x:v>
      </x:c>
    </x:row>
    <x:row r="710">
      <x:c r="A710" t="str">
        <x:v>SKU00709</x:v>
      </x:c>
      <x:c r="B710" t="str">
        <x:v>Sample Product 00709</x:v>
      </x:c>
      <x:c r="C710" t="str">
        <x:v>Active</x:v>
      </x:c>
      <x:c r="D710" t="str">
        <x:v>2026-01</x:v>
      </x:c>
      <x:c r="E710" s="12" t="n">
        <x:v>64.5</x:v>
      </x:c>
      <x:c r="F710" s="10" t="n">
        <x:v>0.339</x:v>
      </x:c>
      <x:c r="G710" t="str">
        <x:v>General Merchandise</x:v>
      </x:c>
      <x:c r="H710" t="str">
        <x:v>Travel Health</x:v>
      </x:c>
      <x:c r="I710" t="str">
        <x:v>MFG009</x:v>
      </x:c>
      <x:c r="J710" t="str">
        <x:v>Manufacturer 009</x:v>
      </x:c>
      <x:c r="K710" t="str">
        <x:v>SUP019</x:v>
      </x:c>
      <x:c r="L710" t="str">
        <x:v>Supplier 019</x:v>
      </x:c>
      <x:c r="M710" t="str">
        <x:v>REG-783305</x:v>
      </x:c>
      <x:c r="N710" t="str">
        <x:v>Generic Ingredient 125</x:v>
      </x:c>
      <x:c r="O710" t="str">
        <x:v>General Sale</x:v>
      </x:c>
      <x:c r="P710" t="n">
        <x:v>53</x:v>
      </x:c>
      <x:c r="Q710" t="n">
        <x:v>11</x:v>
      </x:c>
      <x:c r="R710" t="n">
        <x:v>24</x:v>
      </x:c>
      <x:c r="S710" s="12" t="n">
        <x:f>E710*Q710</x:f>
        <x:v>709.5</x:v>
      </x:c>
      <x:c r="T710" s="12" t="n">
        <x:f>ROUND(S710*F710+0.000000001,2)</x:f>
        <x:v>240.52</x:v>
      </x:c>
      <x:c r="U710" s="12" t="n">
        <x:f>E710*R710</x:f>
        <x:v>1548</x:v>
      </x:c>
      <x:c r="V710" t="str">
        <x:f>IF(AND(C710="Active",Q710=0),"Active Zero Sales","Not Zero Sales")</x:f>
        <x:v>Not Zero Sales</x:v>
      </x:c>
      <x:c r="W710" s="12" t="n">
        <x:f>IF(V710="Active Zero Sales",U710,0)</x:f>
        <x:v>0</x:v>
      </x:c>
      <x:c r="X710" t="str">
        <x:f>IF(E710&lt;25,"Low &lt; 25",IF(E710&lt;100,"Medium 25-99",IF(E710&lt;300,"High 100-299","Premium 300+")))</x:f>
        <x:v>Medium 25-99</x:v>
      </x:c>
      <x:c r="Y710" t="n">
        <x:f>IF(C710="Active",1,0)</x:f>
        <x:v>1</x:v>
      </x:c>
    </x:row>
    <x:row r="711">
      <x:c r="A711" t="str">
        <x:v>SKU00710</x:v>
      </x:c>
      <x:c r="B711" t="str">
        <x:v>Sample Product 00710</x:v>
      </x:c>
      <x:c r="C711" t="str">
        <x:v>Active</x:v>
      </x:c>
      <x:c r="D711" t="str">
        <x:v>2026-02</x:v>
      </x:c>
      <x:c r="E711" s="12" t="n">
        <x:v>87.64</x:v>
      </x:c>
      <x:c r="F711" s="10" t="n">
        <x:v>0.342</x:v>
      </x:c>
      <x:c r="G711" t="str">
        <x:v>General Merchandise</x:v>
      </x:c>
      <x:c r="H711" t="str">
        <x:v>Accessories</x:v>
      </x:c>
      <x:c r="I711" t="str">
        <x:v>MFG007</x:v>
      </x:c>
      <x:c r="J711" t="str">
        <x:v>Manufacturer 007</x:v>
      </x:c>
      <x:c r="K711" t="str">
        <x:v>SUP004</x:v>
      </x:c>
      <x:c r="L711" t="str">
        <x:v>Supplier 004</x:v>
      </x:c>
      <x:c r="M711" t="str">
        <x:v>REG-259049</x:v>
      </x:c>
      <x:c r="N711" t="str">
        <x:v>Generic Ingredient 063</x:v>
      </x:c>
      <x:c r="O711" t="str">
        <x:v>General Sale</x:v>
      </x:c>
      <x:c r="P711" t="n">
        <x:v>36</x:v>
      </x:c>
      <x:c r="Q711" t="n">
        <x:v>23</x:v>
      </x:c>
      <x:c r="R711" t="n">
        <x:v>17</x:v>
      </x:c>
      <x:c r="S711" s="12" t="n">
        <x:f>E711*Q711</x:f>
        <x:v>2015.72</x:v>
      </x:c>
      <x:c r="T711" s="12" t="n">
        <x:f>ROUND(S711*F711+0.000000001,2)</x:f>
        <x:v>689.38</x:v>
      </x:c>
      <x:c r="U711" s="12" t="n">
        <x:f>E711*R711</x:f>
        <x:v>1489.88</x:v>
      </x:c>
      <x:c r="V711" t="str">
        <x:f>IF(AND(C711="Active",Q711=0),"Active Zero Sales","Not Zero Sales")</x:f>
        <x:v>Not Zero Sales</x:v>
      </x:c>
      <x:c r="W711" s="12" t="n">
        <x:f>IF(V711="Active Zero Sales",U711,0)</x:f>
        <x:v>0</x:v>
      </x:c>
      <x:c r="X711" t="str">
        <x:f>IF(E711&lt;25,"Low &lt; 25",IF(E711&lt;100,"Medium 25-99",IF(E711&lt;300,"High 100-299","Premium 300+")))</x:f>
        <x:v>Medium 25-99</x:v>
      </x:c>
      <x:c r="Y711" t="n">
        <x:f>IF(C711="Active",1,0)</x:f>
        <x:v>1</x:v>
      </x:c>
    </x:row>
    <x:row r="712">
      <x:c r="A712" t="str">
        <x:v>SKU00711</x:v>
      </x:c>
      <x:c r="B712" t="str">
        <x:v>Sample Product 00711</x:v>
      </x:c>
      <x:c r="C712" t="str">
        <x:v>Active</x:v>
      </x:c>
      <x:c r="D712" t="str">
        <x:v>2026-04</x:v>
      </x:c>
      <x:c r="E712" s="12" t="n">
        <x:v>41.72</x:v>
      </x:c>
      <x:c r="F712" s="10" t="n">
        <x:v>0.369</x:v>
      </x:c>
      <x:c r="G712" t="str">
        <x:v>OTC &amp; Wellness</x:v>
      </x:c>
      <x:c r="H712" t="str">
        <x:v>Vitamins</x:v>
      </x:c>
      <x:c r="I712" t="str">
        <x:v>MFG010</x:v>
      </x:c>
      <x:c r="J712" t="str">
        <x:v>Manufacturer 010</x:v>
      </x:c>
      <x:c r="K712" t="str">
        <x:v>SUP025</x:v>
      </x:c>
      <x:c r="L712" t="str">
        <x:v>Supplier 025</x:v>
      </x:c>
      <x:c r="M712" t="str">
        <x:v>REG-250718</x:v>
      </x:c>
      <x:c r="N712" t="str">
        <x:v>Generic Ingredient 113</x:v>
      </x:c>
      <x:c r="O712" t="str">
        <x:v>Pharmacy Only</x:v>
      </x:c>
      <x:c r="P712" t="n">
        <x:v>60</x:v>
      </x:c>
      <x:c r="Q712" t="n">
        <x:v>45</x:v>
      </x:c>
      <x:c r="R712" t="n">
        <x:v>9</x:v>
      </x:c>
      <x:c r="S712" s="12" t="n">
        <x:f>E712*Q712</x:f>
        <x:v>1877.3999999999999</x:v>
      </x:c>
      <x:c r="T712" s="12" t="n">
        <x:f>ROUND(S712*F712+0.000000001,2)</x:f>
        <x:v>692.76</x:v>
      </x:c>
      <x:c r="U712" s="12" t="n">
        <x:f>E712*R712</x:f>
        <x:v>375.48</x:v>
      </x:c>
      <x:c r="V712" t="str">
        <x:f>IF(AND(C712="Active",Q712=0),"Active Zero Sales","Not Zero Sales")</x:f>
        <x:v>Not Zero Sales</x:v>
      </x:c>
      <x:c r="W712" s="12" t="n">
        <x:f>IF(V712="Active Zero Sales",U712,0)</x:f>
        <x:v>0</x:v>
      </x:c>
      <x:c r="X712" t="str">
        <x:f>IF(E712&lt;25,"Low &lt; 25",IF(E712&lt;100,"Medium 25-99",IF(E712&lt;300,"High 100-299","Premium 300+")))</x:f>
        <x:v>Medium 25-99</x:v>
      </x:c>
      <x:c r="Y712" t="n">
        <x:f>IF(C712="Active",1,0)</x:f>
        <x:v>1</x:v>
      </x:c>
    </x:row>
    <x:row r="713">
      <x:c r="A713" t="str">
        <x:v>SKU00712</x:v>
      </x:c>
      <x:c r="B713" t="str">
        <x:v>Sample Product 00712</x:v>
      </x:c>
      <x:c r="C713" t="str">
        <x:v>Active</x:v>
      </x:c>
      <x:c r="D713" t="str">
        <x:v>2026-04</x:v>
      </x:c>
      <x:c r="E713" s="12" t="n">
        <x:v>48.24</x:v>
      </x:c>
      <x:c r="F713" s="10" t="n">
        <x:v>0.408</x:v>
      </x:c>
      <x:c r="G713" t="str">
        <x:v>OTC &amp; Wellness</x:v>
      </x:c>
      <x:c r="H713" t="str">
        <x:v>Digestive Care</x:v>
      </x:c>
      <x:c r="I713" t="str">
        <x:v>MFG013</x:v>
      </x:c>
      <x:c r="J713" t="str">
        <x:v>Manufacturer 013</x:v>
      </x:c>
      <x:c r="K713" t="str">
        <x:v>SUP019</x:v>
      </x:c>
      <x:c r="L713" t="str">
        <x:v>Supplier 019</x:v>
      </x:c>
      <x:c r="M713" t="str">
        <x:v>REG-658816</x:v>
      </x:c>
      <x:c r="N713" t="str">
        <x:v>Generic Ingredient 088</x:v>
      </x:c>
      <x:c r="O713" t="str">
        <x:v>General Sale</x:v>
      </x:c>
      <x:c r="P713" t="n">
        <x:v>73</x:v>
      </x:c>
      <x:c r="Q713" t="n">
        <x:v>31</x:v>
      </x:c>
      <x:c r="R713" t="n">
        <x:v>11</x:v>
      </x:c>
      <x:c r="S713" s="12" t="n">
        <x:f>E713*Q713</x:f>
        <x:v>1495.44</x:v>
      </x:c>
      <x:c r="T713" s="12" t="n">
        <x:f>ROUND(S713*F713+0.000000001,2)</x:f>
        <x:v>610.14</x:v>
      </x:c>
      <x:c r="U713" s="12" t="n">
        <x:f>E713*R713</x:f>
        <x:v>530.64</x:v>
      </x:c>
      <x:c r="V713" t="str">
        <x:f>IF(AND(C713="Active",Q713=0),"Active Zero Sales","Not Zero Sales")</x:f>
        <x:v>Not Zero Sales</x:v>
      </x:c>
      <x:c r="W713" s="12" t="n">
        <x:f>IF(V713="Active Zero Sales",U713,0)</x:f>
        <x:v>0</x:v>
      </x:c>
      <x:c r="X713" t="str">
        <x:f>IF(E713&lt;25,"Low &lt; 25",IF(E713&lt;100,"Medium 25-99",IF(E713&lt;300,"High 100-299","Premium 300+")))</x:f>
        <x:v>Medium 25-99</x:v>
      </x:c>
      <x:c r="Y713" t="n">
        <x:f>IF(C713="Active",1,0)</x:f>
        <x:v>1</x:v>
      </x:c>
    </x:row>
    <x:row r="714">
      <x:c r="A714" t="str">
        <x:v>SKU00713</x:v>
      </x:c>
      <x:c r="B714" t="str">
        <x:v>Sample Product 00713</x:v>
      </x:c>
      <x:c r="C714" t="str">
        <x:v>Active</x:v>
      </x:c>
      <x:c r="D714" t="str">
        <x:v>2026-05</x:v>
      </x:c>
      <x:c r="E714" s="12" t="n">
        <x:v>24.27</x:v>
      </x:c>
      <x:c r="F714" s="10" t="n">
        <x:v>0.311</x:v>
      </x:c>
      <x:c r="G714" t="str">
        <x:v>Nutrition</x:v>
      </x:c>
      <x:c r="H714" t="str">
        <x:v>Adult Nutrition</x:v>
      </x:c>
      <x:c r="I714" t="str">
        <x:v>MFG011</x:v>
      </x:c>
      <x:c r="J714" t="str">
        <x:v>Manufacturer 011</x:v>
      </x:c>
      <x:c r="K714" t="str">
        <x:v>SUP013</x:v>
      </x:c>
      <x:c r="L714" t="str">
        <x:v>Supplier 013</x:v>
      </x:c>
      <x:c r="M714" t="str">
        <x:v>REG-426561</x:v>
      </x:c>
      <x:c r="N714" t="str">
        <x:v>Generic Ingredient 065</x:v>
      </x:c>
      <x:c r="O714" t="str">
        <x:v>General Sale</x:v>
      </x:c>
      <x:c r="P714" t="n">
        <x:v>96</x:v>
      </x:c>
      <x:c r="Q714" t="n">
        <x:v>24</x:v>
      </x:c>
      <x:c r="R714" t="n">
        <x:v>24</x:v>
      </x:c>
      <x:c r="S714" s="12" t="n">
        <x:f>E714*Q714</x:f>
        <x:v>582.48</x:v>
      </x:c>
      <x:c r="T714" s="12" t="n">
        <x:f>ROUND(S714*F714+0.000000001,2)</x:f>
        <x:v>181.15</x:v>
      </x:c>
      <x:c r="U714" s="12" t="n">
        <x:f>E714*R714</x:f>
        <x:v>582.48</x:v>
      </x:c>
      <x:c r="V714" t="str">
        <x:f>IF(AND(C714="Active",Q714=0),"Active Zero Sales","Not Zero Sales")</x:f>
        <x:v>Not Zero Sales</x:v>
      </x:c>
      <x:c r="W714" s="12" t="n">
        <x:f>IF(V714="Active Zero Sales",U714,0)</x:f>
        <x:v>0</x:v>
      </x:c>
      <x:c r="X714" t="str">
        <x:f>IF(E714&lt;25,"Low &lt; 25",IF(E714&lt;100,"Medium 25-99",IF(E714&lt;300,"High 100-299","Premium 300+")))</x:f>
        <x:v>Low &lt; 25</x:v>
      </x:c>
      <x:c r="Y714" t="n">
        <x:f>IF(C714="Active",1,0)</x:f>
        <x:v>1</x:v>
      </x:c>
    </x:row>
    <x:row r="715">
      <x:c r="A715" t="str">
        <x:v>SKU00714</x:v>
      </x:c>
      <x:c r="B715" t="str">
        <x:v>Sample Product 00714</x:v>
      </x:c>
      <x:c r="C715" t="str">
        <x:v>Active</x:v>
      </x:c>
      <x:c r="D715" t="str">
        <x:v>2026-05</x:v>
      </x:c>
      <x:c r="E715" s="12" t="n">
        <x:v>19.58</x:v>
      </x:c>
      <x:c r="F715" s="10" t="n">
        <x:v>0.418</x:v>
      </x:c>
      <x:c r="G715" t="str">
        <x:v>Personal Care</x:v>
      </x:c>
      <x:c r="H715" t="str">
        <x:v>Skin Care</x:v>
      </x:c>
      <x:c r="I715" t="str">
        <x:v>MFG014</x:v>
      </x:c>
      <x:c r="J715" t="str">
        <x:v>Manufacturer 014</x:v>
      </x:c>
      <x:c r="K715" t="str">
        <x:v>SUP009</x:v>
      </x:c>
      <x:c r="L715" t="str">
        <x:v>Supplier 009</x:v>
      </x:c>
      <x:c r="M715" t="str">
        <x:v>REG-594221</x:v>
      </x:c>
      <x:c r="N715" t="str">
        <x:v>Generic Ingredient 052</x:v>
      </x:c>
      <x:c r="O715" t="str">
        <x:v>General Sale</x:v>
      </x:c>
      <x:c r="P715" t="n">
        <x:v>38</x:v>
      </x:c>
      <x:c r="Q715" t="n">
        <x:v>0</x:v>
      </x:c>
      <x:c r="R715" t="n">
        <x:v>45</x:v>
      </x:c>
      <x:c r="S715" s="12" t="n">
        <x:f>E715*Q715</x:f>
        <x:v>0</x:v>
      </x:c>
      <x:c r="T715" s="12" t="n">
        <x:f>ROUND(S715*F715+0.000000001,2)</x:f>
        <x:v>0</x:v>
      </x:c>
      <x:c r="U715" s="12" t="n">
        <x:f>E715*R715</x:f>
        <x:v>881.0999999999999</x:v>
      </x:c>
      <x:c r="V715" t="str">
        <x:f>IF(AND(C715="Active",Q715=0),"Active Zero Sales","Not Zero Sales")</x:f>
        <x:v>Active Zero Sales</x:v>
      </x:c>
      <x:c r="W715" s="12" t="n">
        <x:f>IF(V715="Active Zero Sales",U715,0)</x:f>
        <x:v>881.0999999999999</x:v>
      </x:c>
      <x:c r="X715" t="str">
        <x:f>IF(E715&lt;25,"Low &lt; 25",IF(E715&lt;100,"Medium 25-99",IF(E715&lt;300,"High 100-299","Premium 300+")))</x:f>
        <x:v>Low &lt; 25</x:v>
      </x:c>
      <x:c r="Y715" t="n">
        <x:f>IF(C715="Active",1,0)</x:f>
        <x:v>1</x:v>
      </x:c>
    </x:row>
    <x:row r="716">
      <x:c r="A716" t="str">
        <x:v>SKU00715</x:v>
      </x:c>
      <x:c r="B716" t="str">
        <x:v>Sample Product 00715</x:v>
      </x:c>
      <x:c r="C716" t="str">
        <x:v>Active</x:v>
      </x:c>
      <x:c r="D716" t="str">
        <x:v>2026-05</x:v>
      </x:c>
      <x:c r="E716" s="12" t="n">
        <x:v>41.38</x:v>
      </x:c>
      <x:c r="F716" s="10" t="n">
        <x:v>0.288</x:v>
      </x:c>
      <x:c r="G716" t="str">
        <x:v>OTC &amp; Wellness</x:v>
      </x:c>
      <x:c r="H716" t="str">
        <x:v>Vitamins</x:v>
      </x:c>
      <x:c r="I716" t="str">
        <x:v>MFG019</x:v>
      </x:c>
      <x:c r="J716" t="str">
        <x:v>Manufacturer 019</x:v>
      </x:c>
      <x:c r="K716" t="str">
        <x:v>SUP013</x:v>
      </x:c>
      <x:c r="L716" t="str">
        <x:v>Supplier 013</x:v>
      </x:c>
      <x:c r="M716" t="str">
        <x:v>REG-547471</x:v>
      </x:c>
      <x:c r="N716" t="str">
        <x:v>Generic Ingredient 090</x:v>
      </x:c>
      <x:c r="O716" t="str">
        <x:v>Pharmacy Only</x:v>
      </x:c>
      <x:c r="P716" t="n">
        <x:v>80</x:v>
      </x:c>
      <x:c r="Q716" t="n">
        <x:v>53</x:v>
      </x:c>
      <x:c r="R716" t="n">
        <x:v>31</x:v>
      </x:c>
      <x:c r="S716" s="12" t="n">
        <x:f>E716*Q716</x:f>
        <x:v>2193.1400000000003</x:v>
      </x:c>
      <x:c r="T716" s="12" t="n">
        <x:f>ROUND(S716*F716+0.000000001,2)</x:f>
        <x:v>631.62</x:v>
      </x:c>
      <x:c r="U716" s="12" t="n">
        <x:f>E716*R716</x:f>
        <x:v>1282.78</x:v>
      </x:c>
      <x:c r="V716" t="str">
        <x:f>IF(AND(C716="Active",Q716=0),"Active Zero Sales","Not Zero Sales")</x:f>
        <x:v>Not Zero Sales</x:v>
      </x:c>
      <x:c r="W716" s="12" t="n">
        <x:f>IF(V716="Active Zero Sales",U716,0)</x:f>
        <x:v>0</x:v>
      </x:c>
      <x:c r="X716" t="str">
        <x:f>IF(E716&lt;25,"Low &lt; 25",IF(E716&lt;100,"Medium 25-99",IF(E716&lt;300,"High 100-299","Premium 300+")))</x:f>
        <x:v>Medium 25-99</x:v>
      </x:c>
      <x:c r="Y716" t="n">
        <x:f>IF(C716="Active",1,0)</x:f>
        <x:v>1</x:v>
      </x:c>
    </x:row>
    <x:row r="717">
      <x:c r="A717" t="str">
        <x:v>SKU00716</x:v>
      </x:c>
      <x:c r="B717" t="str">
        <x:v>Sample Product 00716</x:v>
      </x:c>
      <x:c r="C717" t="str">
        <x:v>Active</x:v>
      </x:c>
      <x:c r="D717" t="str">
        <x:v>2026-02</x:v>
      </x:c>
      <x:c r="E717" s="12" t="n">
        <x:v>32.3</x:v>
      </x:c>
      <x:c r="F717" s="10" t="n">
        <x:v>0.401</x:v>
      </x:c>
      <x:c r="G717" t="str">
        <x:v>General Merchandise</x:v>
      </x:c>
      <x:c r="H717" t="str">
        <x:v>Baby Essentials</x:v>
      </x:c>
      <x:c r="I717" t="str">
        <x:v>MFG006</x:v>
      </x:c>
      <x:c r="J717" t="str">
        <x:v>Manufacturer 006</x:v>
      </x:c>
      <x:c r="K717" t="str">
        <x:v>SUP023</x:v>
      </x:c>
      <x:c r="L717" t="str">
        <x:v>Supplier 023</x:v>
      </x:c>
      <x:c r="M717" t="str">
        <x:v>REG-885324</x:v>
      </x:c>
      <x:c r="N717" t="str">
        <x:v>Generic Ingredient 098</x:v>
      </x:c>
      <x:c r="O717" t="str">
        <x:v>Restricted Sale</x:v>
      </x:c>
      <x:c r="P717" t="n">
        <x:v>80</x:v>
      </x:c>
      <x:c r="Q717" t="n">
        <x:v>38</x:v>
      </x:c>
      <x:c r="R717" t="n">
        <x:v>0</x:v>
      </x:c>
      <x:c r="S717" s="12" t="n">
        <x:f>E717*Q717</x:f>
        <x:v>1227.3999999999999</x:v>
      </x:c>
      <x:c r="T717" s="12" t="n">
        <x:f>ROUND(S717*F717+0.000000001,2)</x:f>
        <x:v>492.19</x:v>
      </x:c>
      <x:c r="U717" s="12" t="n">
        <x:f>E717*R717</x:f>
        <x:v>0</x:v>
      </x:c>
      <x:c r="V717" t="str">
        <x:f>IF(AND(C717="Active",Q717=0),"Active Zero Sales","Not Zero Sales")</x:f>
        <x:v>Not Zero Sales</x:v>
      </x:c>
      <x:c r="W717" s="12" t="n">
        <x:f>IF(V717="Active Zero Sales",U717,0)</x:f>
        <x:v>0</x:v>
      </x:c>
      <x:c r="X717" t="str">
        <x:f>IF(E717&lt;25,"Low &lt; 25",IF(E717&lt;100,"Medium 25-99",IF(E717&lt;300,"High 100-299","Premium 300+")))</x:f>
        <x:v>Medium 25-99</x:v>
      </x:c>
      <x:c r="Y717" t="n">
        <x:f>IF(C717="Active",1,0)</x:f>
        <x:v>1</x:v>
      </x:c>
    </x:row>
    <x:row r="718">
      <x:c r="A718" t="str">
        <x:v>SKU00717</x:v>
      </x:c>
      <x:c r="B718" t="str">
        <x:v>Sample Product 00717</x:v>
      </x:c>
      <x:c r="C718" t="str">
        <x:v>Active</x:v>
      </x:c>
      <x:c r="D718" t="str">
        <x:v>2026-01</x:v>
      </x:c>
      <x:c r="E718" s="12" t="n">
        <x:v>22.35</x:v>
      </x:c>
      <x:c r="F718" s="10" t="n">
        <x:v>0.231</x:v>
      </x:c>
      <x:c r="G718" t="str">
        <x:v>Medical Devices</x:v>
      </x:c>
      <x:c r="H718" t="str">
        <x:v>Monitoring Supplies</x:v>
      </x:c>
      <x:c r="I718" t="str">
        <x:v>MFG007</x:v>
      </x:c>
      <x:c r="J718" t="str">
        <x:v>Manufacturer 007</x:v>
      </x:c>
      <x:c r="K718" t="str">
        <x:v>SUP013</x:v>
      </x:c>
      <x:c r="L718" t="str">
        <x:v>Supplier 013</x:v>
      </x:c>
      <x:c r="M718" t="str">
        <x:v>REG-140188</x:v>
      </x:c>
      <x:c r="N718" t="str">
        <x:v>Generic Ingredient 131</x:v>
      </x:c>
      <x:c r="O718" t="str">
        <x:v>Pharmacy Only</x:v>
      </x:c>
      <x:c r="P718" t="n">
        <x:v>186</x:v>
      </x:c>
      <x:c r="Q718" t="n">
        <x:v>120</x:v>
      </x:c>
      <x:c r="R718" t="n">
        <x:v>37</x:v>
      </x:c>
      <x:c r="S718" s="12" t="n">
        <x:f>E718*Q718</x:f>
        <x:v>2682</x:v>
      </x:c>
      <x:c r="T718" s="12" t="n">
        <x:f>ROUND(S718*F718+0.000000001,2)</x:f>
        <x:v>619.54</x:v>
      </x:c>
      <x:c r="U718" s="12" t="n">
        <x:f>E718*R718</x:f>
        <x:v>826.95</x:v>
      </x:c>
      <x:c r="V718" t="str">
        <x:f>IF(AND(C718="Active",Q718=0),"Active Zero Sales","Not Zero Sales")</x:f>
        <x:v>Not Zero Sales</x:v>
      </x:c>
      <x:c r="W718" s="12" t="n">
        <x:f>IF(V718="Active Zero Sales",U718,0)</x:f>
        <x:v>0</x:v>
      </x:c>
      <x:c r="X718" t="str">
        <x:f>IF(E718&lt;25,"Low &lt; 25",IF(E718&lt;100,"Medium 25-99",IF(E718&lt;300,"High 100-299","Premium 300+")))</x:f>
        <x:v>Low &lt; 25</x:v>
      </x:c>
      <x:c r="Y718" t="n">
        <x:f>IF(C718="Active",1,0)</x:f>
        <x:v>1</x:v>
      </x:c>
    </x:row>
    <x:row r="719">
      <x:c r="A719" t="str">
        <x:v>SKU00718</x:v>
      </x:c>
      <x:c r="B719" t="str">
        <x:v>Sample Product 00718</x:v>
      </x:c>
      <x:c r="C719" t="str">
        <x:v>Blocked</x:v>
      </x:c>
      <x:c r="D719" t="str">
        <x:v>2026-06</x:v>
      </x:c>
      <x:c r="E719" s="12" t="n">
        <x:v>80.62</x:v>
      </x:c>
      <x:c r="F719" s="10" t="n">
        <x:v>0.253</x:v>
      </x:c>
      <x:c r="G719" t="str">
        <x:v>General Merchandise</x:v>
      </x:c>
      <x:c r="H719" t="str">
        <x:v>Travel Health</x:v>
      </x:c>
      <x:c r="I719" t="str">
        <x:v>MFG013</x:v>
      </x:c>
      <x:c r="J719" t="str">
        <x:v>Manufacturer 013</x:v>
      </x:c>
      <x:c r="K719" t="str">
        <x:v>SUP019</x:v>
      </x:c>
      <x:c r="L719" t="str">
        <x:v>Supplier 019</x:v>
      </x:c>
      <x:c r="M719" t="str">
        <x:v>REG-758512</x:v>
      </x:c>
      <x:c r="N719" t="str">
        <x:v>Generic Ingredient 035</x:v>
      </x:c>
      <x:c r="O719" t="str">
        <x:v>Pharmacy Only</x:v>
      </x:c>
      <x:c r="P719" t="n">
        <x:v>37</x:v>
      </x:c>
      <x:c r="Q719" t="n">
        <x:v>0</x:v>
      </x:c>
      <x:c r="R719" t="n">
        <x:v>0</x:v>
      </x:c>
      <x:c r="S719" s="12" t="n">
        <x:f>E719*Q719</x:f>
        <x:v>0</x:v>
      </x:c>
      <x:c r="T719" s="12" t="n">
        <x:f>ROUND(S719*F719+0.000000001,2)</x:f>
        <x:v>0</x:v>
      </x:c>
      <x:c r="U719" s="12" t="n">
        <x:f>E719*R719</x:f>
        <x:v>0</x:v>
      </x:c>
      <x:c r="V719" t="str">
        <x:f>IF(AND(C719="Active",Q719=0),"Active Zero Sales","Not Zero Sales")</x:f>
        <x:v>Not Zero Sales</x:v>
      </x:c>
      <x:c r="W719" s="12" t="n">
        <x:f>IF(V719="Active Zero Sales",U719,0)</x:f>
        <x:v>0</x:v>
      </x:c>
      <x:c r="X719" t="str">
        <x:f>IF(E719&lt;25,"Low &lt; 25",IF(E719&lt;100,"Medium 25-99",IF(E719&lt;300,"High 100-299","Premium 300+")))</x:f>
        <x:v>Medium 25-99</x:v>
      </x:c>
      <x:c r="Y719" t="n">
        <x:f>IF(C719="Active",1,0)</x:f>
        <x:v>0</x:v>
      </x:c>
    </x:row>
    <x:row r="720">
      <x:c r="A720" t="str">
        <x:v>SKU00719</x:v>
      </x:c>
      <x:c r="B720" t="str">
        <x:v>Sample Product 00719</x:v>
      </x:c>
      <x:c r="C720" t="str">
        <x:v>Active</x:v>
      </x:c>
      <x:c r="D720" t="str">
        <x:v>2026-02</x:v>
      </x:c>
      <x:c r="E720" s="12" t="n">
        <x:v>19.41</x:v>
      </x:c>
      <x:c r="F720" s="10" t="n">
        <x:v>0.366</x:v>
      </x:c>
      <x:c r="G720" t="str">
        <x:v>OTC &amp; Wellness</x:v>
      </x:c>
      <x:c r="H720" t="str">
        <x:v>Vitamins</x:v>
      </x:c>
      <x:c r="I720" t="str">
        <x:v>MFG003</x:v>
      </x:c>
      <x:c r="J720" t="str">
        <x:v>Manufacturer 003</x:v>
      </x:c>
      <x:c r="K720" t="str">
        <x:v>SUP017</x:v>
      </x:c>
      <x:c r="L720" t="str">
        <x:v>Supplier 017</x:v>
      </x:c>
      <x:c r="M720" t="str">
        <x:v>REG-648243</x:v>
      </x:c>
      <x:c r="N720" t="str">
        <x:v>Generic Ingredient 030</x:v>
      </x:c>
      <x:c r="O720" t="str">
        <x:v>General Sale</x:v>
      </x:c>
      <x:c r="P720" t="n">
        <x:v>46</x:v>
      </x:c>
      <x:c r="Q720" t="n">
        <x:v>17</x:v>
      </x:c>
      <x:c r="R720" t="n">
        <x:v>29</x:v>
      </x:c>
      <x:c r="S720" s="12" t="n">
        <x:f>E720*Q720</x:f>
        <x:v>329.97</x:v>
      </x:c>
      <x:c r="T720" s="12" t="n">
        <x:f>ROUND(S720*F720+0.000000001,2)</x:f>
        <x:v>120.77</x:v>
      </x:c>
      <x:c r="U720" s="12" t="n">
        <x:f>E720*R720</x:f>
        <x:v>562.89</x:v>
      </x:c>
      <x:c r="V720" t="str">
        <x:f>IF(AND(C720="Active",Q720=0),"Active Zero Sales","Not Zero Sales")</x:f>
        <x:v>Not Zero Sales</x:v>
      </x:c>
      <x:c r="W720" s="12" t="n">
        <x:f>IF(V720="Active Zero Sales",U720,0)</x:f>
        <x:v>0</x:v>
      </x:c>
      <x:c r="X720" t="str">
        <x:f>IF(E720&lt;25,"Low &lt; 25",IF(E720&lt;100,"Medium 25-99",IF(E720&lt;300,"High 100-299","Premium 300+")))</x:f>
        <x:v>Low &lt; 25</x:v>
      </x:c>
      <x:c r="Y720" t="n">
        <x:f>IF(C720="Active",1,0)</x:f>
        <x:v>1</x:v>
      </x:c>
    </x:row>
    <x:row r="721">
      <x:c r="A721" t="str">
        <x:v>SKU00720</x:v>
      </x:c>
      <x:c r="B721" t="str">
        <x:v>Sample Product 00720</x:v>
      </x:c>
      <x:c r="C721" t="str">
        <x:v>Blocked</x:v>
      </x:c>
      <x:c r="D721" t="str">
        <x:v>2026-05</x:v>
      </x:c>
      <x:c r="E721" s="12" t="n">
        <x:v>318.09</x:v>
      </x:c>
      <x:c r="F721" s="10" t="n">
        <x:v>0.261</x:v>
      </x:c>
      <x:c r="G721" t="str">
        <x:v>Medical Devices</x:v>
      </x:c>
      <x:c r="H721" t="str">
        <x:v>Home Diagnostics</x:v>
      </x:c>
      <x:c r="I721" t="str">
        <x:v>MFG019</x:v>
      </x:c>
      <x:c r="J721" t="str">
        <x:v>Manufacturer 019</x:v>
      </x:c>
      <x:c r="K721" t="str">
        <x:v>SUP003</x:v>
      </x:c>
      <x:c r="L721" t="str">
        <x:v>Supplier 003</x:v>
      </x:c>
      <x:c r="M721" t="str">
        <x:v>REG-413552</x:v>
      </x:c>
      <x:c r="N721" t="str">
        <x:v>Generic Ingredient 136</x:v>
      </x:c>
      <x:c r="O721" t="str">
        <x:v>General Sale</x:v>
      </x:c>
      <x:c r="P721" t="n">
        <x:v>60</x:v>
      </x:c>
      <x:c r="Q721" t="n">
        <x:v>20</x:v>
      </x:c>
      <x:c r="R721" t="n">
        <x:v>7</x:v>
      </x:c>
      <x:c r="S721" s="12" t="n">
        <x:f>E721*Q721</x:f>
        <x:v>6361.799999999999</x:v>
      </x:c>
      <x:c r="T721" s="12" t="n">
        <x:f>ROUND(S721*F721+0.000000001,2)</x:f>
        <x:v>1660.43</x:v>
      </x:c>
      <x:c r="U721" s="12" t="n">
        <x:f>E721*R721</x:f>
        <x:v>2226.6299999999997</x:v>
      </x:c>
      <x:c r="V721" t="str">
        <x:f>IF(AND(C721="Active",Q721=0),"Active Zero Sales","Not Zero Sales")</x:f>
        <x:v>Not Zero Sales</x:v>
      </x:c>
      <x:c r="W721" s="12" t="n">
        <x:f>IF(V721="Active Zero Sales",U721,0)</x:f>
        <x:v>0</x:v>
      </x:c>
      <x:c r="X721" t="str">
        <x:f>IF(E721&lt;25,"Low &lt; 25",IF(E721&lt;100,"Medium 25-99",IF(E721&lt;300,"High 100-299","Premium 300+")))</x:f>
        <x:v>Premium 300+</x:v>
      </x:c>
      <x:c r="Y721" t="n">
        <x:f>IF(C721="Active",1,0)</x:f>
        <x:v>0</x:v>
      </x:c>
    </x:row>
    <x:row r="722">
      <x:c r="A722" t="str">
        <x:v>SKU00721</x:v>
      </x:c>
      <x:c r="B722" t="str">
        <x:v>Sample Product 00721</x:v>
      </x:c>
      <x:c r="C722" t="str">
        <x:v>Active</x:v>
      </x:c>
      <x:c r="D722" t="str">
        <x:v>2026-04</x:v>
      </x:c>
      <x:c r="E722" s="12" t="n">
        <x:v>183.4</x:v>
      </x:c>
      <x:c r="F722" s="10" t="n">
        <x:v>0.398</x:v>
      </x:c>
      <x:c r="G722" t="str">
        <x:v>OTC &amp; Wellness</x:v>
      </x:c>
      <x:c r="H722" t="str">
        <x:v>Digestive Care</x:v>
      </x:c>
      <x:c r="I722" t="str">
        <x:v>MFG015</x:v>
      </x:c>
      <x:c r="J722" t="str">
        <x:v>Manufacturer 015</x:v>
      </x:c>
      <x:c r="K722" t="str">
        <x:v>SUP030</x:v>
      </x:c>
      <x:c r="L722" t="str">
        <x:v>Supplier 030</x:v>
      </x:c>
      <x:c r="M722" t="str">
        <x:v>REG-750653</x:v>
      </x:c>
      <x:c r="N722" t="str">
        <x:v>Generic Ingredient 117</x:v>
      </x:c>
      <x:c r="O722" t="str">
        <x:v>Pharmacy Only</x:v>
      </x:c>
      <x:c r="P722" t="n">
        <x:v>100</x:v>
      </x:c>
      <x:c r="Q722" t="n">
        <x:v>68</x:v>
      </x:c>
      <x:c r="R722" t="n">
        <x:v>8</x:v>
      </x:c>
      <x:c r="S722" s="12" t="n">
        <x:f>E722*Q722</x:f>
        <x:v>12471.2</x:v>
      </x:c>
      <x:c r="T722" s="12" t="n">
        <x:f>ROUND(S722*F722+0.000000001,2)</x:f>
        <x:v>4963.54</x:v>
      </x:c>
      <x:c r="U722" s="12" t="n">
        <x:f>E722*R722</x:f>
        <x:v>1467.2</x:v>
      </x:c>
      <x:c r="V722" t="str">
        <x:f>IF(AND(C722="Active",Q722=0),"Active Zero Sales","Not Zero Sales")</x:f>
        <x:v>Not Zero Sales</x:v>
      </x:c>
      <x:c r="W722" s="12" t="n">
        <x:f>IF(V722="Active Zero Sales",U722,0)</x:f>
        <x:v>0</x:v>
      </x:c>
      <x:c r="X722" t="str">
        <x:f>IF(E722&lt;25,"Low &lt; 25",IF(E722&lt;100,"Medium 25-99",IF(E722&lt;300,"High 100-299","Premium 300+")))</x:f>
        <x:v>High 100-299</x:v>
      </x:c>
      <x:c r="Y722" t="n">
        <x:f>IF(C722="Active",1,0)</x:f>
        <x:v>1</x:v>
      </x:c>
    </x:row>
    <x:row r="723">
      <x:c r="A723" t="str">
        <x:v>SKU00722</x:v>
      </x:c>
      <x:c r="B723" t="str">
        <x:v>Sample Product 00722</x:v>
      </x:c>
      <x:c r="C723" t="str">
        <x:v>Active</x:v>
      </x:c>
      <x:c r="D723" t="str">
        <x:v>2026-02</x:v>
      </x:c>
      <x:c r="E723" s="12" t="n">
        <x:v>26.08</x:v>
      </x:c>
      <x:c r="F723" s="10" t="n">
        <x:v>0.399</x:v>
      </x:c>
      <x:c r="G723" t="str">
        <x:v>Personal Care</x:v>
      </x:c>
      <x:c r="H723" t="str">
        <x:v>Hygiene</x:v>
      </x:c>
      <x:c r="I723" t="str">
        <x:v>MFG001</x:v>
      </x:c>
      <x:c r="J723" t="str">
        <x:v>Manufacturer 001</x:v>
      </x:c>
      <x:c r="K723" t="str">
        <x:v>SUP019</x:v>
      </x:c>
      <x:c r="L723" t="str">
        <x:v>Supplier 019</x:v>
      </x:c>
      <x:c r="M723" t="str">
        <x:v>REG-320630</x:v>
      </x:c>
      <x:c r="N723" t="str">
        <x:v>Generic Ingredient 111</x:v>
      </x:c>
      <x:c r="O723" t="str">
        <x:v>Pharmacy Only</x:v>
      </x:c>
      <x:c r="P723" t="n">
        <x:v>146</x:v>
      </x:c>
      <x:c r="Q723" t="n">
        <x:v>92</x:v>
      </x:c>
      <x:c r="R723" t="n">
        <x:v>59</x:v>
      </x:c>
      <x:c r="S723" s="12" t="n">
        <x:f>E723*Q723</x:f>
        <x:v>2399.3599999999997</x:v>
      </x:c>
      <x:c r="T723" s="12" t="n">
        <x:f>ROUND(S723*F723+0.000000001,2)</x:f>
        <x:v>957.34</x:v>
      </x:c>
      <x:c r="U723" s="12" t="n">
        <x:f>E723*R723</x:f>
        <x:v>1538.7199999999998</x:v>
      </x:c>
      <x:c r="V723" t="str">
        <x:f>IF(AND(C723="Active",Q723=0),"Active Zero Sales","Not Zero Sales")</x:f>
        <x:v>Not Zero Sales</x:v>
      </x:c>
      <x:c r="W723" s="12" t="n">
        <x:f>IF(V723="Active Zero Sales",U723,0)</x:f>
        <x:v>0</x:v>
      </x:c>
      <x:c r="X723" t="str">
        <x:f>IF(E723&lt;25,"Low &lt; 25",IF(E723&lt;100,"Medium 25-99",IF(E723&lt;300,"High 100-299","Premium 300+")))</x:f>
        <x:v>Medium 25-99</x:v>
      </x:c>
      <x:c r="Y723" t="n">
        <x:f>IF(C723="Active",1,0)</x:f>
        <x:v>1</x:v>
      </x:c>
    </x:row>
    <x:row r="724">
      <x:c r="A724" t="str">
        <x:v>SKU00723</x:v>
      </x:c>
      <x:c r="B724" t="str">
        <x:v>Sample Product 00723</x:v>
      </x:c>
      <x:c r="C724" t="str">
        <x:v>Active</x:v>
      </x:c>
      <x:c r="D724" t="str">
        <x:v>2026-06</x:v>
      </x:c>
      <x:c r="E724" s="12" t="n">
        <x:v>21.69</x:v>
      </x:c>
      <x:c r="F724" s="10" t="n">
        <x:v>0.216</x:v>
      </x:c>
      <x:c r="G724" t="str">
        <x:v>Nutrition</x:v>
      </x:c>
      <x:c r="H724" t="str">
        <x:v>Adult Nutrition</x:v>
      </x:c>
      <x:c r="I724" t="str">
        <x:v>MFG009</x:v>
      </x:c>
      <x:c r="J724" t="str">
        <x:v>Manufacturer 009</x:v>
      </x:c>
      <x:c r="K724" t="str">
        <x:v>SUP030</x:v>
      </x:c>
      <x:c r="L724" t="str">
        <x:v>Supplier 030</x:v>
      </x:c>
      <x:c r="M724" t="str">
        <x:v>REG-379585</x:v>
      </x:c>
      <x:c r="N724" t="str">
        <x:v>Generic Ingredient 088</x:v>
      </x:c>
      <x:c r="O724" t="str">
        <x:v>General Sale</x:v>
      </x:c>
      <x:c r="P724" t="n">
        <x:v>70</x:v>
      </x:c>
      <x:c r="Q724" t="n">
        <x:v>25</x:v>
      </x:c>
      <x:c r="R724" t="n">
        <x:v>0</x:v>
      </x:c>
      <x:c r="S724" s="12" t="n">
        <x:f>E724*Q724</x:f>
        <x:v>542.25</x:v>
      </x:c>
      <x:c r="T724" s="12" t="n">
        <x:f>ROUND(S724*F724+0.000000001,2)</x:f>
        <x:v>117.13</x:v>
      </x:c>
      <x:c r="U724" s="12" t="n">
        <x:f>E724*R724</x:f>
        <x:v>0</x:v>
      </x:c>
      <x:c r="V724" t="str">
        <x:f>IF(AND(C724="Active",Q724=0),"Active Zero Sales","Not Zero Sales")</x:f>
        <x:v>Not Zero Sales</x:v>
      </x:c>
      <x:c r="W724" s="12" t="n">
        <x:f>IF(V724="Active Zero Sales",U724,0)</x:f>
        <x:v>0</x:v>
      </x:c>
      <x:c r="X724" t="str">
        <x:f>IF(E724&lt;25,"Low &lt; 25",IF(E724&lt;100,"Medium 25-99",IF(E724&lt;300,"High 100-299","Premium 300+")))</x:f>
        <x:v>Low &lt; 25</x:v>
      </x:c>
      <x:c r="Y724" t="n">
        <x:f>IF(C724="Active",1,0)</x:f>
        <x:v>1</x:v>
      </x:c>
    </x:row>
    <x:row r="725">
      <x:c r="A725" t="str">
        <x:v>SKU00724</x:v>
      </x:c>
      <x:c r="B725" t="str">
        <x:v>Sample Product 00724</x:v>
      </x:c>
      <x:c r="C725" t="str">
        <x:v>Blocked</x:v>
      </x:c>
      <x:c r="D725" t="str">
        <x:v>2026-02</x:v>
      </x:c>
      <x:c r="E725" s="12" t="n">
        <x:v>27.72</x:v>
      </x:c>
      <x:c r="F725" s="10" t="n">
        <x:v>0.437</x:v>
      </x:c>
      <x:c r="G725" t="str">
        <x:v>Personal Care</x:v>
      </x:c>
      <x:c r="H725" t="str">
        <x:v>Hygiene</x:v>
      </x:c>
      <x:c r="I725" t="str">
        <x:v>MFG005</x:v>
      </x:c>
      <x:c r="J725" t="str">
        <x:v>Manufacturer 005</x:v>
      </x:c>
      <x:c r="K725" t="str">
        <x:v>SUP014</x:v>
      </x:c>
      <x:c r="L725" t="str">
        <x:v>Supplier 014</x:v>
      </x:c>
      <x:c r="M725" t="str">
        <x:v>REG-697948</x:v>
      </x:c>
      <x:c r="N725" t="str">
        <x:v>Generic Ingredient 096</x:v>
      </x:c>
      <x:c r="O725" t="str">
        <x:v>General Sale</x:v>
      </x:c>
      <x:c r="P725" t="n">
        <x:v>46</x:v>
      </x:c>
      <x:c r="Q725" t="n">
        <x:v>0</x:v>
      </x:c>
      <x:c r="R725" t="n">
        <x:v>0</x:v>
      </x:c>
      <x:c r="S725" s="12" t="n">
        <x:f>E725*Q725</x:f>
        <x:v>0</x:v>
      </x:c>
      <x:c r="T725" s="12" t="n">
        <x:f>ROUND(S725*F725+0.000000001,2)</x:f>
        <x:v>0</x:v>
      </x:c>
      <x:c r="U725" s="12" t="n">
        <x:f>E725*R725</x:f>
        <x:v>0</x:v>
      </x:c>
      <x:c r="V725" t="str">
        <x:f>IF(AND(C725="Active",Q725=0),"Active Zero Sales","Not Zero Sales")</x:f>
        <x:v>Not Zero Sales</x:v>
      </x:c>
      <x:c r="W725" s="12" t="n">
        <x:f>IF(V725="Active Zero Sales",U725,0)</x:f>
        <x:v>0</x:v>
      </x:c>
      <x:c r="X725" t="str">
        <x:f>IF(E725&lt;25,"Low &lt; 25",IF(E725&lt;100,"Medium 25-99",IF(E725&lt;300,"High 100-299","Premium 300+")))</x:f>
        <x:v>Medium 25-99</x:v>
      </x:c>
      <x:c r="Y725" t="n">
        <x:f>IF(C725="Active",1,0)</x:f>
        <x:v>0</x:v>
      </x:c>
    </x:row>
    <x:row r="726">
      <x:c r="A726" t="str">
        <x:v>SKU00725</x:v>
      </x:c>
      <x:c r="B726" t="str">
        <x:v>Sample Product 00725</x:v>
      </x:c>
      <x:c r="C726" t="str">
        <x:v>Active</x:v>
      </x:c>
      <x:c r="D726" t="str">
        <x:v>2026-05</x:v>
      </x:c>
      <x:c r="E726" s="12" t="n">
        <x:v>60.97</x:v>
      </x:c>
      <x:c r="F726" s="10" t="n">
        <x:v>0.261</x:v>
      </x:c>
      <x:c r="G726" t="str">
        <x:v>Medical Devices</x:v>
      </x:c>
      <x:c r="H726" t="str">
        <x:v>Monitoring Supplies</x:v>
      </x:c>
      <x:c r="I726" t="str">
        <x:v>MFG006</x:v>
      </x:c>
      <x:c r="J726" t="str">
        <x:v>Manufacturer 006</x:v>
      </x:c>
      <x:c r="K726" t="str">
        <x:v>SUP001</x:v>
      </x:c>
      <x:c r="L726" t="str">
        <x:v>Supplier 001</x:v>
      </x:c>
      <x:c r="M726" t="str">
        <x:v>REG-132647</x:v>
      </x:c>
      <x:c r="N726" t="str">
        <x:v>Generic Ingredient 127</x:v>
      </x:c>
      <x:c r="O726" t="str">
        <x:v>General Sale</x:v>
      </x:c>
      <x:c r="P726" t="n">
        <x:v>31</x:v>
      </x:c>
      <x:c r="Q726" t="n">
        <x:v>0</x:v>
      </x:c>
      <x:c r="R726" t="n">
        <x:v>40</x:v>
      </x:c>
      <x:c r="S726" s="12" t="n">
        <x:f>E726*Q726</x:f>
        <x:v>0</x:v>
      </x:c>
      <x:c r="T726" s="12" t="n">
        <x:f>ROUND(S726*F726+0.000000001,2)</x:f>
        <x:v>0</x:v>
      </x:c>
      <x:c r="U726" s="12" t="n">
        <x:f>E726*R726</x:f>
        <x:v>2438.8</x:v>
      </x:c>
      <x:c r="V726" t="str">
        <x:f>IF(AND(C726="Active",Q726=0),"Active Zero Sales","Not Zero Sales")</x:f>
        <x:v>Active Zero Sales</x:v>
      </x:c>
      <x:c r="W726" s="12" t="n">
        <x:f>IF(V726="Active Zero Sales",U726,0)</x:f>
        <x:v>2438.8</x:v>
      </x:c>
      <x:c r="X726" t="str">
        <x:f>IF(E726&lt;25,"Low &lt; 25",IF(E726&lt;100,"Medium 25-99",IF(E726&lt;300,"High 100-299","Premium 300+")))</x:f>
        <x:v>Medium 25-99</x:v>
      </x:c>
      <x:c r="Y726" t="n">
        <x:f>IF(C726="Active",1,0)</x:f>
        <x:v>1</x:v>
      </x:c>
    </x:row>
    <x:row r="727">
      <x:c r="A727" t="str">
        <x:v>SKU00726</x:v>
      </x:c>
      <x:c r="B727" t="str">
        <x:v>Sample Product 00726</x:v>
      </x:c>
      <x:c r="C727" t="str">
        <x:v>Active</x:v>
      </x:c>
      <x:c r="D727" t="str">
        <x:v>2026-06</x:v>
      </x:c>
      <x:c r="E727" s="12" t="n">
        <x:v>35.39</x:v>
      </x:c>
      <x:c r="F727" s="10" t="n">
        <x:v>0.242</x:v>
      </x:c>
      <x:c r="G727" t="str">
        <x:v>OTC &amp; Wellness</x:v>
      </x:c>
      <x:c r="H727" t="str">
        <x:v>Pain Relief</x:v>
      </x:c>
      <x:c r="I727" t="str">
        <x:v>MFG007</x:v>
      </x:c>
      <x:c r="J727" t="str">
        <x:v>Manufacturer 007</x:v>
      </x:c>
      <x:c r="K727" t="str">
        <x:v>SUP016</x:v>
      </x:c>
      <x:c r="L727" t="str">
        <x:v>Supplier 016</x:v>
      </x:c>
      <x:c r="M727" t="str">
        <x:v>REG-742448</x:v>
      </x:c>
      <x:c r="N727" t="str">
        <x:v>Generic Ingredient 118</x:v>
      </x:c>
      <x:c r="O727" t="str">
        <x:v>General Sale</x:v>
      </x:c>
      <x:c r="P727" t="n">
        <x:v>42</x:v>
      </x:c>
      <x:c r="Q727" t="n">
        <x:v>4</x:v>
      </x:c>
      <x:c r="R727" t="n">
        <x:v>18</x:v>
      </x:c>
      <x:c r="S727" s="12" t="n">
        <x:f>E727*Q727</x:f>
        <x:v>141.56</x:v>
      </x:c>
      <x:c r="T727" s="12" t="n">
        <x:f>ROUND(S727*F727+0.000000001,2)</x:f>
        <x:v>34.26</x:v>
      </x:c>
      <x:c r="U727" s="12" t="n">
        <x:f>E727*R727</x:f>
        <x:v>637.02</x:v>
      </x:c>
      <x:c r="V727" t="str">
        <x:f>IF(AND(C727="Active",Q727=0),"Active Zero Sales","Not Zero Sales")</x:f>
        <x:v>Not Zero Sales</x:v>
      </x:c>
      <x:c r="W727" s="12" t="n">
        <x:f>IF(V727="Active Zero Sales",U727,0)</x:f>
        <x:v>0</x:v>
      </x:c>
      <x:c r="X727" t="str">
        <x:f>IF(E727&lt;25,"Low &lt; 25",IF(E727&lt;100,"Medium 25-99",IF(E727&lt;300,"High 100-299","Premium 300+")))</x:f>
        <x:v>Medium 25-99</x:v>
      </x:c>
      <x:c r="Y727" t="n">
        <x:f>IF(C727="Active",1,0)</x:f>
        <x:v>1</x:v>
      </x:c>
    </x:row>
    <x:row r="728">
      <x:c r="A728" t="str">
        <x:v>SKU00727</x:v>
      </x:c>
      <x:c r="B728" t="str">
        <x:v>Sample Product 00727</x:v>
      </x:c>
      <x:c r="C728" t="str">
        <x:v>Active</x:v>
      </x:c>
      <x:c r="D728" t="str">
        <x:v>2026-01</x:v>
      </x:c>
      <x:c r="E728" s="12" t="n">
        <x:v>5.63</x:v>
      </x:c>
      <x:c r="F728" s="10" t="n">
        <x:v>0.354</x:v>
      </x:c>
      <x:c r="G728" t="str">
        <x:v>Personal Care</x:v>
      </x:c>
      <x:c r="H728" t="str">
        <x:v>Hair Care</x:v>
      </x:c>
      <x:c r="I728" t="str">
        <x:v>MFG018</x:v>
      </x:c>
      <x:c r="J728" t="str">
        <x:v>Manufacturer 018</x:v>
      </x:c>
      <x:c r="K728" t="str">
        <x:v>SUP022</x:v>
      </x:c>
      <x:c r="L728" t="str">
        <x:v>Supplier 022</x:v>
      </x:c>
      <x:c r="M728" t="str">
        <x:v>REG-513612</x:v>
      </x:c>
      <x:c r="N728" t="str">
        <x:v>Generic Ingredient 104</x:v>
      </x:c>
      <x:c r="O728" t="str">
        <x:v>Pharmacy Only</x:v>
      </x:c>
      <x:c r="P728" t="n">
        <x:v>41</x:v>
      </x:c>
      <x:c r="Q728" t="n">
        <x:v>5</x:v>
      </x:c>
      <x:c r="R728" t="n">
        <x:v>4</x:v>
      </x:c>
      <x:c r="S728" s="12" t="n">
        <x:f>E728*Q728</x:f>
        <x:v>28.15</x:v>
      </x:c>
      <x:c r="T728" s="12" t="n">
        <x:f>ROUND(S728*F728+0.000000001,2)</x:f>
        <x:v>9.97</x:v>
      </x:c>
      <x:c r="U728" s="12" t="n">
        <x:f>E728*R728</x:f>
        <x:v>22.52</x:v>
      </x:c>
      <x:c r="V728" t="str">
        <x:f>IF(AND(C728="Active",Q728=0),"Active Zero Sales","Not Zero Sales")</x:f>
        <x:v>Not Zero Sales</x:v>
      </x:c>
      <x:c r="W728" s="12" t="n">
        <x:f>IF(V728="Active Zero Sales",U728,0)</x:f>
        <x:v>0</x:v>
      </x:c>
      <x:c r="X728" t="str">
        <x:f>IF(E728&lt;25,"Low &lt; 25",IF(E728&lt;100,"Medium 25-99",IF(E728&lt;300,"High 100-299","Premium 300+")))</x:f>
        <x:v>Low &lt; 25</x:v>
      </x:c>
      <x:c r="Y728" t="n">
        <x:f>IF(C728="Active",1,0)</x:f>
        <x:v>1</x:v>
      </x:c>
    </x:row>
    <x:row r="729">
      <x:c r="A729" t="str">
        <x:v>SKU00728</x:v>
      </x:c>
      <x:c r="B729" t="str">
        <x:v>Sample Product 00728</x:v>
      </x:c>
      <x:c r="C729" t="str">
        <x:v>Active</x:v>
      </x:c>
      <x:c r="D729" t="str">
        <x:v>2026-05</x:v>
      </x:c>
      <x:c r="E729" s="12" t="n">
        <x:v>64.45</x:v>
      </x:c>
      <x:c r="F729" s="10" t="n">
        <x:v>0.447</x:v>
      </x:c>
      <x:c r="G729" t="str">
        <x:v>Personal Care</x:v>
      </x:c>
      <x:c r="H729" t="str">
        <x:v>Hygiene</x:v>
      </x:c>
      <x:c r="I729" t="str">
        <x:v>MFG020</x:v>
      </x:c>
      <x:c r="J729" t="str">
        <x:v>Manufacturer 020</x:v>
      </x:c>
      <x:c r="K729" t="str">
        <x:v>SUP026</x:v>
      </x:c>
      <x:c r="L729" t="str">
        <x:v>Supplier 026</x:v>
      </x:c>
      <x:c r="M729" t="str">
        <x:v>REG-516085</x:v>
      </x:c>
      <x:c r="N729" t="str">
        <x:v>Generic Ingredient 012</x:v>
      </x:c>
      <x:c r="O729" t="str">
        <x:v>General Sale</x:v>
      </x:c>
      <x:c r="P729" t="n">
        <x:v>61</x:v>
      </x:c>
      <x:c r="Q729" t="n">
        <x:v>27</x:v>
      </x:c>
      <x:c r="R729" t="n">
        <x:v>24</x:v>
      </x:c>
      <x:c r="S729" s="12" t="n">
        <x:f>E729*Q729</x:f>
        <x:v>1740.15</x:v>
      </x:c>
      <x:c r="T729" s="12" t="n">
        <x:f>ROUND(S729*F729+0.000000001,2)</x:f>
        <x:v>777.85</x:v>
      </x:c>
      <x:c r="U729" s="12" t="n">
        <x:f>E729*R729</x:f>
        <x:v>1546.8000000000002</x:v>
      </x:c>
      <x:c r="V729" t="str">
        <x:f>IF(AND(C729="Active",Q729=0),"Active Zero Sales","Not Zero Sales")</x:f>
        <x:v>Not Zero Sales</x:v>
      </x:c>
      <x:c r="W729" s="12" t="n">
        <x:f>IF(V729="Active Zero Sales",U729,0)</x:f>
        <x:v>0</x:v>
      </x:c>
      <x:c r="X729" t="str">
        <x:f>IF(E729&lt;25,"Low &lt; 25",IF(E729&lt;100,"Medium 25-99",IF(E729&lt;300,"High 100-299","Premium 300+")))</x:f>
        <x:v>Medium 25-99</x:v>
      </x:c>
      <x:c r="Y729" t="n">
        <x:f>IF(C729="Active",1,0)</x:f>
        <x:v>1</x:v>
      </x:c>
    </x:row>
    <x:row r="730">
      <x:c r="A730" t="str">
        <x:v>SKU00729</x:v>
      </x:c>
      <x:c r="B730" t="str">
        <x:v>Sample Product 00729</x:v>
      </x:c>
      <x:c r="C730" t="str">
        <x:v>Active</x:v>
      </x:c>
      <x:c r="D730" t="str">
        <x:v>2026-01</x:v>
      </x:c>
      <x:c r="E730" s="12" t="n">
        <x:v>99.04</x:v>
      </x:c>
      <x:c r="F730" s="10" t="n">
        <x:v>0.358</x:v>
      </x:c>
      <x:c r="G730" t="str">
        <x:v>Personal Care</x:v>
      </x:c>
      <x:c r="H730" t="str">
        <x:v>Hair Care</x:v>
      </x:c>
      <x:c r="I730" t="str">
        <x:v>MFG013</x:v>
      </x:c>
      <x:c r="J730" t="str">
        <x:v>Manufacturer 013</x:v>
      </x:c>
      <x:c r="K730" t="str">
        <x:v>SUP016</x:v>
      </x:c>
      <x:c r="L730" t="str">
        <x:v>Supplier 016</x:v>
      </x:c>
      <x:c r="M730" t="str">
        <x:v>REG-380184</x:v>
      </x:c>
      <x:c r="N730" t="str">
        <x:v>Generic Ingredient 071</x:v>
      </x:c>
      <x:c r="O730" t="str">
        <x:v>General Sale</x:v>
      </x:c>
      <x:c r="P730" t="n">
        <x:v>29</x:v>
      </x:c>
      <x:c r="Q730" t="n">
        <x:v>21</x:v>
      </x:c>
      <x:c r="R730" t="n">
        <x:v>1</x:v>
      </x:c>
      <x:c r="S730" s="12" t="n">
        <x:f>E730*Q730</x:f>
        <x:v>2079.84</x:v>
      </x:c>
      <x:c r="T730" s="12" t="n">
        <x:f>ROUND(S730*F730+0.000000001,2)</x:f>
        <x:v>744.58</x:v>
      </x:c>
      <x:c r="U730" s="12" t="n">
        <x:f>E730*R730</x:f>
        <x:v>99.04</x:v>
      </x:c>
      <x:c r="V730" t="str">
        <x:f>IF(AND(C730="Active",Q730=0),"Active Zero Sales","Not Zero Sales")</x:f>
        <x:v>Not Zero Sales</x:v>
      </x:c>
      <x:c r="W730" s="12" t="n">
        <x:f>IF(V730="Active Zero Sales",U730,0)</x:f>
        <x:v>0</x:v>
      </x:c>
      <x:c r="X730" t="str">
        <x:f>IF(E730&lt;25,"Low &lt; 25",IF(E730&lt;100,"Medium 25-99",IF(E730&lt;300,"High 100-299","Premium 300+")))</x:f>
        <x:v>Medium 25-99</x:v>
      </x:c>
      <x:c r="Y730" t="n">
        <x:f>IF(C730="Active",1,0)</x:f>
        <x:v>1</x:v>
      </x:c>
    </x:row>
    <x:row r="731">
      <x:c r="A731" t="str">
        <x:v>SKU00730</x:v>
      </x:c>
      <x:c r="B731" t="str">
        <x:v>Sample Product 00730</x:v>
      </x:c>
      <x:c r="C731" t="str">
        <x:v>Active</x:v>
      </x:c>
      <x:c r="D731" t="str">
        <x:v>2026-01</x:v>
      </x:c>
      <x:c r="E731" s="12" t="n">
        <x:v>79.54</x:v>
      </x:c>
      <x:c r="F731" s="10" t="n">
        <x:v>0.318</x:v>
      </x:c>
      <x:c r="G731" t="str">
        <x:v>Personal Care</x:v>
      </x:c>
      <x:c r="H731" t="str">
        <x:v>Hair Care</x:v>
      </x:c>
      <x:c r="I731" t="str">
        <x:v>MFG016</x:v>
      </x:c>
      <x:c r="J731" t="str">
        <x:v>Manufacturer 016</x:v>
      </x:c>
      <x:c r="K731" t="str">
        <x:v>SUP028</x:v>
      </x:c>
      <x:c r="L731" t="str">
        <x:v>Supplier 028</x:v>
      </x:c>
      <x:c r="M731" t="str">
        <x:v>REG-516719</x:v>
      </x:c>
      <x:c r="N731" t="str">
        <x:v>Generic Ingredient 160</x:v>
      </x:c>
      <x:c r="O731" t="str">
        <x:v>General Sale</x:v>
      </x:c>
      <x:c r="P731" t="n">
        <x:v>39</x:v>
      </x:c>
      <x:c r="Q731" t="n">
        <x:v>19</x:v>
      </x:c>
      <x:c r="R731" t="n">
        <x:v>0</x:v>
      </x:c>
      <x:c r="S731" s="12" t="n">
        <x:f>E731*Q731</x:f>
        <x:v>1511.2600000000002</x:v>
      </x:c>
      <x:c r="T731" s="12" t="n">
        <x:f>ROUND(S731*F731+0.000000001,2)</x:f>
        <x:v>480.58</x:v>
      </x:c>
      <x:c r="U731" s="12" t="n">
        <x:f>E731*R731</x:f>
        <x:v>0</x:v>
      </x:c>
      <x:c r="V731" t="str">
        <x:f>IF(AND(C731="Active",Q731=0),"Active Zero Sales","Not Zero Sales")</x:f>
        <x:v>Not Zero Sales</x:v>
      </x:c>
      <x:c r="W731" s="12" t="n">
        <x:f>IF(V731="Active Zero Sales",U731,0)</x:f>
        <x:v>0</x:v>
      </x:c>
      <x:c r="X731" t="str">
        <x:f>IF(E731&lt;25,"Low &lt; 25",IF(E731&lt;100,"Medium 25-99",IF(E731&lt;300,"High 100-299","Premium 300+")))</x:f>
        <x:v>Medium 25-99</x:v>
      </x:c>
      <x:c r="Y731" t="n">
        <x:f>IF(C731="Active",1,0)</x:f>
        <x:v>1</x:v>
      </x:c>
    </x:row>
    <x:row r="732">
      <x:c r="A732" t="str">
        <x:v>SKU00731</x:v>
      </x:c>
      <x:c r="B732" t="str">
        <x:v>Sample Product 00731</x:v>
      </x:c>
      <x:c r="C732" t="str">
        <x:v>Active</x:v>
      </x:c>
      <x:c r="D732" t="str">
        <x:v>2026-04</x:v>
      </x:c>
      <x:c r="E732" s="12" t="n">
        <x:v>60.92</x:v>
      </x:c>
      <x:c r="F732" s="10" t="n">
        <x:v>0.238</x:v>
      </x:c>
      <x:c r="G732" t="str">
        <x:v>OTC &amp; Wellness</x:v>
      </x:c>
      <x:c r="H732" t="str">
        <x:v>Pain Relief</x:v>
      </x:c>
      <x:c r="I732" t="str">
        <x:v>MFG019</x:v>
      </x:c>
      <x:c r="J732" t="str">
        <x:v>Manufacturer 019</x:v>
      </x:c>
      <x:c r="K732" t="str">
        <x:v>SUP028</x:v>
      </x:c>
      <x:c r="L732" t="str">
        <x:v>Supplier 028</x:v>
      </x:c>
      <x:c r="M732" t="str">
        <x:v>REG-354696</x:v>
      </x:c>
      <x:c r="N732" t="str">
        <x:v>Generic Ingredient 050</x:v>
      </x:c>
      <x:c r="O732" t="str">
        <x:v>General Sale</x:v>
      </x:c>
      <x:c r="P732" t="n">
        <x:v>42</x:v>
      </x:c>
      <x:c r="Q732" t="n">
        <x:v>18</x:v>
      </x:c>
      <x:c r="R732" t="n">
        <x:v>7</x:v>
      </x:c>
      <x:c r="S732" s="12" t="n">
        <x:f>E732*Q732</x:f>
        <x:v>1096.56</x:v>
      </x:c>
      <x:c r="T732" s="12" t="n">
        <x:f>ROUND(S732*F732+0.000000001,2)</x:f>
        <x:v>260.98</x:v>
      </x:c>
      <x:c r="U732" s="12" t="n">
        <x:f>E732*R732</x:f>
        <x:v>426.44</x:v>
      </x:c>
      <x:c r="V732" t="str">
        <x:f>IF(AND(C732="Active",Q732=0),"Active Zero Sales","Not Zero Sales")</x:f>
        <x:v>Not Zero Sales</x:v>
      </x:c>
      <x:c r="W732" s="12" t="n">
        <x:f>IF(V732="Active Zero Sales",U732,0)</x:f>
        <x:v>0</x:v>
      </x:c>
      <x:c r="X732" t="str">
        <x:f>IF(E732&lt;25,"Low &lt; 25",IF(E732&lt;100,"Medium 25-99",IF(E732&lt;300,"High 100-299","Premium 300+")))</x:f>
        <x:v>Medium 25-99</x:v>
      </x:c>
      <x:c r="Y732" t="n">
        <x:f>IF(C732="Active",1,0)</x:f>
        <x:v>1</x:v>
      </x:c>
    </x:row>
    <x:row r="733">
      <x:c r="A733" t="str">
        <x:v>SKU00732</x:v>
      </x:c>
      <x:c r="B733" t="str">
        <x:v>Sample Product 00732</x:v>
      </x:c>
      <x:c r="C733" t="str">
        <x:v>Active</x:v>
      </x:c>
      <x:c r="D733" t="str">
        <x:v>2026-06</x:v>
      </x:c>
      <x:c r="E733" s="12" t="n">
        <x:v>234.6</x:v>
      </x:c>
      <x:c r="F733" s="10" t="n">
        <x:v>0.342</x:v>
      </x:c>
      <x:c r="G733" t="str">
        <x:v>OTC &amp; Wellness</x:v>
      </x:c>
      <x:c r="H733" t="str">
        <x:v>Pain Relief</x:v>
      </x:c>
      <x:c r="I733" t="str">
        <x:v>MFG007</x:v>
      </x:c>
      <x:c r="J733" t="str">
        <x:v>Manufacturer 007</x:v>
      </x:c>
      <x:c r="K733" t="str">
        <x:v>SUP026</x:v>
      </x:c>
      <x:c r="L733" t="str">
        <x:v>Supplier 026</x:v>
      </x:c>
      <x:c r="M733" t="str">
        <x:v>REG-699792</x:v>
      </x:c>
      <x:c r="N733" t="str">
        <x:v>Generic Ingredient 059</x:v>
      </x:c>
      <x:c r="O733" t="str">
        <x:v>General Sale</x:v>
      </x:c>
      <x:c r="P733" t="n">
        <x:v>66</x:v>
      </x:c>
      <x:c r="Q733" t="n">
        <x:v>17</x:v>
      </x:c>
      <x:c r="R733" t="n">
        <x:v>0</x:v>
      </x:c>
      <x:c r="S733" s="12" t="n">
        <x:f>E733*Q733</x:f>
        <x:v>3988.2</x:v>
      </x:c>
      <x:c r="T733" s="12" t="n">
        <x:f>ROUND(S733*F733+0.000000001,2)</x:f>
        <x:v>1363.96</x:v>
      </x:c>
      <x:c r="U733" s="12" t="n">
        <x:f>E733*R733</x:f>
        <x:v>0</x:v>
      </x:c>
      <x:c r="V733" t="str">
        <x:f>IF(AND(C733="Active",Q733=0),"Active Zero Sales","Not Zero Sales")</x:f>
        <x:v>Not Zero Sales</x:v>
      </x:c>
      <x:c r="W733" s="12" t="n">
        <x:f>IF(V733="Active Zero Sales",U733,0)</x:f>
        <x:v>0</x:v>
      </x:c>
      <x:c r="X733" t="str">
        <x:f>IF(E733&lt;25,"Low &lt; 25",IF(E733&lt;100,"Medium 25-99",IF(E733&lt;300,"High 100-299","Premium 300+")))</x:f>
        <x:v>High 100-299</x:v>
      </x:c>
      <x:c r="Y733" t="n">
        <x:f>IF(C733="Active",1,0)</x:f>
        <x:v>1</x:v>
      </x:c>
    </x:row>
    <x:row r="734">
      <x:c r="A734" t="str">
        <x:v>SKU00733</x:v>
      </x:c>
      <x:c r="B734" t="str">
        <x:v>Sample Product 00733</x:v>
      </x:c>
      <x:c r="C734" t="str">
        <x:v>Active</x:v>
      </x:c>
      <x:c r="D734" t="str">
        <x:v>2026-06</x:v>
      </x:c>
      <x:c r="E734" s="12" t="n">
        <x:v>73.35</x:v>
      </x:c>
      <x:c r="F734" s="10" t="n">
        <x:v>0.303</x:v>
      </x:c>
      <x:c r="G734" t="str">
        <x:v>Medical Devices</x:v>
      </x:c>
      <x:c r="H734" t="str">
        <x:v>First Aid</x:v>
      </x:c>
      <x:c r="I734" t="str">
        <x:v>MFG016</x:v>
      </x:c>
      <x:c r="J734" t="str">
        <x:v>Manufacturer 016</x:v>
      </x:c>
      <x:c r="K734" t="str">
        <x:v>SUP002</x:v>
      </x:c>
      <x:c r="L734" t="str">
        <x:v>Supplier 002</x:v>
      </x:c>
      <x:c r="M734" t="str">
        <x:v>REG-584404</x:v>
      </x:c>
      <x:c r="N734" t="str">
        <x:v>Generic Ingredient 114</x:v>
      </x:c>
      <x:c r="O734" t="str">
        <x:v>General Sale</x:v>
      </x:c>
      <x:c r="P734" t="n">
        <x:v>22</x:v>
      </x:c>
      <x:c r="Q734" t="n">
        <x:v>22</x:v>
      </x:c>
      <x:c r="R734" t="n">
        <x:v>2</x:v>
      </x:c>
      <x:c r="S734" s="12" t="n">
        <x:f>E734*Q734</x:f>
        <x:v>1613.6999999999998</x:v>
      </x:c>
      <x:c r="T734" s="12" t="n">
        <x:f>ROUND(S734*F734+0.000000001,2)</x:f>
        <x:v>488.95</x:v>
      </x:c>
      <x:c r="U734" s="12" t="n">
        <x:f>E734*R734</x:f>
        <x:v>146.7</x:v>
      </x:c>
      <x:c r="V734" t="str">
        <x:f>IF(AND(C734="Active",Q734=0),"Active Zero Sales","Not Zero Sales")</x:f>
        <x:v>Not Zero Sales</x:v>
      </x:c>
      <x:c r="W734" s="12" t="n">
        <x:f>IF(V734="Active Zero Sales",U734,0)</x:f>
        <x:v>0</x:v>
      </x:c>
      <x:c r="X734" t="str">
        <x:f>IF(E734&lt;25,"Low &lt; 25",IF(E734&lt;100,"Medium 25-99",IF(E734&lt;300,"High 100-299","Premium 300+")))</x:f>
        <x:v>Medium 25-99</x:v>
      </x:c>
      <x:c r="Y734" t="n">
        <x:f>IF(C734="Active",1,0)</x:f>
        <x:v>1</x:v>
      </x:c>
    </x:row>
    <x:row r="735">
      <x:c r="A735" t="str">
        <x:v>SKU00734</x:v>
      </x:c>
      <x:c r="B735" t="str">
        <x:v>Sample Product 00734</x:v>
      </x:c>
      <x:c r="C735" t="str">
        <x:v>Active</x:v>
      </x:c>
      <x:c r="D735" t="str">
        <x:v>2026-03</x:v>
      </x:c>
      <x:c r="E735" s="12" t="n">
        <x:v>10.95</x:v>
      </x:c>
      <x:c r="F735" s="10" t="n">
        <x:v>0.439</x:v>
      </x:c>
      <x:c r="G735" t="str">
        <x:v>Personal Care</x:v>
      </x:c>
      <x:c r="H735" t="str">
        <x:v>Skin Care</x:v>
      </x:c>
      <x:c r="I735" t="str">
        <x:v>MFG013</x:v>
      </x:c>
      <x:c r="J735" t="str">
        <x:v>Manufacturer 013</x:v>
      </x:c>
      <x:c r="K735" t="str">
        <x:v>SUP011</x:v>
      </x:c>
      <x:c r="L735" t="str">
        <x:v>Supplier 011</x:v>
      </x:c>
      <x:c r="M735" t="str">
        <x:v>REG-435605</x:v>
      </x:c>
      <x:c r="N735" t="str">
        <x:v>Generic Ingredient 022</x:v>
      </x:c>
      <x:c r="O735" t="str">
        <x:v>General Sale</x:v>
      </x:c>
      <x:c r="P735" t="n">
        <x:v>3</x:v>
      </x:c>
      <x:c r="Q735" t="n">
        <x:v>0</x:v>
      </x:c>
      <x:c r="R735" t="n">
        <x:v>3</x:v>
      </x:c>
      <x:c r="S735" s="12" t="n">
        <x:f>E735*Q735</x:f>
        <x:v>0</x:v>
      </x:c>
      <x:c r="T735" s="12" t="n">
        <x:f>ROUND(S735*F735+0.000000001,2)</x:f>
        <x:v>0</x:v>
      </x:c>
      <x:c r="U735" s="12" t="n">
        <x:f>E735*R735</x:f>
        <x:v>32.849999999999994</x:v>
      </x:c>
      <x:c r="V735" t="str">
        <x:f>IF(AND(C735="Active",Q735=0),"Active Zero Sales","Not Zero Sales")</x:f>
        <x:v>Active Zero Sales</x:v>
      </x:c>
      <x:c r="W735" s="12" t="n">
        <x:f>IF(V735="Active Zero Sales",U735,0)</x:f>
        <x:v>32.849999999999994</x:v>
      </x:c>
      <x:c r="X735" t="str">
        <x:f>IF(E735&lt;25,"Low &lt; 25",IF(E735&lt;100,"Medium 25-99",IF(E735&lt;300,"High 100-299","Premium 300+")))</x:f>
        <x:v>Low &lt; 25</x:v>
      </x:c>
      <x:c r="Y735" t="n">
        <x:f>IF(C735="Active",1,0)</x:f>
        <x:v>1</x:v>
      </x:c>
    </x:row>
    <x:row r="736">
      <x:c r="A736" t="str">
        <x:v>SKU00735</x:v>
      </x:c>
      <x:c r="B736" t="str">
        <x:v>Sample Product 00735</x:v>
      </x:c>
      <x:c r="C736" t="str">
        <x:v>Blocked</x:v>
      </x:c>
      <x:c r="D736" t="str">
        <x:v>2026-06</x:v>
      </x:c>
      <x:c r="E736" s="12" t="n">
        <x:v>23.78</x:v>
      </x:c>
      <x:c r="F736" s="10" t="n">
        <x:v>0.299</x:v>
      </x:c>
      <x:c r="G736" t="str">
        <x:v>OTC &amp; Wellness</x:v>
      </x:c>
      <x:c r="H736" t="str">
        <x:v>Vitamins</x:v>
      </x:c>
      <x:c r="I736" t="str">
        <x:v>MFG018</x:v>
      </x:c>
      <x:c r="J736" t="str">
        <x:v>Manufacturer 018</x:v>
      </x:c>
      <x:c r="K736" t="str">
        <x:v>SUP005</x:v>
      </x:c>
      <x:c r="L736" t="str">
        <x:v>Supplier 005</x:v>
      </x:c>
      <x:c r="M736" t="str">
        <x:v>REG-141013</x:v>
      </x:c>
      <x:c r="N736" t="str">
        <x:v>Generic Ingredient 142</x:v>
      </x:c>
      <x:c r="O736" t="str">
        <x:v>Pharmacy Only</x:v>
      </x:c>
      <x:c r="P736" t="n">
        <x:v>43</x:v>
      </x:c>
      <x:c r="Q736" t="n">
        <x:v>0</x:v>
      </x:c>
      <x:c r="R736" t="n">
        <x:v>0</x:v>
      </x:c>
      <x:c r="S736" s="12" t="n">
        <x:f>E736*Q736</x:f>
        <x:v>0</x:v>
      </x:c>
      <x:c r="T736" s="12" t="n">
        <x:f>ROUND(S736*F736+0.000000001,2)</x:f>
        <x:v>0</x:v>
      </x:c>
      <x:c r="U736" s="12" t="n">
        <x:f>E736*R736</x:f>
        <x:v>0</x:v>
      </x:c>
      <x:c r="V736" t="str">
        <x:f>IF(AND(C736="Active",Q736=0),"Active Zero Sales","Not Zero Sales")</x:f>
        <x:v>Not Zero Sales</x:v>
      </x:c>
      <x:c r="W736" s="12" t="n">
        <x:f>IF(V736="Active Zero Sales",U736,0)</x:f>
        <x:v>0</x:v>
      </x:c>
      <x:c r="X736" t="str">
        <x:f>IF(E736&lt;25,"Low &lt; 25",IF(E736&lt;100,"Medium 25-99",IF(E736&lt;300,"High 100-299","Premium 300+")))</x:f>
        <x:v>Low &lt; 25</x:v>
      </x:c>
      <x:c r="Y736" t="n">
        <x:f>IF(C736="Active",1,0)</x:f>
        <x:v>0</x:v>
      </x:c>
    </x:row>
    <x:row r="737">
      <x:c r="A737" t="str">
        <x:v>SKU00736</x:v>
      </x:c>
      <x:c r="B737" t="str">
        <x:v>Sample Product 00736</x:v>
      </x:c>
      <x:c r="C737" t="str">
        <x:v>Active</x:v>
      </x:c>
      <x:c r="D737" t="str">
        <x:v>2026-05</x:v>
      </x:c>
      <x:c r="E737" s="12" t="n">
        <x:v>8.49</x:v>
      </x:c>
      <x:c r="F737" s="10" t="n">
        <x:v>0.283</x:v>
      </x:c>
      <x:c r="G737" t="str">
        <x:v>Medical Devices</x:v>
      </x:c>
      <x:c r="H737" t="str">
        <x:v>Home Diagnostics</x:v>
      </x:c>
      <x:c r="I737" t="str">
        <x:v>MFG015</x:v>
      </x:c>
      <x:c r="J737" t="str">
        <x:v>Manufacturer 015</x:v>
      </x:c>
      <x:c r="K737" t="str">
        <x:v>SUP003</x:v>
      </x:c>
      <x:c r="L737" t="str">
        <x:v>Supplier 003</x:v>
      </x:c>
      <x:c r="M737" t="str">
        <x:v>REG-763611</x:v>
      </x:c>
      <x:c r="N737" t="str">
        <x:v>Generic Ingredient 141</x:v>
      </x:c>
      <x:c r="O737" t="str">
        <x:v>General Sale</x:v>
      </x:c>
      <x:c r="P737" t="n">
        <x:v>137</x:v>
      </x:c>
      <x:c r="Q737" t="n">
        <x:v>61</x:v>
      </x:c>
      <x:c r="R737" t="n">
        <x:v>37</x:v>
      </x:c>
      <x:c r="S737" s="12" t="n">
        <x:f>E737*Q737</x:f>
        <x:v>517.89</x:v>
      </x:c>
      <x:c r="T737" s="12" t="n">
        <x:f>ROUND(S737*F737+0.000000001,2)</x:f>
        <x:v>146.56</x:v>
      </x:c>
      <x:c r="U737" s="12" t="n">
        <x:f>E737*R737</x:f>
        <x:v>314.13</x:v>
      </x:c>
      <x:c r="V737" t="str">
        <x:f>IF(AND(C737="Active",Q737=0),"Active Zero Sales","Not Zero Sales")</x:f>
        <x:v>Not Zero Sales</x:v>
      </x:c>
      <x:c r="W737" s="12" t="n">
        <x:f>IF(V737="Active Zero Sales",U737,0)</x:f>
        <x:v>0</x:v>
      </x:c>
      <x:c r="X737" t="str">
        <x:f>IF(E737&lt;25,"Low &lt; 25",IF(E737&lt;100,"Medium 25-99",IF(E737&lt;300,"High 100-299","Premium 300+")))</x:f>
        <x:v>Low &lt; 25</x:v>
      </x:c>
      <x:c r="Y737" t="n">
        <x:f>IF(C737="Active",1,0)</x:f>
        <x:v>1</x:v>
      </x:c>
    </x:row>
    <x:row r="738">
      <x:c r="A738" t="str">
        <x:v>SKU00737</x:v>
      </x:c>
      <x:c r="B738" t="str">
        <x:v>Sample Product 00737</x:v>
      </x:c>
      <x:c r="C738" t="str">
        <x:v>Active</x:v>
      </x:c>
      <x:c r="D738" t="str">
        <x:v>2026-04</x:v>
      </x:c>
      <x:c r="E738" s="12" t="n">
        <x:v>9.82</x:v>
      </x:c>
      <x:c r="F738" s="10" t="n">
        <x:v>0.343</x:v>
      </x:c>
      <x:c r="G738" t="str">
        <x:v>General Merchandise</x:v>
      </x:c>
      <x:c r="H738" t="str">
        <x:v>Accessories</x:v>
      </x:c>
      <x:c r="I738" t="str">
        <x:v>MFG013</x:v>
      </x:c>
      <x:c r="J738" t="str">
        <x:v>Manufacturer 013</x:v>
      </x:c>
      <x:c r="K738" t="str">
        <x:v>SUP009</x:v>
      </x:c>
      <x:c r="L738" t="str">
        <x:v>Supplier 009</x:v>
      </x:c>
      <x:c r="M738" t="str">
        <x:v>REG-577520</x:v>
      </x:c>
      <x:c r="N738" t="str">
        <x:v>Generic Ingredient 123</x:v>
      </x:c>
      <x:c r="O738" t="str">
        <x:v>General Sale</x:v>
      </x:c>
      <x:c r="P738" t="n">
        <x:v>42</x:v>
      </x:c>
      <x:c r="Q738" t="n">
        <x:v>22</x:v>
      </x:c>
      <x:c r="R738" t="n">
        <x:v>0</x:v>
      </x:c>
      <x:c r="S738" s="12" t="n">
        <x:f>E738*Q738</x:f>
        <x:v>216.04000000000002</x:v>
      </x:c>
      <x:c r="T738" s="12" t="n">
        <x:f>ROUND(S738*F738+0.000000001,2)</x:f>
        <x:v>74.1</x:v>
      </x:c>
      <x:c r="U738" s="12" t="n">
        <x:f>E738*R738</x:f>
        <x:v>0</x:v>
      </x:c>
      <x:c r="V738" t="str">
        <x:f>IF(AND(C738="Active",Q738=0),"Active Zero Sales","Not Zero Sales")</x:f>
        <x:v>Not Zero Sales</x:v>
      </x:c>
      <x:c r="W738" s="12" t="n">
        <x:f>IF(V738="Active Zero Sales",U738,0)</x:f>
        <x:v>0</x:v>
      </x:c>
      <x:c r="X738" t="str">
        <x:f>IF(E738&lt;25,"Low &lt; 25",IF(E738&lt;100,"Medium 25-99",IF(E738&lt;300,"High 100-299","Premium 300+")))</x:f>
        <x:v>Low &lt; 25</x:v>
      </x:c>
      <x:c r="Y738" t="n">
        <x:f>IF(C738="Active",1,0)</x:f>
        <x:v>1</x:v>
      </x:c>
    </x:row>
    <x:row r="739">
      <x:c r="A739" t="str">
        <x:v>SKU00738</x:v>
      </x:c>
      <x:c r="B739" t="str">
        <x:v>Sample Product 00738</x:v>
      </x:c>
      <x:c r="C739" t="str">
        <x:v>Active</x:v>
      </x:c>
      <x:c r="D739" t="str">
        <x:v>2026-05</x:v>
      </x:c>
      <x:c r="E739" s="12" t="n">
        <x:v>258.83</x:v>
      </x:c>
      <x:c r="F739" s="10" t="n">
        <x:v>0.314</x:v>
      </x:c>
      <x:c r="G739" t="str">
        <x:v>Nutrition</x:v>
      </x:c>
      <x:c r="H739" t="str">
        <x:v>Healthy Snacks</x:v>
      </x:c>
      <x:c r="I739" t="str">
        <x:v>MFG012</x:v>
      </x:c>
      <x:c r="J739" t="str">
        <x:v>Manufacturer 012</x:v>
      </x:c>
      <x:c r="K739" t="str">
        <x:v>SUP026</x:v>
      </x:c>
      <x:c r="L739" t="str">
        <x:v>Supplier 026</x:v>
      </x:c>
      <x:c r="M739" t="str">
        <x:v>REG-249957</x:v>
      </x:c>
      <x:c r="N739" t="str">
        <x:v>Generic Ingredient 045</x:v>
      </x:c>
      <x:c r="O739" t="str">
        <x:v>General Sale</x:v>
      </x:c>
      <x:c r="P739" t="n">
        <x:v>63</x:v>
      </x:c>
      <x:c r="Q739" t="n">
        <x:v>12</x:v>
      </x:c>
      <x:c r="R739" t="n">
        <x:v>10</x:v>
      </x:c>
      <x:c r="S739" s="12" t="n">
        <x:f>E739*Q739</x:f>
        <x:v>3105.96</x:v>
      </x:c>
      <x:c r="T739" s="12" t="n">
        <x:f>ROUND(S739*F739+0.000000001,2)</x:f>
        <x:v>975.27</x:v>
      </x:c>
      <x:c r="U739" s="12" t="n">
        <x:f>E739*R739</x:f>
        <x:v>2588.2999999999997</x:v>
      </x:c>
      <x:c r="V739" t="str">
        <x:f>IF(AND(C739="Active",Q739=0),"Active Zero Sales","Not Zero Sales")</x:f>
        <x:v>Not Zero Sales</x:v>
      </x:c>
      <x:c r="W739" s="12" t="n">
        <x:f>IF(V739="Active Zero Sales",U739,0)</x:f>
        <x:v>0</x:v>
      </x:c>
      <x:c r="X739" t="str">
        <x:f>IF(E739&lt;25,"Low &lt; 25",IF(E739&lt;100,"Medium 25-99",IF(E739&lt;300,"High 100-299","Premium 300+")))</x:f>
        <x:v>High 100-299</x:v>
      </x:c>
      <x:c r="Y739" t="n">
        <x:f>IF(C739="Active",1,0)</x:f>
        <x:v>1</x:v>
      </x:c>
    </x:row>
    <x:row r="740">
      <x:c r="A740" t="str">
        <x:v>SKU00739</x:v>
      </x:c>
      <x:c r="B740" t="str">
        <x:v>Sample Product 00739</x:v>
      </x:c>
      <x:c r="C740" t="str">
        <x:v>Active</x:v>
      </x:c>
      <x:c r="D740" t="str">
        <x:v>2026-04</x:v>
      </x:c>
      <x:c r="E740" s="12" t="n">
        <x:v>13.04</x:v>
      </x:c>
      <x:c r="F740" s="10" t="n">
        <x:v>0.424</x:v>
      </x:c>
      <x:c r="G740" t="str">
        <x:v>Personal Care</x:v>
      </x:c>
      <x:c r="H740" t="str">
        <x:v>Hygiene</x:v>
      </x:c>
      <x:c r="I740" t="str">
        <x:v>MFG002</x:v>
      </x:c>
      <x:c r="J740" t="str">
        <x:v>Manufacturer 002</x:v>
      </x:c>
      <x:c r="K740" t="str">
        <x:v>SUP020</x:v>
      </x:c>
      <x:c r="L740" t="str">
        <x:v>Supplier 020</x:v>
      </x:c>
      <x:c r="M740" t="str">
        <x:v>REG-845079</x:v>
      </x:c>
      <x:c r="N740" t="str">
        <x:v>Generic Ingredient 170</x:v>
      </x:c>
      <x:c r="O740" t="str">
        <x:v>General Sale</x:v>
      </x:c>
      <x:c r="P740" t="n">
        <x:v>57</x:v>
      </x:c>
      <x:c r="Q740" t="n">
        <x:v>36</x:v>
      </x:c>
      <x:c r="R740" t="n">
        <x:v>10</x:v>
      </x:c>
      <x:c r="S740" s="12" t="n">
        <x:f>E740*Q740</x:f>
        <x:v>469.43999999999994</x:v>
      </x:c>
      <x:c r="T740" s="12" t="n">
        <x:f>ROUND(S740*F740+0.000000001,2)</x:f>
        <x:v>199.04</x:v>
      </x:c>
      <x:c r="U740" s="12" t="n">
        <x:f>E740*R740</x:f>
        <x:v>130.39999999999998</x:v>
      </x:c>
      <x:c r="V740" t="str">
        <x:f>IF(AND(C740="Active",Q740=0),"Active Zero Sales","Not Zero Sales")</x:f>
        <x:v>Not Zero Sales</x:v>
      </x:c>
      <x:c r="W740" s="12" t="n">
        <x:f>IF(V740="Active Zero Sales",U740,0)</x:f>
        <x:v>0</x:v>
      </x:c>
      <x:c r="X740" t="str">
        <x:f>IF(E740&lt;25,"Low &lt; 25",IF(E740&lt;100,"Medium 25-99",IF(E740&lt;300,"High 100-299","Premium 300+")))</x:f>
        <x:v>Low &lt; 25</x:v>
      </x:c>
      <x:c r="Y740" t="n">
        <x:f>IF(C740="Active",1,0)</x:f>
        <x:v>1</x:v>
      </x:c>
    </x:row>
    <x:row r="741">
      <x:c r="A741" t="str">
        <x:v>SKU00740</x:v>
      </x:c>
      <x:c r="B741" t="str">
        <x:v>Sample Product 00740</x:v>
      </x:c>
      <x:c r="C741" t="str">
        <x:v>Active</x:v>
      </x:c>
      <x:c r="D741" t="str">
        <x:v>2026-04</x:v>
      </x:c>
      <x:c r="E741" s="12" t="n">
        <x:v>60.83</x:v>
      </x:c>
      <x:c r="F741" s="10" t="n">
        <x:v>0.367</x:v>
      </x:c>
      <x:c r="G741" t="str">
        <x:v>Personal Care</x:v>
      </x:c>
      <x:c r="H741" t="str">
        <x:v>Hygiene</x:v>
      </x:c>
      <x:c r="I741" t="str">
        <x:v>MFG017</x:v>
      </x:c>
      <x:c r="J741" t="str">
        <x:v>Manufacturer 017</x:v>
      </x:c>
      <x:c r="K741" t="str">
        <x:v>SUP029</x:v>
      </x:c>
      <x:c r="L741" t="str">
        <x:v>Supplier 029</x:v>
      </x:c>
      <x:c r="M741" t="str">
        <x:v>REG-654258</x:v>
      </x:c>
      <x:c r="N741" t="str">
        <x:v>Generic Ingredient 003</x:v>
      </x:c>
      <x:c r="O741" t="str">
        <x:v>Pharmacy Only</x:v>
      </x:c>
      <x:c r="P741" t="n">
        <x:v>64</x:v>
      </x:c>
      <x:c r="Q741" t="n">
        <x:v>9</x:v>
      </x:c>
      <x:c r="R741" t="n">
        <x:v>9</x:v>
      </x:c>
      <x:c r="S741" s="12" t="n">
        <x:f>E741*Q741</x:f>
        <x:v>547.47</x:v>
      </x:c>
      <x:c r="T741" s="12" t="n">
        <x:f>ROUND(S741*F741+0.000000001,2)</x:f>
        <x:v>200.92</x:v>
      </x:c>
      <x:c r="U741" s="12" t="n">
        <x:f>E741*R741</x:f>
        <x:v>547.47</x:v>
      </x:c>
      <x:c r="V741" t="str">
        <x:f>IF(AND(C741="Active",Q741=0),"Active Zero Sales","Not Zero Sales")</x:f>
        <x:v>Not Zero Sales</x:v>
      </x:c>
      <x:c r="W741" s="12" t="n">
        <x:f>IF(V741="Active Zero Sales",U741,0)</x:f>
        <x:v>0</x:v>
      </x:c>
      <x:c r="X741" t="str">
        <x:f>IF(E741&lt;25,"Low &lt; 25",IF(E741&lt;100,"Medium 25-99",IF(E741&lt;300,"High 100-299","Premium 300+")))</x:f>
        <x:v>Medium 25-99</x:v>
      </x:c>
      <x:c r="Y741" t="n">
        <x:f>IF(C741="Active",1,0)</x:f>
        <x:v>1</x:v>
      </x:c>
    </x:row>
    <x:row r="742">
      <x:c r="A742" t="str">
        <x:v>SKU00741</x:v>
      </x:c>
      <x:c r="B742" t="str">
        <x:v>Sample Product 00741</x:v>
      </x:c>
      <x:c r="C742" t="str">
        <x:v>Active</x:v>
      </x:c>
      <x:c r="D742" t="str">
        <x:v>2026-01</x:v>
      </x:c>
      <x:c r="E742" s="12" t="n">
        <x:v>76.27</x:v>
      </x:c>
      <x:c r="F742" s="10" t="n">
        <x:v>0.368</x:v>
      </x:c>
      <x:c r="G742" t="str">
        <x:v>General Merchandise</x:v>
      </x:c>
      <x:c r="H742" t="str">
        <x:v>Accessories</x:v>
      </x:c>
      <x:c r="I742" t="str">
        <x:v>MFG017</x:v>
      </x:c>
      <x:c r="J742" t="str">
        <x:v>Manufacturer 017</x:v>
      </x:c>
      <x:c r="K742" t="str">
        <x:v>SUP020</x:v>
      </x:c>
      <x:c r="L742" t="str">
        <x:v>Supplier 020</x:v>
      </x:c>
      <x:c r="M742" t="str">
        <x:v>REG-450490</x:v>
      </x:c>
      <x:c r="N742" t="str">
        <x:v>Generic Ingredient 135</x:v>
      </x:c>
      <x:c r="O742" t="str">
        <x:v>General Sale</x:v>
      </x:c>
      <x:c r="P742" t="n">
        <x:v>17</x:v>
      </x:c>
      <x:c r="Q742" t="n">
        <x:v>17</x:v>
      </x:c>
      <x:c r="R742" t="n">
        <x:v>2</x:v>
      </x:c>
      <x:c r="S742" s="12" t="n">
        <x:f>E742*Q742</x:f>
        <x:v>1296.59</x:v>
      </x:c>
      <x:c r="T742" s="12" t="n">
        <x:f>ROUND(S742*F742+0.000000001,2)</x:f>
        <x:v>477.15</x:v>
      </x:c>
      <x:c r="U742" s="12" t="n">
        <x:f>E742*R742</x:f>
        <x:v>152.54</x:v>
      </x:c>
      <x:c r="V742" t="str">
        <x:f>IF(AND(C742="Active",Q742=0),"Active Zero Sales","Not Zero Sales")</x:f>
        <x:v>Not Zero Sales</x:v>
      </x:c>
      <x:c r="W742" s="12" t="n">
        <x:f>IF(V742="Active Zero Sales",U742,0)</x:f>
        <x:v>0</x:v>
      </x:c>
      <x:c r="X742" t="str">
        <x:f>IF(E742&lt;25,"Low &lt; 25",IF(E742&lt;100,"Medium 25-99",IF(E742&lt;300,"High 100-299","Premium 300+")))</x:f>
        <x:v>Medium 25-99</x:v>
      </x:c>
      <x:c r="Y742" t="n">
        <x:f>IF(C742="Active",1,0)</x:f>
        <x:v>1</x:v>
      </x:c>
    </x:row>
    <x:row r="743">
      <x:c r="A743" t="str">
        <x:v>SKU00742</x:v>
      </x:c>
      <x:c r="B743" t="str">
        <x:v>Sample Product 00742</x:v>
      </x:c>
      <x:c r="C743" t="str">
        <x:v>Active</x:v>
      </x:c>
      <x:c r="D743" t="str">
        <x:v>2026-01</x:v>
      </x:c>
      <x:c r="E743" s="12" t="n">
        <x:v>70.8</x:v>
      </x:c>
      <x:c r="F743" s="10" t="n">
        <x:v>0.406</x:v>
      </x:c>
      <x:c r="G743" t="str">
        <x:v>Personal Care</x:v>
      </x:c>
      <x:c r="H743" t="str">
        <x:v>Hair Care</x:v>
      </x:c>
      <x:c r="I743" t="str">
        <x:v>MFG013</x:v>
      </x:c>
      <x:c r="J743" t="str">
        <x:v>Manufacturer 013</x:v>
      </x:c>
      <x:c r="K743" t="str">
        <x:v>SUP019</x:v>
      </x:c>
      <x:c r="L743" t="str">
        <x:v>Supplier 019</x:v>
      </x:c>
      <x:c r="M743" t="str">
        <x:v>REG-735259</x:v>
      </x:c>
      <x:c r="N743" t="str">
        <x:v>Generic Ingredient 034</x:v>
      </x:c>
      <x:c r="O743" t="str">
        <x:v>General Sale</x:v>
      </x:c>
      <x:c r="P743" t="n">
        <x:v>58</x:v>
      </x:c>
      <x:c r="Q743" t="n">
        <x:v>0</x:v>
      </x:c>
      <x:c r="R743" t="n">
        <x:v>15</x:v>
      </x:c>
      <x:c r="S743" s="12" t="n">
        <x:f>E743*Q743</x:f>
        <x:v>0</x:v>
      </x:c>
      <x:c r="T743" s="12" t="n">
        <x:f>ROUND(S743*F743+0.000000001,2)</x:f>
        <x:v>0</x:v>
      </x:c>
      <x:c r="U743" s="12" t="n">
        <x:f>E743*R743</x:f>
        <x:v>1062</x:v>
      </x:c>
      <x:c r="V743" t="str">
        <x:f>IF(AND(C743="Active",Q743=0),"Active Zero Sales","Not Zero Sales")</x:f>
        <x:v>Active Zero Sales</x:v>
      </x:c>
      <x:c r="W743" s="12" t="n">
        <x:f>IF(V743="Active Zero Sales",U743,0)</x:f>
        <x:v>1062</x:v>
      </x:c>
      <x:c r="X743" t="str">
        <x:f>IF(E743&lt;25,"Low &lt; 25",IF(E743&lt;100,"Medium 25-99",IF(E743&lt;300,"High 100-299","Premium 300+")))</x:f>
        <x:v>Medium 25-99</x:v>
      </x:c>
      <x:c r="Y743" t="n">
        <x:f>IF(C743="Active",1,0)</x:f>
        <x:v>1</x:v>
      </x:c>
    </x:row>
    <x:row r="744">
      <x:c r="A744" t="str">
        <x:v>SKU00743</x:v>
      </x:c>
      <x:c r="B744" t="str">
        <x:v>Sample Product 00743</x:v>
      </x:c>
      <x:c r="C744" t="str">
        <x:v>Blocked</x:v>
      </x:c>
      <x:c r="D744" t="str">
        <x:v>2026-04</x:v>
      </x:c>
      <x:c r="E744" s="12" t="n">
        <x:v>59.38</x:v>
      </x:c>
      <x:c r="F744" s="10" t="n">
        <x:v>0.375</x:v>
      </x:c>
      <x:c r="G744" t="str">
        <x:v>Nutrition</x:v>
      </x:c>
      <x:c r="H744" t="str">
        <x:v>Healthy Snacks</x:v>
      </x:c>
      <x:c r="I744" t="str">
        <x:v>MFG004</x:v>
      </x:c>
      <x:c r="J744" t="str">
        <x:v>Manufacturer 004</x:v>
      </x:c>
      <x:c r="K744" t="str">
        <x:v>SUP017</x:v>
      </x:c>
      <x:c r="L744" t="str">
        <x:v>Supplier 017</x:v>
      </x:c>
      <x:c r="M744" t="str">
        <x:v>REG-360799</x:v>
      </x:c>
      <x:c r="N744" t="str">
        <x:v>Generic Ingredient 164</x:v>
      </x:c>
      <x:c r="O744" t="str">
        <x:v>General Sale</x:v>
      </x:c>
      <x:c r="P744" t="n">
        <x:v>8</x:v>
      </x:c>
      <x:c r="Q744" t="n">
        <x:v>0</x:v>
      </x:c>
      <x:c r="R744" t="n">
        <x:v>0</x:v>
      </x:c>
      <x:c r="S744" s="12" t="n">
        <x:f>E744*Q744</x:f>
        <x:v>0</x:v>
      </x:c>
      <x:c r="T744" s="12" t="n">
        <x:f>ROUND(S744*F744+0.000000001,2)</x:f>
        <x:v>0</x:v>
      </x:c>
      <x:c r="U744" s="12" t="n">
        <x:f>E744*R744</x:f>
        <x:v>0</x:v>
      </x:c>
      <x:c r="V744" t="str">
        <x:f>IF(AND(C744="Active",Q744=0),"Active Zero Sales","Not Zero Sales")</x:f>
        <x:v>Not Zero Sales</x:v>
      </x:c>
      <x:c r="W744" s="12" t="n">
        <x:f>IF(V744="Active Zero Sales",U744,0)</x:f>
        <x:v>0</x:v>
      </x:c>
      <x:c r="X744" t="str">
        <x:f>IF(E744&lt;25,"Low &lt; 25",IF(E744&lt;100,"Medium 25-99",IF(E744&lt;300,"High 100-299","Premium 300+")))</x:f>
        <x:v>Medium 25-99</x:v>
      </x:c>
      <x:c r="Y744" t="n">
        <x:f>IF(C744="Active",1,0)</x:f>
        <x:v>0</x:v>
      </x:c>
    </x:row>
    <x:row r="745">
      <x:c r="A745" t="str">
        <x:v>SKU00744</x:v>
      </x:c>
      <x:c r="B745" t="str">
        <x:v>Sample Product 00744</x:v>
      </x:c>
      <x:c r="C745" t="str">
        <x:v>Active</x:v>
      </x:c>
      <x:c r="D745" t="str">
        <x:v>2026-02</x:v>
      </x:c>
      <x:c r="E745" s="12" t="n">
        <x:v>25.99</x:v>
      </x:c>
      <x:c r="F745" s="10" t="n">
        <x:v>0.355</x:v>
      </x:c>
      <x:c r="G745" t="str">
        <x:v>OTC &amp; Wellness</x:v>
      </x:c>
      <x:c r="H745" t="str">
        <x:v>Vitamins</x:v>
      </x:c>
      <x:c r="I745" t="str">
        <x:v>MFG018</x:v>
      </x:c>
      <x:c r="J745" t="str">
        <x:v>Manufacturer 018</x:v>
      </x:c>
      <x:c r="K745" t="str">
        <x:v>SUP030</x:v>
      </x:c>
      <x:c r="L745" t="str">
        <x:v>Supplier 030</x:v>
      </x:c>
      <x:c r="M745" t="str">
        <x:v>REG-918832</x:v>
      </x:c>
      <x:c r="N745" t="str">
        <x:v>Generic Ingredient 019</x:v>
      </x:c>
      <x:c r="O745" t="str">
        <x:v>General Sale</x:v>
      </x:c>
      <x:c r="P745" t="n">
        <x:v>115</x:v>
      </x:c>
      <x:c r="Q745" t="n">
        <x:v>58</x:v>
      </x:c>
      <x:c r="R745" t="n">
        <x:v>16</x:v>
      </x:c>
      <x:c r="S745" s="12" t="n">
        <x:f>E745*Q745</x:f>
        <x:v>1507.4199999999998</x:v>
      </x:c>
      <x:c r="T745" s="12" t="n">
        <x:f>ROUND(S745*F745+0.000000001,2)</x:f>
        <x:v>535.13</x:v>
      </x:c>
      <x:c r="U745" s="12" t="n">
        <x:f>E745*R745</x:f>
        <x:v>415.84</x:v>
      </x:c>
      <x:c r="V745" t="str">
        <x:f>IF(AND(C745="Active",Q745=0),"Active Zero Sales","Not Zero Sales")</x:f>
        <x:v>Not Zero Sales</x:v>
      </x:c>
      <x:c r="W745" s="12" t="n">
        <x:f>IF(V745="Active Zero Sales",U745,0)</x:f>
        <x:v>0</x:v>
      </x:c>
      <x:c r="X745" t="str">
        <x:f>IF(E745&lt;25,"Low &lt; 25",IF(E745&lt;100,"Medium 25-99",IF(E745&lt;300,"High 100-299","Premium 300+")))</x:f>
        <x:v>Medium 25-99</x:v>
      </x:c>
      <x:c r="Y745" t="n">
        <x:f>IF(C745="Active",1,0)</x:f>
        <x:v>1</x:v>
      </x:c>
    </x:row>
    <x:row r="746">
      <x:c r="A746" t="str">
        <x:v>SKU00745</x:v>
      </x:c>
      <x:c r="B746" t="str">
        <x:v>Sample Product 00745</x:v>
      </x:c>
      <x:c r="C746" t="str">
        <x:v>Blocked</x:v>
      </x:c>
      <x:c r="D746" t="str">
        <x:v>2026-04</x:v>
      </x:c>
      <x:c r="E746" s="12" t="n">
        <x:v>13.98</x:v>
      </x:c>
      <x:c r="F746" s="10" t="n">
        <x:v>0.319</x:v>
      </x:c>
      <x:c r="G746" t="str">
        <x:v>Medical Devices</x:v>
      </x:c>
      <x:c r="H746" t="str">
        <x:v>Monitoring Supplies</x:v>
      </x:c>
      <x:c r="I746" t="str">
        <x:v>MFG005</x:v>
      </x:c>
      <x:c r="J746" t="str">
        <x:v>Manufacturer 005</x:v>
      </x:c>
      <x:c r="K746" t="str">
        <x:v>SUP001</x:v>
      </x:c>
      <x:c r="L746" t="str">
        <x:v>Supplier 001</x:v>
      </x:c>
      <x:c r="M746" t="str">
        <x:v>REG-523897</x:v>
      </x:c>
      <x:c r="N746" t="str">
        <x:v>Generic Ingredient 063</x:v>
      </x:c>
      <x:c r="O746" t="str">
        <x:v>General Sale</x:v>
      </x:c>
      <x:c r="P746" t="n">
        <x:v>50</x:v>
      </x:c>
      <x:c r="Q746" t="n">
        <x:v>0</x:v>
      </x:c>
      <x:c r="R746" t="n">
        <x:v>0</x:v>
      </x:c>
      <x:c r="S746" s="12" t="n">
        <x:f>E746*Q746</x:f>
        <x:v>0</x:v>
      </x:c>
      <x:c r="T746" s="12" t="n">
        <x:f>ROUND(S746*F746+0.000000001,2)</x:f>
        <x:v>0</x:v>
      </x:c>
      <x:c r="U746" s="12" t="n">
        <x:f>E746*R746</x:f>
        <x:v>0</x:v>
      </x:c>
      <x:c r="V746" t="str">
        <x:f>IF(AND(C746="Active",Q746=0),"Active Zero Sales","Not Zero Sales")</x:f>
        <x:v>Not Zero Sales</x:v>
      </x:c>
      <x:c r="W746" s="12" t="n">
        <x:f>IF(V746="Active Zero Sales",U746,0)</x:f>
        <x:v>0</x:v>
      </x:c>
      <x:c r="X746" t="str">
        <x:f>IF(E746&lt;25,"Low &lt; 25",IF(E746&lt;100,"Medium 25-99",IF(E746&lt;300,"High 100-299","Premium 300+")))</x:f>
        <x:v>Low &lt; 25</x:v>
      </x:c>
      <x:c r="Y746" t="n">
        <x:f>IF(C746="Active",1,0)</x:f>
        <x:v>0</x:v>
      </x:c>
    </x:row>
    <x:row r="747">
      <x:c r="A747" t="str">
        <x:v>SKU00746</x:v>
      </x:c>
      <x:c r="B747" t="str">
        <x:v>Sample Product 00746</x:v>
      </x:c>
      <x:c r="C747" t="str">
        <x:v>Active</x:v>
      </x:c>
      <x:c r="D747" t="str">
        <x:v>2026-01</x:v>
      </x:c>
      <x:c r="E747" s="12" t="n">
        <x:v>91.88</x:v>
      </x:c>
      <x:c r="F747" s="10" t="n">
        <x:v>0.433</x:v>
      </x:c>
      <x:c r="G747" t="str">
        <x:v>Nutrition</x:v>
      </x:c>
      <x:c r="H747" t="str">
        <x:v>Hydration</x:v>
      </x:c>
      <x:c r="I747" t="str">
        <x:v>MFG007</x:v>
      </x:c>
      <x:c r="J747" t="str">
        <x:v>Manufacturer 007</x:v>
      </x:c>
      <x:c r="K747" t="str">
        <x:v>SUP030</x:v>
      </x:c>
      <x:c r="L747" t="str">
        <x:v>Supplier 030</x:v>
      </x:c>
      <x:c r="M747" t="str">
        <x:v>REG-368933</x:v>
      </x:c>
      <x:c r="N747" t="str">
        <x:v>Generic Ingredient 055</x:v>
      </x:c>
      <x:c r="O747" t="str">
        <x:v>General Sale</x:v>
      </x:c>
      <x:c r="P747" t="n">
        <x:v>94</x:v>
      </x:c>
      <x:c r="Q747" t="n">
        <x:v>32</x:v>
      </x:c>
      <x:c r="R747" t="n">
        <x:v>33</x:v>
      </x:c>
      <x:c r="S747" s="12" t="n">
        <x:f>E747*Q747</x:f>
        <x:v>2940.16</x:v>
      </x:c>
      <x:c r="T747" s="12" t="n">
        <x:f>ROUND(S747*F747+0.000000001,2)</x:f>
        <x:v>1273.09</x:v>
      </x:c>
      <x:c r="U747" s="12" t="n">
        <x:f>E747*R747</x:f>
        <x:v>3032.04</x:v>
      </x:c>
      <x:c r="V747" t="str">
        <x:f>IF(AND(C747="Active",Q747=0),"Active Zero Sales","Not Zero Sales")</x:f>
        <x:v>Not Zero Sales</x:v>
      </x:c>
      <x:c r="W747" s="12" t="n">
        <x:f>IF(V747="Active Zero Sales",U747,0)</x:f>
        <x:v>0</x:v>
      </x:c>
      <x:c r="X747" t="str">
        <x:f>IF(E747&lt;25,"Low &lt; 25",IF(E747&lt;100,"Medium 25-99",IF(E747&lt;300,"High 100-299","Premium 300+")))</x:f>
        <x:v>Medium 25-99</x:v>
      </x:c>
      <x:c r="Y747" t="n">
        <x:f>IF(C747="Active",1,0)</x:f>
        <x:v>1</x:v>
      </x:c>
    </x:row>
    <x:row r="748">
      <x:c r="A748" t="str">
        <x:v>SKU00747</x:v>
      </x:c>
      <x:c r="B748" t="str">
        <x:v>Sample Product 00747</x:v>
      </x:c>
      <x:c r="C748" t="str">
        <x:v>Active</x:v>
      </x:c>
      <x:c r="D748" t="str">
        <x:v>2026-06</x:v>
      </x:c>
      <x:c r="E748" s="12" t="n">
        <x:v>96.57</x:v>
      </x:c>
      <x:c r="F748" s="10" t="n">
        <x:v>0.2</x:v>
      </x:c>
      <x:c r="G748" t="str">
        <x:v>Personal Care</x:v>
      </x:c>
      <x:c r="H748" t="str">
        <x:v>Hair Care</x:v>
      </x:c>
      <x:c r="I748" t="str">
        <x:v>MFG003</x:v>
      </x:c>
      <x:c r="J748" t="str">
        <x:v>Manufacturer 003</x:v>
      </x:c>
      <x:c r="K748" t="str">
        <x:v>SUP018</x:v>
      </x:c>
      <x:c r="L748" t="str">
        <x:v>Supplier 018</x:v>
      </x:c>
      <x:c r="M748" t="str">
        <x:v>REG-672680</x:v>
      </x:c>
      <x:c r="N748" t="str">
        <x:v>Generic Ingredient 046</x:v>
      </x:c>
      <x:c r="O748" t="str">
        <x:v>General Sale</x:v>
      </x:c>
      <x:c r="P748" t="n">
        <x:v>31</x:v>
      </x:c>
      <x:c r="Q748" t="n">
        <x:v>6</x:v>
      </x:c>
      <x:c r="R748" t="n">
        <x:v>5</x:v>
      </x:c>
      <x:c r="S748" s="12" t="n">
        <x:f>E748*Q748</x:f>
        <x:v>579.42</x:v>
      </x:c>
      <x:c r="T748" s="12" t="n">
        <x:f>ROUND(S748*F748+0.000000001,2)</x:f>
        <x:v>115.88</x:v>
      </x:c>
      <x:c r="U748" s="12" t="n">
        <x:f>E748*R748</x:f>
        <x:v>482.84999999999997</x:v>
      </x:c>
      <x:c r="V748" t="str">
        <x:f>IF(AND(C748="Active",Q748=0),"Active Zero Sales","Not Zero Sales")</x:f>
        <x:v>Not Zero Sales</x:v>
      </x:c>
      <x:c r="W748" s="12" t="n">
        <x:f>IF(V748="Active Zero Sales",U748,0)</x:f>
        <x:v>0</x:v>
      </x:c>
      <x:c r="X748" t="str">
        <x:f>IF(E748&lt;25,"Low &lt; 25",IF(E748&lt;100,"Medium 25-99",IF(E748&lt;300,"High 100-299","Premium 300+")))</x:f>
        <x:v>Medium 25-99</x:v>
      </x:c>
      <x:c r="Y748" t="n">
        <x:f>IF(C748="Active",1,0)</x:f>
        <x:v>1</x:v>
      </x:c>
    </x:row>
    <x:row r="749">
      <x:c r="A749" t="str">
        <x:v>SKU00748</x:v>
      </x:c>
      <x:c r="B749" t="str">
        <x:v>Sample Product 00748</x:v>
      </x:c>
      <x:c r="C749" t="str">
        <x:v>Blocked</x:v>
      </x:c>
      <x:c r="D749" t="str">
        <x:v>2026-03</x:v>
      </x:c>
      <x:c r="E749" s="12" t="n">
        <x:v>16</x:v>
      </x:c>
      <x:c r="F749" s="10" t="n">
        <x:v>0.303</x:v>
      </x:c>
      <x:c r="G749" t="str">
        <x:v>General Merchandise</x:v>
      </x:c>
      <x:c r="H749" t="str">
        <x:v>Baby Essentials</x:v>
      </x:c>
      <x:c r="I749" t="str">
        <x:v>MFG007</x:v>
      </x:c>
      <x:c r="J749" t="str">
        <x:v>Manufacturer 007</x:v>
      </x:c>
      <x:c r="K749" t="str">
        <x:v>SUP018</x:v>
      </x:c>
      <x:c r="L749" t="str">
        <x:v>Supplier 018</x:v>
      </x:c>
      <x:c r="M749" t="str">
        <x:v>REG-771726</x:v>
      </x:c>
      <x:c r="N749" t="str">
        <x:v>Generic Ingredient 111</x:v>
      </x:c>
      <x:c r="O749" t="str">
        <x:v>General Sale</x:v>
      </x:c>
      <x:c r="P749" t="n">
        <x:v>38</x:v>
      </x:c>
      <x:c r="Q749" t="n">
        <x:v>0</x:v>
      </x:c>
      <x:c r="R749" t="n">
        <x:v>0</x:v>
      </x:c>
      <x:c r="S749" s="12" t="n">
        <x:f>E749*Q749</x:f>
        <x:v>0</x:v>
      </x:c>
      <x:c r="T749" s="12" t="n">
        <x:f>ROUND(S749*F749+0.000000001,2)</x:f>
        <x:v>0</x:v>
      </x:c>
      <x:c r="U749" s="12" t="n">
        <x:f>E749*R749</x:f>
        <x:v>0</x:v>
      </x:c>
      <x:c r="V749" t="str">
        <x:f>IF(AND(C749="Active",Q749=0),"Active Zero Sales","Not Zero Sales")</x:f>
        <x:v>Not Zero Sales</x:v>
      </x:c>
      <x:c r="W749" s="12" t="n">
        <x:f>IF(V749="Active Zero Sales",U749,0)</x:f>
        <x:v>0</x:v>
      </x:c>
      <x:c r="X749" t="str">
        <x:f>IF(E749&lt;25,"Low &lt; 25",IF(E749&lt;100,"Medium 25-99",IF(E749&lt;300,"High 100-299","Premium 300+")))</x:f>
        <x:v>Low &lt; 25</x:v>
      </x:c>
      <x:c r="Y749" t="n">
        <x:f>IF(C749="Active",1,0)</x:f>
        <x:v>0</x:v>
      </x:c>
    </x:row>
    <x:row r="750">
      <x:c r="A750" t="str">
        <x:v>SKU00749</x:v>
      </x:c>
      <x:c r="B750" t="str">
        <x:v>Sample Product 00749</x:v>
      </x:c>
      <x:c r="C750" t="str">
        <x:v>Active</x:v>
      </x:c>
      <x:c r="D750" t="str">
        <x:v>2026-03</x:v>
      </x:c>
      <x:c r="E750" s="12" t="n">
        <x:v>121.22</x:v>
      </x:c>
      <x:c r="F750" s="10" t="n">
        <x:v>0.356</x:v>
      </x:c>
      <x:c r="G750" t="str">
        <x:v>Nutrition</x:v>
      </x:c>
      <x:c r="H750" t="str">
        <x:v>Sports Nutrition</x:v>
      </x:c>
      <x:c r="I750" t="str">
        <x:v>MFG011</x:v>
      </x:c>
      <x:c r="J750" t="str">
        <x:v>Manufacturer 011</x:v>
      </x:c>
      <x:c r="K750" t="str">
        <x:v>SUP014</x:v>
      </x:c>
      <x:c r="L750" t="str">
        <x:v>Supplier 014</x:v>
      </x:c>
      <x:c r="M750" t="str">
        <x:v>REG-355977</x:v>
      </x:c>
      <x:c r="N750" t="str">
        <x:v>Generic Ingredient 028</x:v>
      </x:c>
      <x:c r="O750" t="str">
        <x:v>General Sale</x:v>
      </x:c>
      <x:c r="P750" t="n">
        <x:v>74</x:v>
      </x:c>
      <x:c r="Q750" t="n">
        <x:v>55</x:v>
      </x:c>
      <x:c r="R750" t="n">
        <x:v>16</x:v>
      </x:c>
      <x:c r="S750" s="12" t="n">
        <x:f>E750*Q750</x:f>
        <x:v>6667.1</x:v>
      </x:c>
      <x:c r="T750" s="12" t="n">
        <x:f>ROUND(S750*F750+0.000000001,2)</x:f>
        <x:v>2373.49</x:v>
      </x:c>
      <x:c r="U750" s="12" t="n">
        <x:f>E750*R750</x:f>
        <x:v>1939.52</x:v>
      </x:c>
      <x:c r="V750" t="str">
        <x:f>IF(AND(C750="Active",Q750=0),"Active Zero Sales","Not Zero Sales")</x:f>
        <x:v>Not Zero Sales</x:v>
      </x:c>
      <x:c r="W750" s="12" t="n">
        <x:f>IF(V750="Active Zero Sales",U750,0)</x:f>
        <x:v>0</x:v>
      </x:c>
      <x:c r="X750" t="str">
        <x:f>IF(E750&lt;25,"Low &lt; 25",IF(E750&lt;100,"Medium 25-99",IF(E750&lt;300,"High 100-299","Premium 300+")))</x:f>
        <x:v>High 100-299</x:v>
      </x:c>
      <x:c r="Y750" t="n">
        <x:f>IF(C750="Active",1,0)</x:f>
        <x:v>1</x:v>
      </x:c>
    </x:row>
    <x:row r="751">
      <x:c r="A751" t="str">
        <x:v>SKU00750</x:v>
      </x:c>
      <x:c r="B751" t="str">
        <x:v>Sample Product 00750</x:v>
      </x:c>
      <x:c r="C751" t="str">
        <x:v>Active</x:v>
      </x:c>
      <x:c r="D751" t="str">
        <x:v>2026-02</x:v>
      </x:c>
      <x:c r="E751" s="12" t="n">
        <x:v>7.43</x:v>
      </x:c>
      <x:c r="F751" s="10" t="n">
        <x:v>0.329</x:v>
      </x:c>
      <x:c r="G751" t="str">
        <x:v>General Merchandise</x:v>
      </x:c>
      <x:c r="H751" t="str">
        <x:v>Travel Health</x:v>
      </x:c>
      <x:c r="I751" t="str">
        <x:v>MFG016</x:v>
      </x:c>
      <x:c r="J751" t="str">
        <x:v>Manufacturer 016</x:v>
      </x:c>
      <x:c r="K751" t="str">
        <x:v>SUP019</x:v>
      </x:c>
      <x:c r="L751" t="str">
        <x:v>Supplier 019</x:v>
      </x:c>
      <x:c r="M751" t="str">
        <x:v>REG-232393</x:v>
      </x:c>
      <x:c r="N751" t="str">
        <x:v>Generic Ingredient 108</x:v>
      </x:c>
      <x:c r="O751" t="str">
        <x:v>General Sale</x:v>
      </x:c>
      <x:c r="P751" t="n">
        <x:v>73</x:v>
      </x:c>
      <x:c r="Q751" t="n">
        <x:v>32</x:v>
      </x:c>
      <x:c r="R751" t="n">
        <x:v>30</x:v>
      </x:c>
      <x:c r="S751" s="12" t="n">
        <x:f>E751*Q751</x:f>
        <x:v>237.76</x:v>
      </x:c>
      <x:c r="T751" s="12" t="n">
        <x:f>ROUND(S751*F751+0.000000001,2)</x:f>
        <x:v>78.22</x:v>
      </x:c>
      <x:c r="U751" s="12" t="n">
        <x:f>E751*R751</x:f>
        <x:v>222.89999999999998</x:v>
      </x:c>
      <x:c r="V751" t="str">
        <x:f>IF(AND(C751="Active",Q751=0),"Active Zero Sales","Not Zero Sales")</x:f>
        <x:v>Not Zero Sales</x:v>
      </x:c>
      <x:c r="W751" s="12" t="n">
        <x:f>IF(V751="Active Zero Sales",U751,0)</x:f>
        <x:v>0</x:v>
      </x:c>
      <x:c r="X751" t="str">
        <x:f>IF(E751&lt;25,"Low &lt; 25",IF(E751&lt;100,"Medium 25-99",IF(E751&lt;300,"High 100-299","Premium 300+")))</x:f>
        <x:v>Low &lt; 25</x:v>
      </x:c>
      <x:c r="Y751" t="n">
        <x:f>IF(C751="Active",1,0)</x:f>
        <x:v>1</x:v>
      </x:c>
    </x:row>
    <x:row r="752">
      <x:c r="A752" t="str">
        <x:v>SKU00751</x:v>
      </x:c>
      <x:c r="B752" t="str">
        <x:v>Sample Product 00751</x:v>
      </x:c>
      <x:c r="C752" t="str">
        <x:v>Active</x:v>
      </x:c>
      <x:c r="D752" t="str">
        <x:v>2026-06</x:v>
      </x:c>
      <x:c r="E752" s="12" t="n">
        <x:v>92.58</x:v>
      </x:c>
      <x:c r="F752" s="10" t="n">
        <x:v>0.272</x:v>
      </x:c>
      <x:c r="G752" t="str">
        <x:v>Medical Devices</x:v>
      </x:c>
      <x:c r="H752" t="str">
        <x:v>Mobility Aids</x:v>
      </x:c>
      <x:c r="I752" t="str">
        <x:v>MFG005</x:v>
      </x:c>
      <x:c r="J752" t="str">
        <x:v>Manufacturer 005</x:v>
      </x:c>
      <x:c r="K752" t="str">
        <x:v>SUP011</x:v>
      </x:c>
      <x:c r="L752" t="str">
        <x:v>Supplier 011</x:v>
      </x:c>
      <x:c r="M752" t="str">
        <x:v>REG-482613</x:v>
      </x:c>
      <x:c r="N752" t="str">
        <x:v>Generic Ingredient 050</x:v>
      </x:c>
      <x:c r="O752" t="str">
        <x:v>General Sale</x:v>
      </x:c>
      <x:c r="P752" t="n">
        <x:v>53</x:v>
      </x:c>
      <x:c r="Q752" t="n">
        <x:v>30</x:v>
      </x:c>
      <x:c r="R752" t="n">
        <x:v>10</x:v>
      </x:c>
      <x:c r="S752" s="12" t="n">
        <x:f>E752*Q752</x:f>
        <x:v>2777.4</x:v>
      </x:c>
      <x:c r="T752" s="12" t="n">
        <x:f>ROUND(S752*F752+0.000000001,2)</x:f>
        <x:v>755.45</x:v>
      </x:c>
      <x:c r="U752" s="12" t="n">
        <x:f>E752*R752</x:f>
        <x:v>925.8</x:v>
      </x:c>
      <x:c r="V752" t="str">
        <x:f>IF(AND(C752="Active",Q752=0),"Active Zero Sales","Not Zero Sales")</x:f>
        <x:v>Not Zero Sales</x:v>
      </x:c>
      <x:c r="W752" s="12" t="n">
        <x:f>IF(V752="Active Zero Sales",U752,0)</x:f>
        <x:v>0</x:v>
      </x:c>
      <x:c r="X752" t="str">
        <x:f>IF(E752&lt;25,"Low &lt; 25",IF(E752&lt;100,"Medium 25-99",IF(E752&lt;300,"High 100-299","Premium 300+")))</x:f>
        <x:v>Medium 25-99</x:v>
      </x:c>
      <x:c r="Y752" t="n">
        <x:f>IF(C752="Active",1,0)</x:f>
        <x:v>1</x:v>
      </x:c>
    </x:row>
    <x:row r="753">
      <x:c r="A753" t="str">
        <x:v>SKU00752</x:v>
      </x:c>
      <x:c r="B753" t="str">
        <x:v>Sample Product 00752</x:v>
      </x:c>
      <x:c r="C753" t="str">
        <x:v>Active</x:v>
      </x:c>
      <x:c r="D753" t="str">
        <x:v>2026-06</x:v>
      </x:c>
      <x:c r="E753" s="12" t="n">
        <x:v>31.96</x:v>
      </x:c>
      <x:c r="F753" s="10" t="n">
        <x:v>0.232</x:v>
      </x:c>
      <x:c r="G753" t="str">
        <x:v>General Merchandise</x:v>
      </x:c>
      <x:c r="H753" t="str">
        <x:v>Baby Essentials</x:v>
      </x:c>
      <x:c r="I753" t="str">
        <x:v>MFG008</x:v>
      </x:c>
      <x:c r="J753" t="str">
        <x:v>Manufacturer 008</x:v>
      </x:c>
      <x:c r="K753" t="str">
        <x:v>SUP029</x:v>
      </x:c>
      <x:c r="L753" t="str">
        <x:v>Supplier 029</x:v>
      </x:c>
      <x:c r="M753" t="str">
        <x:v>REG-864066</x:v>
      </x:c>
      <x:c r="N753" t="str">
        <x:v>Generic Ingredient 135</x:v>
      </x:c>
      <x:c r="O753" t="str">
        <x:v>General Sale</x:v>
      </x:c>
      <x:c r="P753" t="n">
        <x:v>50</x:v>
      </x:c>
      <x:c r="Q753" t="n">
        <x:v>32</x:v>
      </x:c>
      <x:c r="R753" t="n">
        <x:v>14</x:v>
      </x:c>
      <x:c r="S753" s="12" t="n">
        <x:f>E753*Q753</x:f>
        <x:v>1022.72</x:v>
      </x:c>
      <x:c r="T753" s="12" t="n">
        <x:f>ROUND(S753*F753+0.000000001,2)</x:f>
        <x:v>237.27</x:v>
      </x:c>
      <x:c r="U753" s="12" t="n">
        <x:f>E753*R753</x:f>
        <x:v>447.44</x:v>
      </x:c>
      <x:c r="V753" t="str">
        <x:f>IF(AND(C753="Active",Q753=0),"Active Zero Sales","Not Zero Sales")</x:f>
        <x:v>Not Zero Sales</x:v>
      </x:c>
      <x:c r="W753" s="12" t="n">
        <x:f>IF(V753="Active Zero Sales",U753,0)</x:f>
        <x:v>0</x:v>
      </x:c>
      <x:c r="X753" t="str">
        <x:f>IF(E753&lt;25,"Low &lt; 25",IF(E753&lt;100,"Medium 25-99",IF(E753&lt;300,"High 100-299","Premium 300+")))</x:f>
        <x:v>Medium 25-99</x:v>
      </x:c>
      <x:c r="Y753" t="n">
        <x:f>IF(C753="Active",1,0)</x:f>
        <x:v>1</x:v>
      </x:c>
    </x:row>
    <x:row r="754">
      <x:c r="A754" t="str">
        <x:v>SKU00753</x:v>
      </x:c>
      <x:c r="B754" t="str">
        <x:v>Sample Product 00753</x:v>
      </x:c>
      <x:c r="C754" t="str">
        <x:v>Active</x:v>
      </x:c>
      <x:c r="D754" t="str">
        <x:v>2026-05</x:v>
      </x:c>
      <x:c r="E754" s="12" t="n">
        <x:v>239.7</x:v>
      </x:c>
      <x:c r="F754" s="10" t="n">
        <x:v>0.211</x:v>
      </x:c>
      <x:c r="G754" t="str">
        <x:v>OTC &amp; Wellness</x:v>
      </x:c>
      <x:c r="H754" t="str">
        <x:v>Cold &amp; Allergy</x:v>
      </x:c>
      <x:c r="I754" t="str">
        <x:v>MFG018</x:v>
      </x:c>
      <x:c r="J754" t="str">
        <x:v>Manufacturer 018</x:v>
      </x:c>
      <x:c r="K754" t="str">
        <x:v>SUP004</x:v>
      </x:c>
      <x:c r="L754" t="str">
        <x:v>Supplier 004</x:v>
      </x:c>
      <x:c r="M754" t="str">
        <x:v>REG-385224</x:v>
      </x:c>
      <x:c r="N754" t="str">
        <x:v>Generic Ingredient 038</x:v>
      </x:c>
      <x:c r="O754" t="str">
        <x:v>Pharmacy Only</x:v>
      </x:c>
      <x:c r="P754" t="n">
        <x:v>51</x:v>
      </x:c>
      <x:c r="Q754" t="n">
        <x:v>4</x:v>
      </x:c>
      <x:c r="R754" t="n">
        <x:v>0</x:v>
      </x:c>
      <x:c r="S754" s="12" t="n">
        <x:f>E754*Q754</x:f>
        <x:v>958.8</x:v>
      </x:c>
      <x:c r="T754" s="12" t="n">
        <x:f>ROUND(S754*F754+0.000000001,2)</x:f>
        <x:v>202.31</x:v>
      </x:c>
      <x:c r="U754" s="12" t="n">
        <x:f>E754*R754</x:f>
        <x:v>0</x:v>
      </x:c>
      <x:c r="V754" t="str">
        <x:f>IF(AND(C754="Active",Q754=0),"Active Zero Sales","Not Zero Sales")</x:f>
        <x:v>Not Zero Sales</x:v>
      </x:c>
      <x:c r="W754" s="12" t="n">
        <x:f>IF(V754="Active Zero Sales",U754,0)</x:f>
        <x:v>0</x:v>
      </x:c>
      <x:c r="X754" t="str">
        <x:f>IF(E754&lt;25,"Low &lt; 25",IF(E754&lt;100,"Medium 25-99",IF(E754&lt;300,"High 100-299","Premium 300+")))</x:f>
        <x:v>High 100-299</x:v>
      </x:c>
      <x:c r="Y754" t="n">
        <x:f>IF(C754="Active",1,0)</x:f>
        <x:v>1</x:v>
      </x:c>
    </x:row>
    <x:row r="755">
      <x:c r="A755" t="str">
        <x:v>SKU00754</x:v>
      </x:c>
      <x:c r="B755" t="str">
        <x:v>Sample Product 00754</x:v>
      </x:c>
      <x:c r="C755" t="str">
        <x:v>Active</x:v>
      </x:c>
      <x:c r="D755" t="str">
        <x:v>2026-05</x:v>
      </x:c>
      <x:c r="E755" s="12" t="n">
        <x:v>127.92</x:v>
      </x:c>
      <x:c r="F755" s="10" t="n">
        <x:v>0.367</x:v>
      </x:c>
      <x:c r="G755" t="str">
        <x:v>General Merchandise</x:v>
      </x:c>
      <x:c r="H755" t="str">
        <x:v>Travel Health</x:v>
      </x:c>
      <x:c r="I755" t="str">
        <x:v>MFG016</x:v>
      </x:c>
      <x:c r="J755" t="str">
        <x:v>Manufacturer 016</x:v>
      </x:c>
      <x:c r="K755" t="str">
        <x:v>SUP019</x:v>
      </x:c>
      <x:c r="L755" t="str">
        <x:v>Supplier 019</x:v>
      </x:c>
      <x:c r="M755" t="str">
        <x:v>REG-979138</x:v>
      </x:c>
      <x:c r="N755" t="str">
        <x:v>Generic Ingredient 068</x:v>
      </x:c>
      <x:c r="O755" t="str">
        <x:v>General Sale</x:v>
      </x:c>
      <x:c r="P755" t="n">
        <x:v>29</x:v>
      </x:c>
      <x:c r="Q755" t="n">
        <x:v>18</x:v>
      </x:c>
      <x:c r="R755" t="n">
        <x:v>0</x:v>
      </x:c>
      <x:c r="S755" s="12" t="n">
        <x:f>E755*Q755</x:f>
        <x:v>2302.56</x:v>
      </x:c>
      <x:c r="T755" s="12" t="n">
        <x:f>ROUND(S755*F755+0.000000001,2)</x:f>
        <x:v>845.04</x:v>
      </x:c>
      <x:c r="U755" s="12" t="n">
        <x:f>E755*R755</x:f>
        <x:v>0</x:v>
      </x:c>
      <x:c r="V755" t="str">
        <x:f>IF(AND(C755="Active",Q755=0),"Active Zero Sales","Not Zero Sales")</x:f>
        <x:v>Not Zero Sales</x:v>
      </x:c>
      <x:c r="W755" s="12" t="n">
        <x:f>IF(V755="Active Zero Sales",U755,0)</x:f>
        <x:v>0</x:v>
      </x:c>
      <x:c r="X755" t="str">
        <x:f>IF(E755&lt;25,"Low &lt; 25",IF(E755&lt;100,"Medium 25-99",IF(E755&lt;300,"High 100-299","Premium 300+")))</x:f>
        <x:v>High 100-299</x:v>
      </x:c>
      <x:c r="Y755" t="n">
        <x:f>IF(C755="Active",1,0)</x:f>
        <x:v>1</x:v>
      </x:c>
    </x:row>
    <x:row r="756">
      <x:c r="A756" t="str">
        <x:v>SKU00755</x:v>
      </x:c>
      <x:c r="B756" t="str">
        <x:v>Sample Product 00755</x:v>
      </x:c>
      <x:c r="C756" t="str">
        <x:v>Active</x:v>
      </x:c>
      <x:c r="D756" t="str">
        <x:v>2026-02</x:v>
      </x:c>
      <x:c r="E756" s="12" t="n">
        <x:v>7.59</x:v>
      </x:c>
      <x:c r="F756" s="10" t="n">
        <x:v>0.461</x:v>
      </x:c>
      <x:c r="G756" t="str">
        <x:v>Personal Care</x:v>
      </x:c>
      <x:c r="H756" t="str">
        <x:v>Skin Care</x:v>
      </x:c>
      <x:c r="I756" t="str">
        <x:v>MFG008</x:v>
      </x:c>
      <x:c r="J756" t="str">
        <x:v>Manufacturer 008</x:v>
      </x:c>
      <x:c r="K756" t="str">
        <x:v>SUP025</x:v>
      </x:c>
      <x:c r="L756" t="str">
        <x:v>Supplier 025</x:v>
      </x:c>
      <x:c r="M756" t="str">
        <x:v>REG-741872</x:v>
      </x:c>
      <x:c r="N756" t="str">
        <x:v>Generic Ingredient 145</x:v>
      </x:c>
      <x:c r="O756" t="str">
        <x:v>General Sale</x:v>
      </x:c>
      <x:c r="P756" t="n">
        <x:v>20</x:v>
      </x:c>
      <x:c r="Q756" t="n">
        <x:v>0</x:v>
      </x:c>
      <x:c r="R756" t="n">
        <x:v>6</x:v>
      </x:c>
      <x:c r="S756" s="12" t="n">
        <x:f>E756*Q756</x:f>
        <x:v>0</x:v>
      </x:c>
      <x:c r="T756" s="12" t="n">
        <x:f>ROUND(S756*F756+0.000000001,2)</x:f>
        <x:v>0</x:v>
      </x:c>
      <x:c r="U756" s="12" t="n">
        <x:f>E756*R756</x:f>
        <x:v>45.54</x:v>
      </x:c>
      <x:c r="V756" t="str">
        <x:f>IF(AND(C756="Active",Q756=0),"Active Zero Sales","Not Zero Sales")</x:f>
        <x:v>Active Zero Sales</x:v>
      </x:c>
      <x:c r="W756" s="12" t="n">
        <x:f>IF(V756="Active Zero Sales",U756,0)</x:f>
        <x:v>45.54</x:v>
      </x:c>
      <x:c r="X756" t="str">
        <x:f>IF(E756&lt;25,"Low &lt; 25",IF(E756&lt;100,"Medium 25-99",IF(E756&lt;300,"High 100-299","Premium 300+")))</x:f>
        <x:v>Low &lt; 25</x:v>
      </x:c>
      <x:c r="Y756" t="n">
        <x:f>IF(C756="Active",1,0)</x:f>
        <x:v>1</x:v>
      </x:c>
    </x:row>
    <x:row r="757">
      <x:c r="A757" t="str">
        <x:v>SKU00756</x:v>
      </x:c>
      <x:c r="B757" t="str">
        <x:v>Sample Product 00756</x:v>
      </x:c>
      <x:c r="C757" t="str">
        <x:v>Active</x:v>
      </x:c>
      <x:c r="D757" t="str">
        <x:v>2026-03</x:v>
      </x:c>
      <x:c r="E757" s="12" t="n">
        <x:v>6.81</x:v>
      </x:c>
      <x:c r="F757" s="10" t="n">
        <x:v>0.492</x:v>
      </x:c>
      <x:c r="G757" t="str">
        <x:v>General Merchandise</x:v>
      </x:c>
      <x:c r="H757" t="str">
        <x:v>Accessories</x:v>
      </x:c>
      <x:c r="I757" t="str">
        <x:v>MFG020</x:v>
      </x:c>
      <x:c r="J757" t="str">
        <x:v>Manufacturer 020</x:v>
      </x:c>
      <x:c r="K757" t="str">
        <x:v>SUP002</x:v>
      </x:c>
      <x:c r="L757" t="str">
        <x:v>Supplier 002</x:v>
      </x:c>
      <x:c r="M757" t="str">
        <x:v>REG-743348</x:v>
      </x:c>
      <x:c r="N757" t="str">
        <x:v>Generic Ingredient 095</x:v>
      </x:c>
      <x:c r="O757" t="str">
        <x:v>General Sale</x:v>
      </x:c>
      <x:c r="P757" t="n">
        <x:v>49</x:v>
      </x:c>
      <x:c r="Q757" t="n">
        <x:v>23</x:v>
      </x:c>
      <x:c r="R757" t="n">
        <x:v>0</x:v>
      </x:c>
      <x:c r="S757" s="12" t="n">
        <x:f>E757*Q757</x:f>
        <x:v>156.63</x:v>
      </x:c>
      <x:c r="T757" s="12" t="n">
        <x:f>ROUND(S757*F757+0.000000001,2)</x:f>
        <x:v>77.06</x:v>
      </x:c>
      <x:c r="U757" s="12" t="n">
        <x:f>E757*R757</x:f>
        <x:v>0</x:v>
      </x:c>
      <x:c r="V757" t="str">
        <x:f>IF(AND(C757="Active",Q757=0),"Active Zero Sales","Not Zero Sales")</x:f>
        <x:v>Not Zero Sales</x:v>
      </x:c>
      <x:c r="W757" s="12" t="n">
        <x:f>IF(V757="Active Zero Sales",U757,0)</x:f>
        <x:v>0</x:v>
      </x:c>
      <x:c r="X757" t="str">
        <x:f>IF(E757&lt;25,"Low &lt; 25",IF(E757&lt;100,"Medium 25-99",IF(E757&lt;300,"High 100-299","Premium 300+")))</x:f>
        <x:v>Low &lt; 25</x:v>
      </x:c>
      <x:c r="Y757" t="n">
        <x:f>IF(C757="Active",1,0)</x:f>
        <x:v>1</x:v>
      </x:c>
    </x:row>
    <x:row r="758">
      <x:c r="A758" t="str">
        <x:v>SKU00757</x:v>
      </x:c>
      <x:c r="B758" t="str">
        <x:v>Sample Product 00757</x:v>
      </x:c>
      <x:c r="C758" t="str">
        <x:v>Active</x:v>
      </x:c>
      <x:c r="D758" t="str">
        <x:v>2026-03</x:v>
      </x:c>
      <x:c r="E758" s="12" t="n">
        <x:v>44.99</x:v>
      </x:c>
      <x:c r="F758" s="10" t="n">
        <x:v>0.312</x:v>
      </x:c>
      <x:c r="G758" t="str">
        <x:v>Medical Devices</x:v>
      </x:c>
      <x:c r="H758" t="str">
        <x:v>Monitoring Supplies</x:v>
      </x:c>
      <x:c r="I758" t="str">
        <x:v>MFG012</x:v>
      </x:c>
      <x:c r="J758" t="str">
        <x:v>Manufacturer 012</x:v>
      </x:c>
      <x:c r="K758" t="str">
        <x:v>SUP003</x:v>
      </x:c>
      <x:c r="L758" t="str">
        <x:v>Supplier 003</x:v>
      </x:c>
      <x:c r="M758" t="str">
        <x:v>REG-719980</x:v>
      </x:c>
      <x:c r="N758" t="str">
        <x:v>Generic Ingredient 124</x:v>
      </x:c>
      <x:c r="O758" t="str">
        <x:v>General Sale</x:v>
      </x:c>
      <x:c r="P758" t="n">
        <x:v>25</x:v>
      </x:c>
      <x:c r="Q758" t="n">
        <x:v>8</x:v>
      </x:c>
      <x:c r="R758" t="n">
        <x:v>12</x:v>
      </x:c>
      <x:c r="S758" s="12" t="n">
        <x:f>E758*Q758</x:f>
        <x:v>359.92</x:v>
      </x:c>
      <x:c r="T758" s="12" t="n">
        <x:f>ROUND(S758*F758+0.000000001,2)</x:f>
        <x:v>112.3</x:v>
      </x:c>
      <x:c r="U758" s="12" t="n">
        <x:f>E758*R758</x:f>
        <x:v>539.88</x:v>
      </x:c>
      <x:c r="V758" t="str">
        <x:f>IF(AND(C758="Active",Q758=0),"Active Zero Sales","Not Zero Sales")</x:f>
        <x:v>Not Zero Sales</x:v>
      </x:c>
      <x:c r="W758" s="12" t="n">
        <x:f>IF(V758="Active Zero Sales",U758,0)</x:f>
        <x:v>0</x:v>
      </x:c>
      <x:c r="X758" t="str">
        <x:f>IF(E758&lt;25,"Low &lt; 25",IF(E758&lt;100,"Medium 25-99",IF(E758&lt;300,"High 100-299","Premium 300+")))</x:f>
        <x:v>Medium 25-99</x:v>
      </x:c>
      <x:c r="Y758" t="n">
        <x:f>IF(C758="Active",1,0)</x:f>
        <x:v>1</x:v>
      </x:c>
    </x:row>
    <x:row r="759">
      <x:c r="A759" t="str">
        <x:v>SKU00758</x:v>
      </x:c>
      <x:c r="B759" t="str">
        <x:v>Sample Product 00758</x:v>
      </x:c>
      <x:c r="C759" t="str">
        <x:v>Active</x:v>
      </x:c>
      <x:c r="D759" t="str">
        <x:v>2026-02</x:v>
      </x:c>
      <x:c r="E759" s="12" t="n">
        <x:v>59.61</x:v>
      </x:c>
      <x:c r="F759" s="10" t="n">
        <x:v>0.241</x:v>
      </x:c>
      <x:c r="G759" t="str">
        <x:v>Nutrition</x:v>
      </x:c>
      <x:c r="H759" t="str">
        <x:v>Adult Nutrition</x:v>
      </x:c>
      <x:c r="I759" t="str">
        <x:v>MFG006</x:v>
      </x:c>
      <x:c r="J759" t="str">
        <x:v>Manufacturer 006</x:v>
      </x:c>
      <x:c r="K759" t="str">
        <x:v>SUP027</x:v>
      </x:c>
      <x:c r="L759" t="str">
        <x:v>Supplier 027</x:v>
      </x:c>
      <x:c r="M759" t="str">
        <x:v>REG-234718</x:v>
      </x:c>
      <x:c r="N759" t="str">
        <x:v>Generic Ingredient 137</x:v>
      </x:c>
      <x:c r="O759" t="str">
        <x:v>General Sale</x:v>
      </x:c>
      <x:c r="P759" t="n">
        <x:v>55</x:v>
      </x:c>
      <x:c r="Q759" t="n">
        <x:v>24</x:v>
      </x:c>
      <x:c r="R759" t="n">
        <x:v>0</x:v>
      </x:c>
      <x:c r="S759" s="12" t="n">
        <x:f>E759*Q759</x:f>
        <x:v>1430.6399999999999</x:v>
      </x:c>
      <x:c r="T759" s="12" t="n">
        <x:f>ROUND(S759*F759+0.000000001,2)</x:f>
        <x:v>344.78</x:v>
      </x:c>
      <x:c r="U759" s="12" t="n">
        <x:f>E759*R759</x:f>
        <x:v>0</x:v>
      </x:c>
      <x:c r="V759" t="str">
        <x:f>IF(AND(C759="Active",Q759=0),"Active Zero Sales","Not Zero Sales")</x:f>
        <x:v>Not Zero Sales</x:v>
      </x:c>
      <x:c r="W759" s="12" t="n">
        <x:f>IF(V759="Active Zero Sales",U759,0)</x:f>
        <x:v>0</x:v>
      </x:c>
      <x:c r="X759" t="str">
        <x:f>IF(E759&lt;25,"Low &lt; 25",IF(E759&lt;100,"Medium 25-99",IF(E759&lt;300,"High 100-299","Premium 300+")))</x:f>
        <x:v>Medium 25-99</x:v>
      </x:c>
      <x:c r="Y759" t="n">
        <x:f>IF(C759="Active",1,0)</x:f>
        <x:v>1</x:v>
      </x:c>
    </x:row>
    <x:row r="760">
      <x:c r="A760" t="str">
        <x:v>SKU00759</x:v>
      </x:c>
      <x:c r="B760" t="str">
        <x:v>Sample Product 00759</x:v>
      </x:c>
      <x:c r="C760" t="str">
        <x:v>Blocked</x:v>
      </x:c>
      <x:c r="D760" t="str">
        <x:v>2026-05</x:v>
      </x:c>
      <x:c r="E760" s="12" t="n">
        <x:v>81.08</x:v>
      </x:c>
      <x:c r="F760" s="10" t="n">
        <x:v>0.306</x:v>
      </x:c>
      <x:c r="G760" t="str">
        <x:v>Medical Devices</x:v>
      </x:c>
      <x:c r="H760" t="str">
        <x:v>First Aid</x:v>
      </x:c>
      <x:c r="I760" t="str">
        <x:v>MFG020</x:v>
      </x:c>
      <x:c r="J760" t="str">
        <x:v>Manufacturer 020</x:v>
      </x:c>
      <x:c r="K760" t="str">
        <x:v>SUP025</x:v>
      </x:c>
      <x:c r="L760" t="str">
        <x:v>Supplier 025</x:v>
      </x:c>
      <x:c r="M760" t="str">
        <x:v>REG-856803</x:v>
      </x:c>
      <x:c r="N760" t="str">
        <x:v>Generic Ingredient 066</x:v>
      </x:c>
      <x:c r="O760" t="str">
        <x:v>General Sale</x:v>
      </x:c>
      <x:c r="P760" t="n">
        <x:v>0</x:v>
      </x:c>
      <x:c r="Q760" t="n">
        <x:v>0</x:v>
      </x:c>
      <x:c r="R760" t="n">
        <x:v>0</x:v>
      </x:c>
      <x:c r="S760" s="12" t="n">
        <x:f>E760*Q760</x:f>
        <x:v>0</x:v>
      </x:c>
      <x:c r="T760" s="12" t="n">
        <x:f>ROUND(S760*F760+0.000000001,2)</x:f>
        <x:v>0</x:v>
      </x:c>
      <x:c r="U760" s="12" t="n">
        <x:f>E760*R760</x:f>
        <x:v>0</x:v>
      </x:c>
      <x:c r="V760" t="str">
        <x:f>IF(AND(C760="Active",Q760=0),"Active Zero Sales","Not Zero Sales")</x:f>
        <x:v>Not Zero Sales</x:v>
      </x:c>
      <x:c r="W760" s="12" t="n">
        <x:f>IF(V760="Active Zero Sales",U760,0)</x:f>
        <x:v>0</x:v>
      </x:c>
      <x:c r="X760" t="str">
        <x:f>IF(E760&lt;25,"Low &lt; 25",IF(E760&lt;100,"Medium 25-99",IF(E760&lt;300,"High 100-299","Premium 300+")))</x:f>
        <x:v>Medium 25-99</x:v>
      </x:c>
      <x:c r="Y760" t="n">
        <x:f>IF(C760="Active",1,0)</x:f>
        <x:v>0</x:v>
      </x:c>
    </x:row>
    <x:row r="761">
      <x:c r="A761" t="str">
        <x:v>SKU00760</x:v>
      </x:c>
      <x:c r="B761" t="str">
        <x:v>Sample Product 00760</x:v>
      </x:c>
      <x:c r="C761" t="str">
        <x:v>Active</x:v>
      </x:c>
      <x:c r="D761" t="str">
        <x:v>2026-02</x:v>
      </x:c>
      <x:c r="E761" s="12" t="n">
        <x:v>4.77</x:v>
      </x:c>
      <x:c r="F761" s="10" t="n">
        <x:v>0.341</x:v>
      </x:c>
      <x:c r="G761" t="str">
        <x:v>Medical Devices</x:v>
      </x:c>
      <x:c r="H761" t="str">
        <x:v>Mobility Aids</x:v>
      </x:c>
      <x:c r="I761" t="str">
        <x:v>MFG003</x:v>
      </x:c>
      <x:c r="J761" t="str">
        <x:v>Manufacturer 003</x:v>
      </x:c>
      <x:c r="K761" t="str">
        <x:v>SUP011</x:v>
      </x:c>
      <x:c r="L761" t="str">
        <x:v>Supplier 011</x:v>
      </x:c>
      <x:c r="M761" t="str">
        <x:v>REG-698556</x:v>
      </x:c>
      <x:c r="N761" t="str">
        <x:v>Generic Ingredient 070</x:v>
      </x:c>
      <x:c r="O761" t="str">
        <x:v>General Sale</x:v>
      </x:c>
      <x:c r="P761" t="n">
        <x:v>84</x:v>
      </x:c>
      <x:c r="Q761" t="n">
        <x:v>53</x:v>
      </x:c>
      <x:c r="R761" t="n">
        <x:v>6</x:v>
      </x:c>
      <x:c r="S761" s="12" t="n">
        <x:f>E761*Q761</x:f>
        <x:v>252.80999999999997</x:v>
      </x:c>
      <x:c r="T761" s="12" t="n">
        <x:f>ROUND(S761*F761+0.000000001,2)</x:f>
        <x:v>86.21</x:v>
      </x:c>
      <x:c r="U761" s="12" t="n">
        <x:f>E761*R761</x:f>
        <x:v>28.619999999999997</x:v>
      </x:c>
      <x:c r="V761" t="str">
        <x:f>IF(AND(C761="Active",Q761=0),"Active Zero Sales","Not Zero Sales")</x:f>
        <x:v>Not Zero Sales</x:v>
      </x:c>
      <x:c r="W761" s="12" t="n">
        <x:f>IF(V761="Active Zero Sales",U761,0)</x:f>
        <x:v>0</x:v>
      </x:c>
      <x:c r="X761" t="str">
        <x:f>IF(E761&lt;25,"Low &lt; 25",IF(E761&lt;100,"Medium 25-99",IF(E761&lt;300,"High 100-299","Premium 300+")))</x:f>
        <x:v>Low &lt; 25</x:v>
      </x:c>
      <x:c r="Y761" t="n">
        <x:f>IF(C761="Active",1,0)</x:f>
        <x:v>1</x:v>
      </x:c>
    </x:row>
    <x:row r="762">
      <x:c r="A762" t="str">
        <x:v>SKU00761</x:v>
      </x:c>
      <x:c r="B762" t="str">
        <x:v>Sample Product 00761</x:v>
      </x:c>
      <x:c r="C762" t="str">
        <x:v>Active</x:v>
      </x:c>
      <x:c r="D762" t="str">
        <x:v>2026-03</x:v>
      </x:c>
      <x:c r="E762" s="12" t="n">
        <x:v>86.53</x:v>
      </x:c>
      <x:c r="F762" s="10" t="n">
        <x:v>0.213</x:v>
      </x:c>
      <x:c r="G762" t="str">
        <x:v>Personal Care</x:v>
      </x:c>
      <x:c r="H762" t="str">
        <x:v>Hygiene</x:v>
      </x:c>
      <x:c r="I762" t="str">
        <x:v>MFG016</x:v>
      </x:c>
      <x:c r="J762" t="str">
        <x:v>Manufacturer 016</x:v>
      </x:c>
      <x:c r="K762" t="str">
        <x:v>SUP019</x:v>
      </x:c>
      <x:c r="L762" t="str">
        <x:v>Supplier 019</x:v>
      </x:c>
      <x:c r="M762" t="str">
        <x:v>REG-876029</x:v>
      </x:c>
      <x:c r="N762" t="str">
        <x:v>Generic Ingredient 079</x:v>
      </x:c>
      <x:c r="O762" t="str">
        <x:v>General Sale</x:v>
      </x:c>
      <x:c r="P762" t="n">
        <x:v>32</x:v>
      </x:c>
      <x:c r="Q762" t="n">
        <x:v>18</x:v>
      </x:c>
      <x:c r="R762" t="n">
        <x:v>11</x:v>
      </x:c>
      <x:c r="S762" s="12" t="n">
        <x:f>E762*Q762</x:f>
        <x:v>1557.54</x:v>
      </x:c>
      <x:c r="T762" s="12" t="n">
        <x:f>ROUND(S762*F762+0.000000001,2)</x:f>
        <x:v>331.76</x:v>
      </x:c>
      <x:c r="U762" s="12" t="n">
        <x:f>E762*R762</x:f>
        <x:v>951.83</x:v>
      </x:c>
      <x:c r="V762" t="str">
        <x:f>IF(AND(C762="Active",Q762=0),"Active Zero Sales","Not Zero Sales")</x:f>
        <x:v>Not Zero Sales</x:v>
      </x:c>
      <x:c r="W762" s="12" t="n">
        <x:f>IF(V762="Active Zero Sales",U762,0)</x:f>
        <x:v>0</x:v>
      </x:c>
      <x:c r="X762" t="str">
        <x:f>IF(E762&lt;25,"Low &lt; 25",IF(E762&lt;100,"Medium 25-99",IF(E762&lt;300,"High 100-299","Premium 300+")))</x:f>
        <x:v>Medium 25-99</x:v>
      </x:c>
      <x:c r="Y762" t="n">
        <x:f>IF(C762="Active",1,0)</x:f>
        <x:v>1</x:v>
      </x:c>
    </x:row>
    <x:row r="763">
      <x:c r="A763" t="str">
        <x:v>SKU00762</x:v>
      </x:c>
      <x:c r="B763" t="str">
        <x:v>Sample Product 00762</x:v>
      </x:c>
      <x:c r="C763" t="str">
        <x:v>Active</x:v>
      </x:c>
      <x:c r="D763" t="str">
        <x:v>2026-04</x:v>
      </x:c>
      <x:c r="E763" s="12" t="n">
        <x:v>108.75</x:v>
      </x:c>
      <x:c r="F763" s="10" t="n">
        <x:v>0.31</x:v>
      </x:c>
      <x:c r="G763" t="str">
        <x:v>OTC &amp; Wellness</x:v>
      </x:c>
      <x:c r="H763" t="str">
        <x:v>Cold &amp; Allergy</x:v>
      </x:c>
      <x:c r="I763" t="str">
        <x:v>MFG007</x:v>
      </x:c>
      <x:c r="J763" t="str">
        <x:v>Manufacturer 007</x:v>
      </x:c>
      <x:c r="K763" t="str">
        <x:v>SUP004</x:v>
      </x:c>
      <x:c r="L763" t="str">
        <x:v>Supplier 004</x:v>
      </x:c>
      <x:c r="M763" t="str">
        <x:v>REG-993920</x:v>
      </x:c>
      <x:c r="N763" t="str">
        <x:v>Generic Ingredient 079</x:v>
      </x:c>
      <x:c r="O763" t="str">
        <x:v>General Sale</x:v>
      </x:c>
      <x:c r="P763" t="n">
        <x:v>8</x:v>
      </x:c>
      <x:c r="Q763" t="n">
        <x:v>12</x:v>
      </x:c>
      <x:c r="R763" t="n">
        <x:v>4</x:v>
      </x:c>
      <x:c r="S763" s="12" t="n">
        <x:f>E763*Q763</x:f>
        <x:v>1305</x:v>
      </x:c>
      <x:c r="T763" s="12" t="n">
        <x:f>ROUND(S763*F763+0.000000001,2)</x:f>
        <x:v>404.55</x:v>
      </x:c>
      <x:c r="U763" s="12" t="n">
        <x:f>E763*R763</x:f>
        <x:v>435</x:v>
      </x:c>
      <x:c r="V763" t="str">
        <x:f>IF(AND(C763="Active",Q763=0),"Active Zero Sales","Not Zero Sales")</x:f>
        <x:v>Not Zero Sales</x:v>
      </x:c>
      <x:c r="W763" s="12" t="n">
        <x:f>IF(V763="Active Zero Sales",U763,0)</x:f>
        <x:v>0</x:v>
      </x:c>
      <x:c r="X763" t="str">
        <x:f>IF(E763&lt;25,"Low &lt; 25",IF(E763&lt;100,"Medium 25-99",IF(E763&lt;300,"High 100-299","Premium 300+")))</x:f>
        <x:v>High 100-299</x:v>
      </x:c>
      <x:c r="Y763" t="n">
        <x:f>IF(C763="Active",1,0)</x:f>
        <x:v>1</x:v>
      </x:c>
    </x:row>
    <x:row r="764">
      <x:c r="A764" t="str">
        <x:v>SKU00763</x:v>
      </x:c>
      <x:c r="B764" t="str">
        <x:v>Sample Product 00763</x:v>
      </x:c>
      <x:c r="C764" t="str">
        <x:v>Blocked</x:v>
      </x:c>
      <x:c r="D764" t="str">
        <x:v>2026-01</x:v>
      </x:c>
      <x:c r="E764" s="12" t="n">
        <x:v>104.39</x:v>
      </x:c>
      <x:c r="F764" s="10" t="n">
        <x:v>0.295</x:v>
      </x:c>
      <x:c r="G764" t="str">
        <x:v>Nutrition</x:v>
      </x:c>
      <x:c r="H764" t="str">
        <x:v>Healthy Snacks</x:v>
      </x:c>
      <x:c r="I764" t="str">
        <x:v>MFG007</x:v>
      </x:c>
      <x:c r="J764" t="str">
        <x:v>Manufacturer 007</x:v>
      </x:c>
      <x:c r="K764" t="str">
        <x:v>SUP011</x:v>
      </x:c>
      <x:c r="L764" t="str">
        <x:v>Supplier 011</x:v>
      </x:c>
      <x:c r="M764" t="str">
        <x:v>REG-160665</x:v>
      </x:c>
      <x:c r="N764" t="str">
        <x:v>Generic Ingredient 006</x:v>
      </x:c>
      <x:c r="O764" t="str">
        <x:v>Pharmacy Only</x:v>
      </x:c>
      <x:c r="P764" t="n">
        <x:v>30</x:v>
      </x:c>
      <x:c r="Q764" t="n">
        <x:v>0</x:v>
      </x:c>
      <x:c r="R764" t="n">
        <x:v>0</x:v>
      </x:c>
      <x:c r="S764" s="12" t="n">
        <x:f>E764*Q764</x:f>
        <x:v>0</x:v>
      </x:c>
      <x:c r="T764" s="12" t="n">
        <x:f>ROUND(S764*F764+0.000000001,2)</x:f>
        <x:v>0</x:v>
      </x:c>
      <x:c r="U764" s="12" t="n">
        <x:f>E764*R764</x:f>
        <x:v>0</x:v>
      </x:c>
      <x:c r="V764" t="str">
        <x:f>IF(AND(C764="Active",Q764=0),"Active Zero Sales","Not Zero Sales")</x:f>
        <x:v>Not Zero Sales</x:v>
      </x:c>
      <x:c r="W764" s="12" t="n">
        <x:f>IF(V764="Active Zero Sales",U764,0)</x:f>
        <x:v>0</x:v>
      </x:c>
      <x:c r="X764" t="str">
        <x:f>IF(E764&lt;25,"Low &lt; 25",IF(E764&lt;100,"Medium 25-99",IF(E764&lt;300,"High 100-299","Premium 300+")))</x:f>
        <x:v>High 100-299</x:v>
      </x:c>
      <x:c r="Y764" t="n">
        <x:f>IF(C764="Active",1,0)</x:f>
        <x:v>0</x:v>
      </x:c>
    </x:row>
    <x:row r="765">
      <x:c r="A765" t="str">
        <x:v>SKU00764</x:v>
      </x:c>
      <x:c r="B765" t="str">
        <x:v>Sample Product 00764</x:v>
      </x:c>
      <x:c r="C765" t="str">
        <x:v>Active</x:v>
      </x:c>
      <x:c r="D765" t="str">
        <x:v>2026-04</x:v>
      </x:c>
      <x:c r="E765" s="12" t="n">
        <x:v>602.21</x:v>
      </x:c>
      <x:c r="F765" s="10" t="n">
        <x:v>0.357</x:v>
      </x:c>
      <x:c r="G765" t="str">
        <x:v>General Merchandise</x:v>
      </x:c>
      <x:c r="H765" t="str">
        <x:v>Baby Essentials</x:v>
      </x:c>
      <x:c r="I765" t="str">
        <x:v>MFG015</x:v>
      </x:c>
      <x:c r="J765" t="str">
        <x:v>Manufacturer 015</x:v>
      </x:c>
      <x:c r="K765" t="str">
        <x:v>SUP015</x:v>
      </x:c>
      <x:c r="L765" t="str">
        <x:v>Supplier 015</x:v>
      </x:c>
      <x:c r="M765" t="str">
        <x:v>REG-652698</x:v>
      </x:c>
      <x:c r="N765" t="str">
        <x:v>Generic Ingredient 012</x:v>
      </x:c>
      <x:c r="O765" t="str">
        <x:v>Pharmacy Only</x:v>
      </x:c>
      <x:c r="P765" t="n">
        <x:v>47</x:v>
      </x:c>
      <x:c r="Q765" t="n">
        <x:v>10</x:v>
      </x:c>
      <x:c r="R765" t="n">
        <x:v>0</x:v>
      </x:c>
      <x:c r="S765" s="12" t="n">
        <x:f>E765*Q765</x:f>
        <x:v>6022.1</x:v>
      </x:c>
      <x:c r="T765" s="12" t="n">
        <x:f>ROUND(S765*F765+0.000000001,2)</x:f>
        <x:v>2149.89</x:v>
      </x:c>
      <x:c r="U765" s="12" t="n">
        <x:f>E765*R765</x:f>
        <x:v>0</x:v>
      </x:c>
      <x:c r="V765" t="str">
        <x:f>IF(AND(C765="Active",Q765=0),"Active Zero Sales","Not Zero Sales")</x:f>
        <x:v>Not Zero Sales</x:v>
      </x:c>
      <x:c r="W765" s="12" t="n">
        <x:f>IF(V765="Active Zero Sales",U765,0)</x:f>
        <x:v>0</x:v>
      </x:c>
      <x:c r="X765" t="str">
        <x:f>IF(E765&lt;25,"Low &lt; 25",IF(E765&lt;100,"Medium 25-99",IF(E765&lt;300,"High 100-299","Premium 300+")))</x:f>
        <x:v>Premium 300+</x:v>
      </x:c>
      <x:c r="Y765" t="n">
        <x:f>IF(C765="Active",1,0)</x:f>
        <x:v>1</x:v>
      </x:c>
    </x:row>
    <x:row r="766">
      <x:c r="A766" t="str">
        <x:v>SKU00765</x:v>
      </x:c>
      <x:c r="B766" t="str">
        <x:v>Sample Product 00765</x:v>
      </x:c>
      <x:c r="C766" t="str">
        <x:v>Active</x:v>
      </x:c>
      <x:c r="D766" t="str">
        <x:v>2026-04</x:v>
      </x:c>
      <x:c r="E766" s="12" t="n">
        <x:v>33.7</x:v>
      </x:c>
      <x:c r="F766" s="10" t="n">
        <x:v>0.357</x:v>
      </x:c>
      <x:c r="G766" t="str">
        <x:v>Medical Devices</x:v>
      </x:c>
      <x:c r="H766" t="str">
        <x:v>First Aid</x:v>
      </x:c>
      <x:c r="I766" t="str">
        <x:v>MFG010</x:v>
      </x:c>
      <x:c r="J766" t="str">
        <x:v>Manufacturer 010</x:v>
      </x:c>
      <x:c r="K766" t="str">
        <x:v>SUP014</x:v>
      </x:c>
      <x:c r="L766" t="str">
        <x:v>Supplier 014</x:v>
      </x:c>
      <x:c r="M766" t="str">
        <x:v>REG-496970</x:v>
      </x:c>
      <x:c r="N766" t="str">
        <x:v>Generic Ingredient 017</x:v>
      </x:c>
      <x:c r="O766" t="str">
        <x:v>Pharmacy Only</x:v>
      </x:c>
      <x:c r="P766" t="n">
        <x:v>140</x:v>
      </x:c>
      <x:c r="Q766" t="n">
        <x:v>83</x:v>
      </x:c>
      <x:c r="R766" t="n">
        <x:v>30</x:v>
      </x:c>
      <x:c r="S766" s="12" t="n">
        <x:f>E766*Q766</x:f>
        <x:v>2797.1000000000004</x:v>
      </x:c>
      <x:c r="T766" s="12" t="n">
        <x:f>ROUND(S766*F766+0.000000001,2)</x:f>
        <x:v>998.56</x:v>
      </x:c>
      <x:c r="U766" s="12" t="n">
        <x:f>E766*R766</x:f>
        <x:v>1011.0000000000001</x:v>
      </x:c>
      <x:c r="V766" t="str">
        <x:f>IF(AND(C766="Active",Q766=0),"Active Zero Sales","Not Zero Sales")</x:f>
        <x:v>Not Zero Sales</x:v>
      </x:c>
      <x:c r="W766" s="12" t="n">
        <x:f>IF(V766="Active Zero Sales",U766,0)</x:f>
        <x:v>0</x:v>
      </x:c>
      <x:c r="X766" t="str">
        <x:f>IF(E766&lt;25,"Low &lt; 25",IF(E766&lt;100,"Medium 25-99",IF(E766&lt;300,"High 100-299","Premium 300+")))</x:f>
        <x:v>Medium 25-99</x:v>
      </x:c>
      <x:c r="Y766" t="n">
        <x:f>IF(C766="Active",1,0)</x:f>
        <x:v>1</x:v>
      </x:c>
    </x:row>
    <x:row r="767">
      <x:c r="A767" t="str">
        <x:v>SKU00766</x:v>
      </x:c>
      <x:c r="B767" t="str">
        <x:v>Sample Product 00766</x:v>
      </x:c>
      <x:c r="C767" t="str">
        <x:v>Active</x:v>
      </x:c>
      <x:c r="D767" t="str">
        <x:v>2026-05</x:v>
      </x:c>
      <x:c r="E767" s="12" t="n">
        <x:v>55.04</x:v>
      </x:c>
      <x:c r="F767" s="10" t="n">
        <x:v>0.334</x:v>
      </x:c>
      <x:c r="G767" t="str">
        <x:v>Nutrition</x:v>
      </x:c>
      <x:c r="H767" t="str">
        <x:v>Healthy Snacks</x:v>
      </x:c>
      <x:c r="I767" t="str">
        <x:v>MFG005</x:v>
      </x:c>
      <x:c r="J767" t="str">
        <x:v>Manufacturer 005</x:v>
      </x:c>
      <x:c r="K767" t="str">
        <x:v>SUP016</x:v>
      </x:c>
      <x:c r="L767" t="str">
        <x:v>Supplier 016</x:v>
      </x:c>
      <x:c r="M767" t="str">
        <x:v>REG-334709</x:v>
      </x:c>
      <x:c r="N767" t="str">
        <x:v>Generic Ingredient 043</x:v>
      </x:c>
      <x:c r="O767" t="str">
        <x:v>General Sale</x:v>
      </x:c>
      <x:c r="P767" t="n">
        <x:v>57</x:v>
      </x:c>
      <x:c r="Q767" t="n">
        <x:v>25</x:v>
      </x:c>
      <x:c r="R767" t="n">
        <x:v>8</x:v>
      </x:c>
      <x:c r="S767" s="12" t="n">
        <x:f>E767*Q767</x:f>
        <x:v>1376</x:v>
      </x:c>
      <x:c r="T767" s="12" t="n">
        <x:f>ROUND(S767*F767+0.000000001,2)</x:f>
        <x:v>459.58</x:v>
      </x:c>
      <x:c r="U767" s="12" t="n">
        <x:f>E767*R767</x:f>
        <x:v>440.32</x:v>
      </x:c>
      <x:c r="V767" t="str">
        <x:f>IF(AND(C767="Active",Q767=0),"Active Zero Sales","Not Zero Sales")</x:f>
        <x:v>Not Zero Sales</x:v>
      </x:c>
      <x:c r="W767" s="12" t="n">
        <x:f>IF(V767="Active Zero Sales",U767,0)</x:f>
        <x:v>0</x:v>
      </x:c>
      <x:c r="X767" t="str">
        <x:f>IF(E767&lt;25,"Low &lt; 25",IF(E767&lt;100,"Medium 25-99",IF(E767&lt;300,"High 100-299","Premium 300+")))</x:f>
        <x:v>Medium 25-99</x:v>
      </x:c>
      <x:c r="Y767" t="n">
        <x:f>IF(C767="Active",1,0)</x:f>
        <x:v>1</x:v>
      </x:c>
    </x:row>
    <x:row r="768">
      <x:c r="A768" t="str">
        <x:v>SKU00767</x:v>
      </x:c>
      <x:c r="B768" t="str">
        <x:v>Sample Product 00767</x:v>
      </x:c>
      <x:c r="C768" t="str">
        <x:v>Blocked</x:v>
      </x:c>
      <x:c r="D768" t="str">
        <x:v>2026-01</x:v>
      </x:c>
      <x:c r="E768" s="12" t="n">
        <x:v>6.19</x:v>
      </x:c>
      <x:c r="F768" s="10" t="n">
        <x:v>0.402</x:v>
      </x:c>
      <x:c r="G768" t="str">
        <x:v>Personal Care</x:v>
      </x:c>
      <x:c r="H768" t="str">
        <x:v>Skin Care</x:v>
      </x:c>
      <x:c r="I768" t="str">
        <x:v>MFG018</x:v>
      </x:c>
      <x:c r="J768" t="str">
        <x:v>Manufacturer 018</x:v>
      </x:c>
      <x:c r="K768" t="str">
        <x:v>SUP019</x:v>
      </x:c>
      <x:c r="L768" t="str">
        <x:v>Supplier 019</x:v>
      </x:c>
      <x:c r="M768" t="str">
        <x:v>REG-839440</x:v>
      </x:c>
      <x:c r="N768" t="str">
        <x:v>Generic Ingredient 106</x:v>
      </x:c>
      <x:c r="O768" t="str">
        <x:v>General Sale</x:v>
      </x:c>
      <x:c r="P768" t="n">
        <x:v>22</x:v>
      </x:c>
      <x:c r="Q768" t="n">
        <x:v>0</x:v>
      </x:c>
      <x:c r="R768" t="n">
        <x:v>0</x:v>
      </x:c>
      <x:c r="S768" s="12" t="n">
        <x:f>E768*Q768</x:f>
        <x:v>0</x:v>
      </x:c>
      <x:c r="T768" s="12" t="n">
        <x:f>ROUND(S768*F768+0.000000001,2)</x:f>
        <x:v>0</x:v>
      </x:c>
      <x:c r="U768" s="12" t="n">
        <x:f>E768*R768</x:f>
        <x:v>0</x:v>
      </x:c>
      <x:c r="V768" t="str">
        <x:f>IF(AND(C768="Active",Q768=0),"Active Zero Sales","Not Zero Sales")</x:f>
        <x:v>Not Zero Sales</x:v>
      </x:c>
      <x:c r="W768" s="12" t="n">
        <x:f>IF(V768="Active Zero Sales",U768,0)</x:f>
        <x:v>0</x:v>
      </x:c>
      <x:c r="X768" t="str">
        <x:f>IF(E768&lt;25,"Low &lt; 25",IF(E768&lt;100,"Medium 25-99",IF(E768&lt;300,"High 100-299","Premium 300+")))</x:f>
        <x:v>Low &lt; 25</x:v>
      </x:c>
      <x:c r="Y768" t="n">
        <x:f>IF(C768="Active",1,0)</x:f>
        <x:v>0</x:v>
      </x:c>
    </x:row>
    <x:row r="769">
      <x:c r="A769" t="str">
        <x:v>SKU00768</x:v>
      </x:c>
      <x:c r="B769" t="str">
        <x:v>Sample Product 00768</x:v>
      </x:c>
      <x:c r="C769" t="str">
        <x:v>Active</x:v>
      </x:c>
      <x:c r="D769" t="str">
        <x:v>2026-05</x:v>
      </x:c>
      <x:c r="E769" s="12" t="n">
        <x:v>258.7</x:v>
      </x:c>
      <x:c r="F769" s="10" t="n">
        <x:v>0.405</x:v>
      </x:c>
      <x:c r="G769" t="str">
        <x:v>Personal Care</x:v>
      </x:c>
      <x:c r="H769" t="str">
        <x:v>Oral Care</x:v>
      </x:c>
      <x:c r="I769" t="str">
        <x:v>MFG002</x:v>
      </x:c>
      <x:c r="J769" t="str">
        <x:v>Manufacturer 002</x:v>
      </x:c>
      <x:c r="K769" t="str">
        <x:v>SUP016</x:v>
      </x:c>
      <x:c r="L769" t="str">
        <x:v>Supplier 016</x:v>
      </x:c>
      <x:c r="M769" t="str">
        <x:v>REG-825060</x:v>
      </x:c>
      <x:c r="N769" t="str">
        <x:v>Generic Ingredient 165</x:v>
      </x:c>
      <x:c r="O769" t="str">
        <x:v>Pharmacy Only</x:v>
      </x:c>
      <x:c r="P769" t="n">
        <x:v>50</x:v>
      </x:c>
      <x:c r="Q769" t="n">
        <x:v>13</x:v>
      </x:c>
      <x:c r="R769" t="n">
        <x:v>26</x:v>
      </x:c>
      <x:c r="S769" s="12" t="n">
        <x:f>E769*Q769</x:f>
        <x:v>3363.1</x:v>
      </x:c>
      <x:c r="T769" s="12" t="n">
        <x:f>ROUND(S769*F769+0.000000001,2)</x:f>
        <x:v>1362.06</x:v>
      </x:c>
      <x:c r="U769" s="12" t="n">
        <x:f>E769*R769</x:f>
        <x:v>6726.2</x:v>
      </x:c>
      <x:c r="V769" t="str">
        <x:f>IF(AND(C769="Active",Q769=0),"Active Zero Sales","Not Zero Sales")</x:f>
        <x:v>Not Zero Sales</x:v>
      </x:c>
      <x:c r="W769" s="12" t="n">
        <x:f>IF(V769="Active Zero Sales",U769,0)</x:f>
        <x:v>0</x:v>
      </x:c>
      <x:c r="X769" t="str">
        <x:f>IF(E769&lt;25,"Low &lt; 25",IF(E769&lt;100,"Medium 25-99",IF(E769&lt;300,"High 100-299","Premium 300+")))</x:f>
        <x:v>High 100-299</x:v>
      </x:c>
      <x:c r="Y769" t="n">
        <x:f>IF(C769="Active",1,0)</x:f>
        <x:v>1</x:v>
      </x:c>
    </x:row>
    <x:row r="770">
      <x:c r="A770" t="str">
        <x:v>SKU00769</x:v>
      </x:c>
      <x:c r="B770" t="str">
        <x:v>Sample Product 00769</x:v>
      </x:c>
      <x:c r="C770" t="str">
        <x:v>Blocked</x:v>
      </x:c>
      <x:c r="D770" t="str">
        <x:v>2026-03</x:v>
      </x:c>
      <x:c r="E770" s="12" t="n">
        <x:v>64.42</x:v>
      </x:c>
      <x:c r="F770" s="10" t="n">
        <x:v>0.168</x:v>
      </x:c>
      <x:c r="G770" t="str">
        <x:v>General Merchandise</x:v>
      </x:c>
      <x:c r="H770" t="str">
        <x:v>Seasonal Care</x:v>
      </x:c>
      <x:c r="I770" t="str">
        <x:v>MFG019</x:v>
      </x:c>
      <x:c r="J770" t="str">
        <x:v>Manufacturer 019</x:v>
      </x:c>
      <x:c r="K770" t="str">
        <x:v>SUP028</x:v>
      </x:c>
      <x:c r="L770" t="str">
        <x:v>Supplier 028</x:v>
      </x:c>
      <x:c r="M770" t="str">
        <x:v>REG-869957</x:v>
      </x:c>
      <x:c r="N770" t="str">
        <x:v>Generic Ingredient 177</x:v>
      </x:c>
      <x:c r="O770" t="str">
        <x:v>General Sale</x:v>
      </x:c>
      <x:c r="P770" t="n">
        <x:v>9</x:v>
      </x:c>
      <x:c r="Q770" t="n">
        <x:v>0</x:v>
      </x:c>
      <x:c r="R770" t="n">
        <x:v>0</x:v>
      </x:c>
      <x:c r="S770" s="12" t="n">
        <x:f>E770*Q770</x:f>
        <x:v>0</x:v>
      </x:c>
      <x:c r="T770" s="12" t="n">
        <x:f>ROUND(S770*F770+0.000000001,2)</x:f>
        <x:v>0</x:v>
      </x:c>
      <x:c r="U770" s="12" t="n">
        <x:f>E770*R770</x:f>
        <x:v>0</x:v>
      </x:c>
      <x:c r="V770" t="str">
        <x:f>IF(AND(C770="Active",Q770=0),"Active Zero Sales","Not Zero Sales")</x:f>
        <x:v>Not Zero Sales</x:v>
      </x:c>
      <x:c r="W770" s="12" t="n">
        <x:f>IF(V770="Active Zero Sales",U770,0)</x:f>
        <x:v>0</x:v>
      </x:c>
      <x:c r="X770" t="str">
        <x:f>IF(E770&lt;25,"Low &lt; 25",IF(E770&lt;100,"Medium 25-99",IF(E770&lt;300,"High 100-299","Premium 300+")))</x:f>
        <x:v>Medium 25-99</x:v>
      </x:c>
      <x:c r="Y770" t="n">
        <x:f>IF(C770="Active",1,0)</x:f>
        <x:v>0</x:v>
      </x:c>
    </x:row>
    <x:row r="771">
      <x:c r="A771" t="str">
        <x:v>SKU00770</x:v>
      </x:c>
      <x:c r="B771" t="str">
        <x:v>Sample Product 00770</x:v>
      </x:c>
      <x:c r="C771" t="str">
        <x:v>Blocked</x:v>
      </x:c>
      <x:c r="D771" t="str">
        <x:v>2026-05</x:v>
      </x:c>
      <x:c r="E771" s="12" t="n">
        <x:v>496.33</x:v>
      </x:c>
      <x:c r="F771" s="10" t="n">
        <x:v>0.235</x:v>
      </x:c>
      <x:c r="G771" t="str">
        <x:v>OTC &amp; Wellness</x:v>
      </x:c>
      <x:c r="H771" t="str">
        <x:v>Cold &amp; Allergy</x:v>
      </x:c>
      <x:c r="I771" t="str">
        <x:v>MFG009</x:v>
      </x:c>
      <x:c r="J771" t="str">
        <x:v>Manufacturer 009</x:v>
      </x:c>
      <x:c r="K771" t="str">
        <x:v>SUP016</x:v>
      </x:c>
      <x:c r="L771" t="str">
        <x:v>Supplier 016</x:v>
      </x:c>
      <x:c r="M771" t="str">
        <x:v>REG-607713</x:v>
      </x:c>
      <x:c r="N771" t="str">
        <x:v>Generic Ingredient 166</x:v>
      </x:c>
      <x:c r="O771" t="str">
        <x:v>General Sale</x:v>
      </x:c>
      <x:c r="P771" t="n">
        <x:v>38</x:v>
      </x:c>
      <x:c r="Q771" t="n">
        <x:v>9</x:v>
      </x:c>
      <x:c r="R771" t="n">
        <x:v>0</x:v>
      </x:c>
      <x:c r="S771" s="12" t="n">
        <x:f>E771*Q771</x:f>
        <x:v>4466.97</x:v>
      </x:c>
      <x:c r="T771" s="12" t="n">
        <x:f>ROUND(S771*F771+0.000000001,2)</x:f>
        <x:v>1049.74</x:v>
      </x:c>
      <x:c r="U771" s="12" t="n">
        <x:f>E771*R771</x:f>
        <x:v>0</x:v>
      </x:c>
      <x:c r="V771" t="str">
        <x:f>IF(AND(C771="Active",Q771=0),"Active Zero Sales","Not Zero Sales")</x:f>
        <x:v>Not Zero Sales</x:v>
      </x:c>
      <x:c r="W771" s="12" t="n">
        <x:f>IF(V771="Active Zero Sales",U771,0)</x:f>
        <x:v>0</x:v>
      </x:c>
      <x:c r="X771" t="str">
        <x:f>IF(E771&lt;25,"Low &lt; 25",IF(E771&lt;100,"Medium 25-99",IF(E771&lt;300,"High 100-299","Premium 300+")))</x:f>
        <x:v>Premium 300+</x:v>
      </x:c>
      <x:c r="Y771" t="n">
        <x:f>IF(C771="Active",1,0)</x:f>
        <x:v>0</x:v>
      </x:c>
    </x:row>
    <x:row r="772">
      <x:c r="A772" t="str">
        <x:v>SKU00771</x:v>
      </x:c>
      <x:c r="B772" t="str">
        <x:v>Sample Product 00771</x:v>
      </x:c>
      <x:c r="C772" t="str">
        <x:v>Active</x:v>
      </x:c>
      <x:c r="D772" t="str">
        <x:v>2026-02</x:v>
      </x:c>
      <x:c r="E772" s="12" t="n">
        <x:v>64.1</x:v>
      </x:c>
      <x:c r="F772" s="10" t="n">
        <x:v>0.426</x:v>
      </x:c>
      <x:c r="G772" t="str">
        <x:v>Personal Care</x:v>
      </x:c>
      <x:c r="H772" t="str">
        <x:v>Hygiene</x:v>
      </x:c>
      <x:c r="I772" t="str">
        <x:v>MFG001</x:v>
      </x:c>
      <x:c r="J772" t="str">
        <x:v>Manufacturer 001</x:v>
      </x:c>
      <x:c r="K772" t="str">
        <x:v>SUP006</x:v>
      </x:c>
      <x:c r="L772" t="str">
        <x:v>Supplier 006</x:v>
      </x:c>
      <x:c r="M772" t="str">
        <x:v>REG-434650</x:v>
      </x:c>
      <x:c r="N772" t="str">
        <x:v>Generic Ingredient 015</x:v>
      </x:c>
      <x:c r="O772" t="str">
        <x:v>General Sale</x:v>
      </x:c>
      <x:c r="P772" t="n">
        <x:v>49</x:v>
      </x:c>
      <x:c r="Q772" t="n">
        <x:v>7</x:v>
      </x:c>
      <x:c r="R772" t="n">
        <x:v>15</x:v>
      </x:c>
      <x:c r="S772" s="12" t="n">
        <x:f>E772*Q772</x:f>
        <x:v>448.69999999999993</x:v>
      </x:c>
      <x:c r="T772" s="12" t="n">
        <x:f>ROUND(S772*F772+0.000000001,2)</x:f>
        <x:v>191.15</x:v>
      </x:c>
      <x:c r="U772" s="12" t="n">
        <x:f>E772*R772</x:f>
        <x:v>961.4999999999999</x:v>
      </x:c>
      <x:c r="V772" t="str">
        <x:f>IF(AND(C772="Active",Q772=0),"Active Zero Sales","Not Zero Sales")</x:f>
        <x:v>Not Zero Sales</x:v>
      </x:c>
      <x:c r="W772" s="12" t="n">
        <x:f>IF(V772="Active Zero Sales",U772,0)</x:f>
        <x:v>0</x:v>
      </x:c>
      <x:c r="X772" t="str">
        <x:f>IF(E772&lt;25,"Low &lt; 25",IF(E772&lt;100,"Medium 25-99",IF(E772&lt;300,"High 100-299","Premium 300+")))</x:f>
        <x:v>Medium 25-99</x:v>
      </x:c>
      <x:c r="Y772" t="n">
        <x:f>IF(C772="Active",1,0)</x:f>
        <x:v>1</x:v>
      </x:c>
    </x:row>
    <x:row r="773">
      <x:c r="A773" t="str">
        <x:v>SKU00772</x:v>
      </x:c>
      <x:c r="B773" t="str">
        <x:v>Sample Product 00772</x:v>
      </x:c>
      <x:c r="C773" t="str">
        <x:v>Active</x:v>
      </x:c>
      <x:c r="D773" t="str">
        <x:v>2026-04</x:v>
      </x:c>
      <x:c r="E773" s="12" t="n">
        <x:v>6.78</x:v>
      </x:c>
      <x:c r="F773" s="10" t="n">
        <x:v>0.254</x:v>
      </x:c>
      <x:c r="G773" t="str">
        <x:v>Nutrition</x:v>
      </x:c>
      <x:c r="H773" t="str">
        <x:v>Hydration</x:v>
      </x:c>
      <x:c r="I773" t="str">
        <x:v>MFG011</x:v>
      </x:c>
      <x:c r="J773" t="str">
        <x:v>Manufacturer 011</x:v>
      </x:c>
      <x:c r="K773" t="str">
        <x:v>SUP015</x:v>
      </x:c>
      <x:c r="L773" t="str">
        <x:v>Supplier 015</x:v>
      </x:c>
      <x:c r="M773" t="str">
        <x:v>REG-357185</x:v>
      </x:c>
      <x:c r="N773" t="str">
        <x:v>Generic Ingredient 072</x:v>
      </x:c>
      <x:c r="O773" t="str">
        <x:v>General Sale</x:v>
      </x:c>
      <x:c r="P773" t="n">
        <x:v>267</x:v>
      </x:c>
      <x:c r="Q773" t="n">
        <x:v>182</x:v>
      </x:c>
      <x:c r="R773" t="n">
        <x:v>67</x:v>
      </x:c>
      <x:c r="S773" s="12" t="n">
        <x:f>E773*Q773</x:f>
        <x:v>1233.96</x:v>
      </x:c>
      <x:c r="T773" s="12" t="n">
        <x:f>ROUND(S773*F773+0.000000001,2)</x:f>
        <x:v>313.43</x:v>
      </x:c>
      <x:c r="U773" s="12" t="n">
        <x:f>E773*R773</x:f>
        <x:v>454.26</x:v>
      </x:c>
      <x:c r="V773" t="str">
        <x:f>IF(AND(C773="Active",Q773=0),"Active Zero Sales","Not Zero Sales")</x:f>
        <x:v>Not Zero Sales</x:v>
      </x:c>
      <x:c r="W773" s="12" t="n">
        <x:f>IF(V773="Active Zero Sales",U773,0)</x:f>
        <x:v>0</x:v>
      </x:c>
      <x:c r="X773" t="str">
        <x:f>IF(E773&lt;25,"Low &lt; 25",IF(E773&lt;100,"Medium 25-99",IF(E773&lt;300,"High 100-299","Premium 300+")))</x:f>
        <x:v>Low &lt; 25</x:v>
      </x:c>
      <x:c r="Y773" t="n">
        <x:f>IF(C773="Active",1,0)</x:f>
        <x:v>1</x:v>
      </x:c>
    </x:row>
    <x:row r="774">
      <x:c r="A774" t="str">
        <x:v>SKU00773</x:v>
      </x:c>
      <x:c r="B774" t="str">
        <x:v>Sample Product 00773</x:v>
      </x:c>
      <x:c r="C774" t="str">
        <x:v>Active</x:v>
      </x:c>
      <x:c r="D774" t="str">
        <x:v>2026-05</x:v>
      </x:c>
      <x:c r="E774" s="12" t="n">
        <x:v>174.96</x:v>
      </x:c>
      <x:c r="F774" s="10" t="n">
        <x:v>0.38</x:v>
      </x:c>
      <x:c r="G774" t="str">
        <x:v>OTC &amp; Wellness</x:v>
      </x:c>
      <x:c r="H774" t="str">
        <x:v>Pain Relief</x:v>
      </x:c>
      <x:c r="I774" t="str">
        <x:v>MFG008</x:v>
      </x:c>
      <x:c r="J774" t="str">
        <x:v>Manufacturer 008</x:v>
      </x:c>
      <x:c r="K774" t="str">
        <x:v>SUP025</x:v>
      </x:c>
      <x:c r="L774" t="str">
        <x:v>Supplier 025</x:v>
      </x:c>
      <x:c r="M774" t="str">
        <x:v>REG-910353</x:v>
      </x:c>
      <x:c r="N774" t="str">
        <x:v>Generic Ingredient 030</x:v>
      </x:c>
      <x:c r="O774" t="str">
        <x:v>General Sale</x:v>
      </x:c>
      <x:c r="P774" t="n">
        <x:v>72</x:v>
      </x:c>
      <x:c r="Q774" t="n">
        <x:v>61</x:v>
      </x:c>
      <x:c r="R774" t="n">
        <x:v>9</x:v>
      </x:c>
      <x:c r="S774" s="12" t="n">
        <x:f>E774*Q774</x:f>
        <x:v>10672.560000000001</x:v>
      </x:c>
      <x:c r="T774" s="12" t="n">
        <x:f>ROUND(S774*F774+0.000000001,2)</x:f>
        <x:v>4055.57</x:v>
      </x:c>
      <x:c r="U774" s="12" t="n">
        <x:f>E774*R774</x:f>
        <x:v>1574.64</x:v>
      </x:c>
      <x:c r="V774" t="str">
        <x:f>IF(AND(C774="Active",Q774=0),"Active Zero Sales","Not Zero Sales")</x:f>
        <x:v>Not Zero Sales</x:v>
      </x:c>
      <x:c r="W774" s="12" t="n">
        <x:f>IF(V774="Active Zero Sales",U774,0)</x:f>
        <x:v>0</x:v>
      </x:c>
      <x:c r="X774" t="str">
        <x:f>IF(E774&lt;25,"Low &lt; 25",IF(E774&lt;100,"Medium 25-99",IF(E774&lt;300,"High 100-299","Premium 300+")))</x:f>
        <x:v>High 100-299</x:v>
      </x:c>
      <x:c r="Y774" t="n">
        <x:f>IF(C774="Active",1,0)</x:f>
        <x:v>1</x:v>
      </x:c>
    </x:row>
    <x:row r="775">
      <x:c r="A775" t="str">
        <x:v>SKU00774</x:v>
      </x:c>
      <x:c r="B775" t="str">
        <x:v>Sample Product 00774</x:v>
      </x:c>
      <x:c r="C775" t="str">
        <x:v>Active</x:v>
      </x:c>
      <x:c r="D775" t="str">
        <x:v>2026-01</x:v>
      </x:c>
      <x:c r="E775" s="12" t="n">
        <x:v>231.63</x:v>
      </x:c>
      <x:c r="F775" s="10" t="n">
        <x:v>0.388</x:v>
      </x:c>
      <x:c r="G775" t="str">
        <x:v>Personal Care</x:v>
      </x:c>
      <x:c r="H775" t="str">
        <x:v>Hygiene</x:v>
      </x:c>
      <x:c r="I775" t="str">
        <x:v>MFG002</x:v>
      </x:c>
      <x:c r="J775" t="str">
        <x:v>Manufacturer 002</x:v>
      </x:c>
      <x:c r="K775" t="str">
        <x:v>SUP029</x:v>
      </x:c>
      <x:c r="L775" t="str">
        <x:v>Supplier 029</x:v>
      </x:c>
      <x:c r="M775" t="str">
        <x:v>REG-140522</x:v>
      </x:c>
      <x:c r="N775" t="str">
        <x:v>Generic Ingredient 127</x:v>
      </x:c>
      <x:c r="O775" t="str">
        <x:v>General Sale</x:v>
      </x:c>
      <x:c r="P775" t="n">
        <x:v>23</x:v>
      </x:c>
      <x:c r="Q775" t="n">
        <x:v>9</x:v>
      </x:c>
      <x:c r="R775" t="n">
        <x:v>0</x:v>
      </x:c>
      <x:c r="S775" s="12" t="n">
        <x:f>E775*Q775</x:f>
        <x:v>2084.67</x:v>
      </x:c>
      <x:c r="T775" s="12" t="n">
        <x:f>ROUND(S775*F775+0.000000001,2)</x:f>
        <x:v>808.85</x:v>
      </x:c>
      <x:c r="U775" s="12" t="n">
        <x:f>E775*R775</x:f>
        <x:v>0</x:v>
      </x:c>
      <x:c r="V775" t="str">
        <x:f>IF(AND(C775="Active",Q775=0),"Active Zero Sales","Not Zero Sales")</x:f>
        <x:v>Not Zero Sales</x:v>
      </x:c>
      <x:c r="W775" s="12" t="n">
        <x:f>IF(V775="Active Zero Sales",U775,0)</x:f>
        <x:v>0</x:v>
      </x:c>
      <x:c r="X775" t="str">
        <x:f>IF(E775&lt;25,"Low &lt; 25",IF(E775&lt;100,"Medium 25-99",IF(E775&lt;300,"High 100-299","Premium 300+")))</x:f>
        <x:v>High 100-299</x:v>
      </x:c>
      <x:c r="Y775" t="n">
        <x:f>IF(C775="Active",1,0)</x:f>
        <x:v>1</x:v>
      </x:c>
    </x:row>
    <x:row r="776">
      <x:c r="A776" t="str">
        <x:v>SKU00775</x:v>
      </x:c>
      <x:c r="B776" t="str">
        <x:v>Sample Product 00775</x:v>
      </x:c>
      <x:c r="C776" t="str">
        <x:v>Blocked</x:v>
      </x:c>
      <x:c r="D776" t="str">
        <x:v>2026-04</x:v>
      </x:c>
      <x:c r="E776" s="12" t="n">
        <x:v>90.25</x:v>
      </x:c>
      <x:c r="F776" s="10" t="n">
        <x:v>0.406</x:v>
      </x:c>
      <x:c r="G776" t="str">
        <x:v>Personal Care</x:v>
      </x:c>
      <x:c r="H776" t="str">
        <x:v>Hygiene</x:v>
      </x:c>
      <x:c r="I776" t="str">
        <x:v>MFG016</x:v>
      </x:c>
      <x:c r="J776" t="str">
        <x:v>Manufacturer 016</x:v>
      </x:c>
      <x:c r="K776" t="str">
        <x:v>SUP005</x:v>
      </x:c>
      <x:c r="L776" t="str">
        <x:v>Supplier 005</x:v>
      </x:c>
      <x:c r="M776" t="str">
        <x:v>REG-668946</x:v>
      </x:c>
      <x:c r="N776" t="str">
        <x:v>Generic Ingredient 076</x:v>
      </x:c>
      <x:c r="O776" t="str">
        <x:v>General Sale</x:v>
      </x:c>
      <x:c r="P776" t="n">
        <x:v>45</x:v>
      </x:c>
      <x:c r="Q776" t="n">
        <x:v>0</x:v>
      </x:c>
      <x:c r="R776" t="n">
        <x:v>0</x:v>
      </x:c>
      <x:c r="S776" s="12" t="n">
        <x:f>E776*Q776</x:f>
        <x:v>0</x:v>
      </x:c>
      <x:c r="T776" s="12" t="n">
        <x:f>ROUND(S776*F776+0.000000001,2)</x:f>
        <x:v>0</x:v>
      </x:c>
      <x:c r="U776" s="12" t="n">
        <x:f>E776*R776</x:f>
        <x:v>0</x:v>
      </x:c>
      <x:c r="V776" t="str">
        <x:f>IF(AND(C776="Active",Q776=0),"Active Zero Sales","Not Zero Sales")</x:f>
        <x:v>Not Zero Sales</x:v>
      </x:c>
      <x:c r="W776" s="12" t="n">
        <x:f>IF(V776="Active Zero Sales",U776,0)</x:f>
        <x:v>0</x:v>
      </x:c>
      <x:c r="X776" t="str">
        <x:f>IF(E776&lt;25,"Low &lt; 25",IF(E776&lt;100,"Medium 25-99",IF(E776&lt;300,"High 100-299","Premium 300+")))</x:f>
        <x:v>Medium 25-99</x:v>
      </x:c>
      <x:c r="Y776" t="n">
        <x:f>IF(C776="Active",1,0)</x:f>
        <x:v>0</x:v>
      </x:c>
    </x:row>
    <x:row r="777">
      <x:c r="A777" t="str">
        <x:v>SKU00776</x:v>
      </x:c>
      <x:c r="B777" t="str">
        <x:v>Sample Product 00776</x:v>
      </x:c>
      <x:c r="C777" t="str">
        <x:v>Active</x:v>
      </x:c>
      <x:c r="D777" t="str">
        <x:v>2026-01</x:v>
      </x:c>
      <x:c r="E777" s="12" t="n">
        <x:v>214.04</x:v>
      </x:c>
      <x:c r="F777" s="10" t="n">
        <x:v>0.364</x:v>
      </x:c>
      <x:c r="G777" t="str">
        <x:v>Nutrition</x:v>
      </x:c>
      <x:c r="H777" t="str">
        <x:v>Healthy Snacks</x:v>
      </x:c>
      <x:c r="I777" t="str">
        <x:v>MFG011</x:v>
      </x:c>
      <x:c r="J777" t="str">
        <x:v>Manufacturer 011</x:v>
      </x:c>
      <x:c r="K777" t="str">
        <x:v>SUP005</x:v>
      </x:c>
      <x:c r="L777" t="str">
        <x:v>Supplier 005</x:v>
      </x:c>
      <x:c r="M777" t="str">
        <x:v>REG-583623</x:v>
      </x:c>
      <x:c r="N777" t="str">
        <x:v>Generic Ingredient 006</x:v>
      </x:c>
      <x:c r="O777" t="str">
        <x:v>Pharmacy Only</x:v>
      </x:c>
      <x:c r="P777" t="n">
        <x:v>50</x:v>
      </x:c>
      <x:c r="Q777" t="n">
        <x:v>51</x:v>
      </x:c>
      <x:c r="R777" t="n">
        <x:v>6</x:v>
      </x:c>
      <x:c r="S777" s="12" t="n">
        <x:f>E777*Q777</x:f>
        <x:v>10916.039999999999</x:v>
      </x:c>
      <x:c r="T777" s="12" t="n">
        <x:f>ROUND(S777*F777+0.000000001,2)</x:f>
        <x:v>3973.44</x:v>
      </x:c>
      <x:c r="U777" s="12" t="n">
        <x:f>E777*R777</x:f>
        <x:v>1284.24</x:v>
      </x:c>
      <x:c r="V777" t="str">
        <x:f>IF(AND(C777="Active",Q777=0),"Active Zero Sales","Not Zero Sales")</x:f>
        <x:v>Not Zero Sales</x:v>
      </x:c>
      <x:c r="W777" s="12" t="n">
        <x:f>IF(V777="Active Zero Sales",U777,0)</x:f>
        <x:v>0</x:v>
      </x:c>
      <x:c r="X777" t="str">
        <x:f>IF(E777&lt;25,"Low &lt; 25",IF(E777&lt;100,"Medium 25-99",IF(E777&lt;300,"High 100-299","Premium 300+")))</x:f>
        <x:v>High 100-299</x:v>
      </x:c>
      <x:c r="Y777" t="n">
        <x:f>IF(C777="Active",1,0)</x:f>
        <x:v>1</x:v>
      </x:c>
    </x:row>
    <x:row r="778">
      <x:c r="A778" t="str">
        <x:v>SKU00777</x:v>
      </x:c>
      <x:c r="B778" t="str">
        <x:v>Sample Product 00777</x:v>
      </x:c>
      <x:c r="C778" t="str">
        <x:v>Active</x:v>
      </x:c>
      <x:c r="D778" t="str">
        <x:v>2026-04</x:v>
      </x:c>
      <x:c r="E778" s="12" t="n">
        <x:v>67.82</x:v>
      </x:c>
      <x:c r="F778" s="10" t="n">
        <x:v>0.268</x:v>
      </x:c>
      <x:c r="G778" t="str">
        <x:v>Medical Devices</x:v>
      </x:c>
      <x:c r="H778" t="str">
        <x:v>Home Diagnostics</x:v>
      </x:c>
      <x:c r="I778" t="str">
        <x:v>MFG009</x:v>
      </x:c>
      <x:c r="J778" t="str">
        <x:v>Manufacturer 009</x:v>
      </x:c>
      <x:c r="K778" t="str">
        <x:v>SUP003</x:v>
      </x:c>
      <x:c r="L778" t="str">
        <x:v>Supplier 003</x:v>
      </x:c>
      <x:c r="M778" t="str">
        <x:v>REG-499631</x:v>
      </x:c>
      <x:c r="N778" t="str">
        <x:v>Generic Ingredient 107</x:v>
      </x:c>
      <x:c r="O778" t="str">
        <x:v>General Sale</x:v>
      </x:c>
      <x:c r="P778" t="n">
        <x:v>37</x:v>
      </x:c>
      <x:c r="Q778" t="n">
        <x:v>23</x:v>
      </x:c>
      <x:c r="R778" t="n">
        <x:v>16</x:v>
      </x:c>
      <x:c r="S778" s="12" t="n">
        <x:f>E778*Q778</x:f>
        <x:v>1559.86</x:v>
      </x:c>
      <x:c r="T778" s="12" t="n">
        <x:f>ROUND(S778*F778+0.000000001,2)</x:f>
        <x:v>418.04</x:v>
      </x:c>
      <x:c r="U778" s="12" t="n">
        <x:f>E778*R778</x:f>
        <x:v>1085.12</x:v>
      </x:c>
      <x:c r="V778" t="str">
        <x:f>IF(AND(C778="Active",Q778=0),"Active Zero Sales","Not Zero Sales")</x:f>
        <x:v>Not Zero Sales</x:v>
      </x:c>
      <x:c r="W778" s="12" t="n">
        <x:f>IF(V778="Active Zero Sales",U778,0)</x:f>
        <x:v>0</x:v>
      </x:c>
      <x:c r="X778" t="str">
        <x:f>IF(E778&lt;25,"Low &lt; 25",IF(E778&lt;100,"Medium 25-99",IF(E778&lt;300,"High 100-299","Premium 300+")))</x:f>
        <x:v>Medium 25-99</x:v>
      </x:c>
      <x:c r="Y778" t="n">
        <x:f>IF(C778="Active",1,0)</x:f>
        <x:v>1</x:v>
      </x:c>
    </x:row>
    <x:row r="779">
      <x:c r="A779" t="str">
        <x:v>SKU00778</x:v>
      </x:c>
      <x:c r="B779" t="str">
        <x:v>Sample Product 00778</x:v>
      </x:c>
      <x:c r="C779" t="str">
        <x:v>Active</x:v>
      </x:c>
      <x:c r="D779" t="str">
        <x:v>2026-01</x:v>
      </x:c>
      <x:c r="E779" s="12" t="n">
        <x:v>26.78</x:v>
      </x:c>
      <x:c r="F779" s="10" t="n">
        <x:v>0.326</x:v>
      </x:c>
      <x:c r="G779" t="str">
        <x:v>Nutrition</x:v>
      </x:c>
      <x:c r="H779" t="str">
        <x:v>Adult Nutrition</x:v>
      </x:c>
      <x:c r="I779" t="str">
        <x:v>MFG010</x:v>
      </x:c>
      <x:c r="J779" t="str">
        <x:v>Manufacturer 010</x:v>
      </x:c>
      <x:c r="K779" t="str">
        <x:v>SUP023</x:v>
      </x:c>
      <x:c r="L779" t="str">
        <x:v>Supplier 023</x:v>
      </x:c>
      <x:c r="M779" t="str">
        <x:v>REG-836620</x:v>
      </x:c>
      <x:c r="N779" t="str">
        <x:v>Generic Ingredient 172</x:v>
      </x:c>
      <x:c r="O779" t="str">
        <x:v>Pharmacy Only</x:v>
      </x:c>
      <x:c r="P779" t="n">
        <x:v>29</x:v>
      </x:c>
      <x:c r="Q779" t="n">
        <x:v>9</x:v>
      </x:c>
      <x:c r="R779" t="n">
        <x:v>0</x:v>
      </x:c>
      <x:c r="S779" s="12" t="n">
        <x:f>E779*Q779</x:f>
        <x:v>241.02</x:v>
      </x:c>
      <x:c r="T779" s="12" t="n">
        <x:f>ROUND(S779*F779+0.000000001,2)</x:f>
        <x:v>78.57</x:v>
      </x:c>
      <x:c r="U779" s="12" t="n">
        <x:f>E779*R779</x:f>
        <x:v>0</x:v>
      </x:c>
      <x:c r="V779" t="str">
        <x:f>IF(AND(C779="Active",Q779=0),"Active Zero Sales","Not Zero Sales")</x:f>
        <x:v>Not Zero Sales</x:v>
      </x:c>
      <x:c r="W779" s="12" t="n">
        <x:f>IF(V779="Active Zero Sales",U779,0)</x:f>
        <x:v>0</x:v>
      </x:c>
      <x:c r="X779" t="str">
        <x:f>IF(E779&lt;25,"Low &lt; 25",IF(E779&lt;100,"Medium 25-99",IF(E779&lt;300,"High 100-299","Premium 300+")))</x:f>
        <x:v>Medium 25-99</x:v>
      </x:c>
      <x:c r="Y779" t="n">
        <x:f>IF(C779="Active",1,0)</x:f>
        <x:v>1</x:v>
      </x:c>
    </x:row>
    <x:row r="780">
      <x:c r="A780" t="str">
        <x:v>SKU00779</x:v>
      </x:c>
      <x:c r="B780" t="str">
        <x:v>Sample Product 00779</x:v>
      </x:c>
      <x:c r="C780" t="str">
        <x:v>Active</x:v>
      </x:c>
      <x:c r="D780" t="str">
        <x:v>2026-01</x:v>
      </x:c>
      <x:c r="E780" s="12" t="n">
        <x:v>39.04</x:v>
      </x:c>
      <x:c r="F780" s="10" t="n">
        <x:v>0.205</x:v>
      </x:c>
      <x:c r="G780" t="str">
        <x:v>Medical Devices</x:v>
      </x:c>
      <x:c r="H780" t="str">
        <x:v>Mobility Aids</x:v>
      </x:c>
      <x:c r="I780" t="str">
        <x:v>MFG008</x:v>
      </x:c>
      <x:c r="J780" t="str">
        <x:v>Manufacturer 008</x:v>
      </x:c>
      <x:c r="K780" t="str">
        <x:v>SUP011</x:v>
      </x:c>
      <x:c r="L780" t="str">
        <x:v>Supplier 011</x:v>
      </x:c>
      <x:c r="M780" t="str">
        <x:v>REG-444441</x:v>
      </x:c>
      <x:c r="N780" t="str">
        <x:v>Generic Ingredient 063</x:v>
      </x:c>
      <x:c r="O780" t="str">
        <x:v>General Sale</x:v>
      </x:c>
      <x:c r="P780" t="n">
        <x:v>30</x:v>
      </x:c>
      <x:c r="Q780" t="n">
        <x:v>0</x:v>
      </x:c>
      <x:c r="R780" t="n">
        <x:v>14</x:v>
      </x:c>
      <x:c r="S780" s="12" t="n">
        <x:f>E780*Q780</x:f>
        <x:v>0</x:v>
      </x:c>
      <x:c r="T780" s="12" t="n">
        <x:f>ROUND(S780*F780+0.000000001,2)</x:f>
        <x:v>0</x:v>
      </x:c>
      <x:c r="U780" s="12" t="n">
        <x:f>E780*R780</x:f>
        <x:v>546.56</x:v>
      </x:c>
      <x:c r="V780" t="str">
        <x:f>IF(AND(C780="Active",Q780=0),"Active Zero Sales","Not Zero Sales")</x:f>
        <x:v>Active Zero Sales</x:v>
      </x:c>
      <x:c r="W780" s="12" t="n">
        <x:f>IF(V780="Active Zero Sales",U780,0)</x:f>
        <x:v>546.56</x:v>
      </x:c>
      <x:c r="X780" t="str">
        <x:f>IF(E780&lt;25,"Low &lt; 25",IF(E780&lt;100,"Medium 25-99",IF(E780&lt;300,"High 100-299","Premium 300+")))</x:f>
        <x:v>Medium 25-99</x:v>
      </x:c>
      <x:c r="Y780" t="n">
        <x:f>IF(C780="Active",1,0)</x:f>
        <x:v>1</x:v>
      </x:c>
    </x:row>
    <x:row r="781">
      <x:c r="A781" t="str">
        <x:v>SKU00780</x:v>
      </x:c>
      <x:c r="B781" t="str">
        <x:v>Sample Product 00780</x:v>
      </x:c>
      <x:c r="C781" t="str">
        <x:v>Blocked</x:v>
      </x:c>
      <x:c r="D781" t="str">
        <x:v>2026-02</x:v>
      </x:c>
      <x:c r="E781" s="12" t="n">
        <x:v>63.5</x:v>
      </x:c>
      <x:c r="F781" s="10" t="n">
        <x:v>0.373</x:v>
      </x:c>
      <x:c r="G781" t="str">
        <x:v>Personal Care</x:v>
      </x:c>
      <x:c r="H781" t="str">
        <x:v>Hair Care</x:v>
      </x:c>
      <x:c r="I781" t="str">
        <x:v>MFG014</x:v>
      </x:c>
      <x:c r="J781" t="str">
        <x:v>Manufacturer 014</x:v>
      </x:c>
      <x:c r="K781" t="str">
        <x:v>SUP006</x:v>
      </x:c>
      <x:c r="L781" t="str">
        <x:v>Supplier 006</x:v>
      </x:c>
      <x:c r="M781" t="str">
        <x:v>REG-462466</x:v>
      </x:c>
      <x:c r="N781" t="str">
        <x:v>Generic Ingredient 074</x:v>
      </x:c>
      <x:c r="O781" t="str">
        <x:v>Pharmacy Only</x:v>
      </x:c>
      <x:c r="P781" t="n">
        <x:v>44</x:v>
      </x:c>
      <x:c r="Q781" t="n">
        <x:v>0</x:v>
      </x:c>
      <x:c r="R781" t="n">
        <x:v>0</x:v>
      </x:c>
      <x:c r="S781" s="12" t="n">
        <x:f>E781*Q781</x:f>
        <x:v>0</x:v>
      </x:c>
      <x:c r="T781" s="12" t="n">
        <x:f>ROUND(S781*F781+0.000000001,2)</x:f>
        <x:v>0</x:v>
      </x:c>
      <x:c r="U781" s="12" t="n">
        <x:f>E781*R781</x:f>
        <x:v>0</x:v>
      </x:c>
      <x:c r="V781" t="str">
        <x:f>IF(AND(C781="Active",Q781=0),"Active Zero Sales","Not Zero Sales")</x:f>
        <x:v>Not Zero Sales</x:v>
      </x:c>
      <x:c r="W781" s="12" t="n">
        <x:f>IF(V781="Active Zero Sales",U781,0)</x:f>
        <x:v>0</x:v>
      </x:c>
      <x:c r="X781" t="str">
        <x:f>IF(E781&lt;25,"Low &lt; 25",IF(E781&lt;100,"Medium 25-99",IF(E781&lt;300,"High 100-299","Premium 300+")))</x:f>
        <x:v>Medium 25-99</x:v>
      </x:c>
      <x:c r="Y781" t="n">
        <x:f>IF(C781="Active",1,0)</x:f>
        <x:v>0</x:v>
      </x:c>
    </x:row>
    <x:row r="782">
      <x:c r="A782" t="str">
        <x:v>SKU00781</x:v>
      </x:c>
      <x:c r="B782" t="str">
        <x:v>Sample Product 00781</x:v>
      </x:c>
      <x:c r="C782" t="str">
        <x:v>Active</x:v>
      </x:c>
      <x:c r="D782" t="str">
        <x:v>2026-04</x:v>
      </x:c>
      <x:c r="E782" s="12" t="n">
        <x:v>8.54</x:v>
      </x:c>
      <x:c r="F782" s="10" t="n">
        <x:v>0.316</x:v>
      </x:c>
      <x:c r="G782" t="str">
        <x:v>Medical Devices</x:v>
      </x:c>
      <x:c r="H782" t="str">
        <x:v>Mobility Aids</x:v>
      </x:c>
      <x:c r="I782" t="str">
        <x:v>MFG016</x:v>
      </x:c>
      <x:c r="J782" t="str">
        <x:v>Manufacturer 016</x:v>
      </x:c>
      <x:c r="K782" t="str">
        <x:v>SUP011</x:v>
      </x:c>
      <x:c r="L782" t="str">
        <x:v>Supplier 011</x:v>
      </x:c>
      <x:c r="M782" t="str">
        <x:v>REG-993634</x:v>
      </x:c>
      <x:c r="N782" t="str">
        <x:v>Generic Ingredient 109</x:v>
      </x:c>
      <x:c r="O782" t="str">
        <x:v>Pharmacy Only</x:v>
      </x:c>
      <x:c r="P782" t="n">
        <x:v>55</x:v>
      </x:c>
      <x:c r="Q782" t="n">
        <x:v>36</x:v>
      </x:c>
      <x:c r="R782" t="n">
        <x:v>20</x:v>
      </x:c>
      <x:c r="S782" s="12" t="n">
        <x:f>E782*Q782</x:f>
        <x:v>307.43999999999994</x:v>
      </x:c>
      <x:c r="T782" s="12" t="n">
        <x:f>ROUND(S782*F782+0.000000001,2)</x:f>
        <x:v>97.15</x:v>
      </x:c>
      <x:c r="U782" s="12" t="n">
        <x:f>E782*R782</x:f>
        <x:v>170.79999999999998</x:v>
      </x:c>
      <x:c r="V782" t="str">
        <x:f>IF(AND(C782="Active",Q782=0),"Active Zero Sales","Not Zero Sales")</x:f>
        <x:v>Not Zero Sales</x:v>
      </x:c>
      <x:c r="W782" s="12" t="n">
        <x:f>IF(V782="Active Zero Sales",U782,0)</x:f>
        <x:v>0</x:v>
      </x:c>
      <x:c r="X782" t="str">
        <x:f>IF(E782&lt;25,"Low &lt; 25",IF(E782&lt;100,"Medium 25-99",IF(E782&lt;300,"High 100-299","Premium 300+")))</x:f>
        <x:v>Low &lt; 25</x:v>
      </x:c>
      <x:c r="Y782" t="n">
        <x:f>IF(C782="Active",1,0)</x:f>
        <x:v>1</x:v>
      </x:c>
    </x:row>
    <x:row r="783">
      <x:c r="A783" t="str">
        <x:v>SKU00782</x:v>
      </x:c>
      <x:c r="B783" t="str">
        <x:v>Sample Product 00782</x:v>
      </x:c>
      <x:c r="C783" t="str">
        <x:v>Active</x:v>
      </x:c>
      <x:c r="D783" t="str">
        <x:v>2026-04</x:v>
      </x:c>
      <x:c r="E783" s="12" t="n">
        <x:v>14.78</x:v>
      </x:c>
      <x:c r="F783" s="10" t="n">
        <x:v>0.266</x:v>
      </x:c>
      <x:c r="G783" t="str">
        <x:v>OTC &amp; Wellness</x:v>
      </x:c>
      <x:c r="H783" t="str">
        <x:v>Digestive Care</x:v>
      </x:c>
      <x:c r="I783" t="str">
        <x:v>MFG009</x:v>
      </x:c>
      <x:c r="J783" t="str">
        <x:v>Manufacturer 009</x:v>
      </x:c>
      <x:c r="K783" t="str">
        <x:v>SUP005</x:v>
      </x:c>
      <x:c r="L783" t="str">
        <x:v>Supplier 005</x:v>
      </x:c>
      <x:c r="M783" t="str">
        <x:v>REG-859090</x:v>
      </x:c>
      <x:c r="N783" t="str">
        <x:v>Generic Ingredient 132</x:v>
      </x:c>
      <x:c r="O783" t="str">
        <x:v>General Sale</x:v>
      </x:c>
      <x:c r="P783" t="n">
        <x:v>32</x:v>
      </x:c>
      <x:c r="Q783" t="n">
        <x:v>11</x:v>
      </x:c>
      <x:c r="R783" t="n">
        <x:v>0</x:v>
      </x:c>
      <x:c r="S783" s="12" t="n">
        <x:f>E783*Q783</x:f>
        <x:v>162.57999999999998</x:v>
      </x:c>
      <x:c r="T783" s="12" t="n">
        <x:f>ROUND(S783*F783+0.000000001,2)</x:f>
        <x:v>43.25</x:v>
      </x:c>
      <x:c r="U783" s="12" t="n">
        <x:f>E783*R783</x:f>
        <x:v>0</x:v>
      </x:c>
      <x:c r="V783" t="str">
        <x:f>IF(AND(C783="Active",Q783=0),"Active Zero Sales","Not Zero Sales")</x:f>
        <x:v>Not Zero Sales</x:v>
      </x:c>
      <x:c r="W783" s="12" t="n">
        <x:f>IF(V783="Active Zero Sales",U783,0)</x:f>
        <x:v>0</x:v>
      </x:c>
      <x:c r="X783" t="str">
        <x:f>IF(E783&lt;25,"Low &lt; 25",IF(E783&lt;100,"Medium 25-99",IF(E783&lt;300,"High 100-299","Premium 300+")))</x:f>
        <x:v>Low &lt; 25</x:v>
      </x:c>
      <x:c r="Y783" t="n">
        <x:f>IF(C783="Active",1,0)</x:f>
        <x:v>1</x:v>
      </x:c>
    </x:row>
    <x:row r="784">
      <x:c r="A784" t="str">
        <x:v>SKU00783</x:v>
      </x:c>
      <x:c r="B784" t="str">
        <x:v>Sample Product 00783</x:v>
      </x:c>
      <x:c r="C784" t="str">
        <x:v>Blocked</x:v>
      </x:c>
      <x:c r="D784" t="str">
        <x:v>2026-02</x:v>
      </x:c>
      <x:c r="E784" s="12" t="n">
        <x:v>475.07</x:v>
      </x:c>
      <x:c r="F784" s="10" t="n">
        <x:v>0.436</x:v>
      </x:c>
      <x:c r="G784" t="str">
        <x:v>OTC &amp; Wellness</x:v>
      </x:c>
      <x:c r="H784" t="str">
        <x:v>Cold &amp; Allergy</x:v>
      </x:c>
      <x:c r="I784" t="str">
        <x:v>MFG008</x:v>
      </x:c>
      <x:c r="J784" t="str">
        <x:v>Manufacturer 008</x:v>
      </x:c>
      <x:c r="K784" t="str">
        <x:v>SUP012</x:v>
      </x:c>
      <x:c r="L784" t="str">
        <x:v>Supplier 012</x:v>
      </x:c>
      <x:c r="M784" t="str">
        <x:v>REG-915700</x:v>
      </x:c>
      <x:c r="N784" t="str">
        <x:v>Generic Ingredient 076</x:v>
      </x:c>
      <x:c r="O784" t="str">
        <x:v>General Sale</x:v>
      </x:c>
      <x:c r="P784" t="n">
        <x:v>38</x:v>
      </x:c>
      <x:c r="Q784" t="n">
        <x:v>0</x:v>
      </x:c>
      <x:c r="R784" t="n">
        <x:v>0</x:v>
      </x:c>
      <x:c r="S784" s="12" t="n">
        <x:f>E784*Q784</x:f>
        <x:v>0</x:v>
      </x:c>
      <x:c r="T784" s="12" t="n">
        <x:f>ROUND(S784*F784+0.000000001,2)</x:f>
        <x:v>0</x:v>
      </x:c>
      <x:c r="U784" s="12" t="n">
        <x:f>E784*R784</x:f>
        <x:v>0</x:v>
      </x:c>
      <x:c r="V784" t="str">
        <x:f>IF(AND(C784="Active",Q784=0),"Active Zero Sales","Not Zero Sales")</x:f>
        <x:v>Not Zero Sales</x:v>
      </x:c>
      <x:c r="W784" s="12" t="n">
        <x:f>IF(V784="Active Zero Sales",U784,0)</x:f>
        <x:v>0</x:v>
      </x:c>
      <x:c r="X784" t="str">
        <x:f>IF(E784&lt;25,"Low &lt; 25",IF(E784&lt;100,"Medium 25-99",IF(E784&lt;300,"High 100-299","Premium 300+")))</x:f>
        <x:v>Premium 300+</x:v>
      </x:c>
      <x:c r="Y784" t="n">
        <x:f>IF(C784="Active",1,0)</x:f>
        <x:v>0</x:v>
      </x:c>
    </x:row>
    <x:row r="785">
      <x:c r="A785" t="str">
        <x:v>SKU00784</x:v>
      </x:c>
      <x:c r="B785" t="str">
        <x:v>Sample Product 00784</x:v>
      </x:c>
      <x:c r="C785" t="str">
        <x:v>Active</x:v>
      </x:c>
      <x:c r="D785" t="str">
        <x:v>2026-06</x:v>
      </x:c>
      <x:c r="E785" s="12" t="n">
        <x:v>22.6</x:v>
      </x:c>
      <x:c r="F785" s="10" t="n">
        <x:v>0.315</x:v>
      </x:c>
      <x:c r="G785" t="str">
        <x:v>OTC &amp; Wellness</x:v>
      </x:c>
      <x:c r="H785" t="str">
        <x:v>Digestive Care</x:v>
      </x:c>
      <x:c r="I785" t="str">
        <x:v>MFG009</x:v>
      </x:c>
      <x:c r="J785" t="str">
        <x:v>Manufacturer 009</x:v>
      </x:c>
      <x:c r="K785" t="str">
        <x:v>SUP007</x:v>
      </x:c>
      <x:c r="L785" t="str">
        <x:v>Supplier 007</x:v>
      </x:c>
      <x:c r="M785" t="str">
        <x:v>REG-263083</x:v>
      </x:c>
      <x:c r="N785" t="str">
        <x:v>Generic Ingredient 141</x:v>
      </x:c>
      <x:c r="O785" t="str">
        <x:v>General Sale</x:v>
      </x:c>
      <x:c r="P785" t="n">
        <x:v>47</x:v>
      </x:c>
      <x:c r="Q785" t="n">
        <x:v>27</x:v>
      </x:c>
      <x:c r="R785" t="n">
        <x:v>4</x:v>
      </x:c>
      <x:c r="S785" s="12" t="n">
        <x:f>E785*Q785</x:f>
        <x:v>610.2</x:v>
      </x:c>
      <x:c r="T785" s="12" t="n">
        <x:f>ROUND(S785*F785+0.000000001,2)</x:f>
        <x:v>192.21</x:v>
      </x:c>
      <x:c r="U785" s="12" t="n">
        <x:f>E785*R785</x:f>
        <x:v>90.4</x:v>
      </x:c>
      <x:c r="V785" t="str">
        <x:f>IF(AND(C785="Active",Q785=0),"Active Zero Sales","Not Zero Sales")</x:f>
        <x:v>Not Zero Sales</x:v>
      </x:c>
      <x:c r="W785" s="12" t="n">
        <x:f>IF(V785="Active Zero Sales",U785,0)</x:f>
        <x:v>0</x:v>
      </x:c>
      <x:c r="X785" t="str">
        <x:f>IF(E785&lt;25,"Low &lt; 25",IF(E785&lt;100,"Medium 25-99",IF(E785&lt;300,"High 100-299","Premium 300+")))</x:f>
        <x:v>Low &lt; 25</x:v>
      </x:c>
      <x:c r="Y785" t="n">
        <x:f>IF(C785="Active",1,0)</x:f>
        <x:v>1</x:v>
      </x:c>
    </x:row>
    <x:row r="786">
      <x:c r="A786" t="str">
        <x:v>SKU00785</x:v>
      </x:c>
      <x:c r="B786" t="str">
        <x:v>Sample Product 00785</x:v>
      </x:c>
      <x:c r="C786" t="str">
        <x:v>Blocked</x:v>
      </x:c>
      <x:c r="D786" t="str">
        <x:v>2026-04</x:v>
      </x:c>
      <x:c r="E786" s="12" t="n">
        <x:v>18.99</x:v>
      </x:c>
      <x:c r="F786" s="10" t="n">
        <x:v>0.375</x:v>
      </x:c>
      <x:c r="G786" t="str">
        <x:v>General Merchandise</x:v>
      </x:c>
      <x:c r="H786" t="str">
        <x:v>Travel Health</x:v>
      </x:c>
      <x:c r="I786" t="str">
        <x:v>MFG004</x:v>
      </x:c>
      <x:c r="J786" t="str">
        <x:v>Manufacturer 004</x:v>
      </x:c>
      <x:c r="K786" t="str">
        <x:v>SUP019</x:v>
      </x:c>
      <x:c r="L786" t="str">
        <x:v>Supplier 019</x:v>
      </x:c>
      <x:c r="M786" t="str">
        <x:v>REG-112096</x:v>
      </x:c>
      <x:c r="N786" t="str">
        <x:v>Generic Ingredient 109</x:v>
      </x:c>
      <x:c r="O786" t="str">
        <x:v>General Sale</x:v>
      </x:c>
      <x:c r="P786" t="n">
        <x:v>0</x:v>
      </x:c>
      <x:c r="Q786" t="n">
        <x:v>0</x:v>
      </x:c>
      <x:c r="R786" t="n">
        <x:v>0</x:v>
      </x:c>
      <x:c r="S786" s="12" t="n">
        <x:f>E786*Q786</x:f>
        <x:v>0</x:v>
      </x:c>
      <x:c r="T786" s="12" t="n">
        <x:f>ROUND(S786*F786+0.000000001,2)</x:f>
        <x:v>0</x:v>
      </x:c>
      <x:c r="U786" s="12" t="n">
        <x:f>E786*R786</x:f>
        <x:v>0</x:v>
      </x:c>
      <x:c r="V786" t="str">
        <x:f>IF(AND(C786="Active",Q786=0),"Active Zero Sales","Not Zero Sales")</x:f>
        <x:v>Not Zero Sales</x:v>
      </x:c>
      <x:c r="W786" s="12" t="n">
        <x:f>IF(V786="Active Zero Sales",U786,0)</x:f>
        <x:v>0</x:v>
      </x:c>
      <x:c r="X786" t="str">
        <x:f>IF(E786&lt;25,"Low &lt; 25",IF(E786&lt;100,"Medium 25-99",IF(E786&lt;300,"High 100-299","Premium 300+")))</x:f>
        <x:v>Low &lt; 25</x:v>
      </x:c>
      <x:c r="Y786" t="n">
        <x:f>IF(C786="Active",1,0)</x:f>
        <x:v>0</x:v>
      </x:c>
    </x:row>
    <x:row r="787">
      <x:c r="A787" t="str">
        <x:v>SKU00786</x:v>
      </x:c>
      <x:c r="B787" t="str">
        <x:v>Sample Product 00786</x:v>
      </x:c>
      <x:c r="C787" t="str">
        <x:v>Active</x:v>
      </x:c>
      <x:c r="D787" t="str">
        <x:v>2026-03</x:v>
      </x:c>
      <x:c r="E787" s="12" t="n">
        <x:v>187.62</x:v>
      </x:c>
      <x:c r="F787" s="10" t="n">
        <x:v>0.256</x:v>
      </x:c>
      <x:c r="G787" t="str">
        <x:v>Medical Devices</x:v>
      </x:c>
      <x:c r="H787" t="str">
        <x:v>Mobility Aids</x:v>
      </x:c>
      <x:c r="I787" t="str">
        <x:v>MFG016</x:v>
      </x:c>
      <x:c r="J787" t="str">
        <x:v>Manufacturer 016</x:v>
      </x:c>
      <x:c r="K787" t="str">
        <x:v>SUP011</x:v>
      </x:c>
      <x:c r="L787" t="str">
        <x:v>Supplier 011</x:v>
      </x:c>
      <x:c r="M787" t="str">
        <x:v>REG-601109</x:v>
      </x:c>
      <x:c r="N787" t="str">
        <x:v>Generic Ingredient 039</x:v>
      </x:c>
      <x:c r="O787" t="str">
        <x:v>Pharmacy Only</x:v>
      </x:c>
      <x:c r="P787" t="n">
        <x:v>38</x:v>
      </x:c>
      <x:c r="Q787" t="n">
        <x:v>11</x:v>
      </x:c>
      <x:c r="R787" t="n">
        <x:v>9</x:v>
      </x:c>
      <x:c r="S787" s="12" t="n">
        <x:f>E787*Q787</x:f>
        <x:v>2063.82</x:v>
      </x:c>
      <x:c r="T787" s="12" t="n">
        <x:f>ROUND(S787*F787+0.000000001,2)</x:f>
        <x:v>528.34</x:v>
      </x:c>
      <x:c r="U787" s="12" t="n">
        <x:f>E787*R787</x:f>
        <x:v>1688.58</x:v>
      </x:c>
      <x:c r="V787" t="str">
        <x:f>IF(AND(C787="Active",Q787=0),"Active Zero Sales","Not Zero Sales")</x:f>
        <x:v>Not Zero Sales</x:v>
      </x:c>
      <x:c r="W787" s="12" t="n">
        <x:f>IF(V787="Active Zero Sales",U787,0)</x:f>
        <x:v>0</x:v>
      </x:c>
      <x:c r="X787" t="str">
        <x:f>IF(E787&lt;25,"Low &lt; 25",IF(E787&lt;100,"Medium 25-99",IF(E787&lt;300,"High 100-299","Premium 300+")))</x:f>
        <x:v>High 100-299</x:v>
      </x:c>
      <x:c r="Y787" t="n">
        <x:f>IF(C787="Active",1,0)</x:f>
        <x:v>1</x:v>
      </x:c>
    </x:row>
    <x:row r="788">
      <x:c r="A788" t="str">
        <x:v>SKU00787</x:v>
      </x:c>
      <x:c r="B788" t="str">
        <x:v>Sample Product 00787</x:v>
      </x:c>
      <x:c r="C788" t="str">
        <x:v>Active</x:v>
      </x:c>
      <x:c r="D788" t="str">
        <x:v>2026-03</x:v>
      </x:c>
      <x:c r="E788" s="12" t="n">
        <x:v>72.91</x:v>
      </x:c>
      <x:c r="F788" s="10" t="n">
        <x:v>0.401</x:v>
      </x:c>
      <x:c r="G788" t="str">
        <x:v>OTC &amp; Wellness</x:v>
      </x:c>
      <x:c r="H788" t="str">
        <x:v>Vitamins</x:v>
      </x:c>
      <x:c r="I788" t="str">
        <x:v>MFG007</x:v>
      </x:c>
      <x:c r="J788" t="str">
        <x:v>Manufacturer 007</x:v>
      </x:c>
      <x:c r="K788" t="str">
        <x:v>SUP018</x:v>
      </x:c>
      <x:c r="L788" t="str">
        <x:v>Supplier 018</x:v>
      </x:c>
      <x:c r="M788" t="str">
        <x:v>REG-729287</x:v>
      </x:c>
      <x:c r="N788" t="str">
        <x:v>Generic Ingredient 056</x:v>
      </x:c>
      <x:c r="O788" t="str">
        <x:v>General Sale</x:v>
      </x:c>
      <x:c r="P788" t="n">
        <x:v>45</x:v>
      </x:c>
      <x:c r="Q788" t="n">
        <x:v>18</x:v>
      </x:c>
      <x:c r="R788" t="n">
        <x:v>0</x:v>
      </x:c>
      <x:c r="S788" s="12" t="n">
        <x:f>E788*Q788</x:f>
        <x:v>1312.3799999999999</x:v>
      </x:c>
      <x:c r="T788" s="12" t="n">
        <x:f>ROUND(S788*F788+0.000000001,2)</x:f>
        <x:v>526.26</x:v>
      </x:c>
      <x:c r="U788" s="12" t="n">
        <x:f>E788*R788</x:f>
        <x:v>0</x:v>
      </x:c>
      <x:c r="V788" t="str">
        <x:f>IF(AND(C788="Active",Q788=0),"Active Zero Sales","Not Zero Sales")</x:f>
        <x:v>Not Zero Sales</x:v>
      </x:c>
      <x:c r="W788" s="12" t="n">
        <x:f>IF(V788="Active Zero Sales",U788,0)</x:f>
        <x:v>0</x:v>
      </x:c>
      <x:c r="X788" t="str">
        <x:f>IF(E788&lt;25,"Low &lt; 25",IF(E788&lt;100,"Medium 25-99",IF(E788&lt;300,"High 100-299","Premium 300+")))</x:f>
        <x:v>Medium 25-99</x:v>
      </x:c>
      <x:c r="Y788" t="n">
        <x:f>IF(C788="Active",1,0)</x:f>
        <x:v>1</x:v>
      </x:c>
    </x:row>
    <x:row r="789">
      <x:c r="A789" t="str">
        <x:v>SKU00788</x:v>
      </x:c>
      <x:c r="B789" t="str">
        <x:v>Sample Product 00788</x:v>
      </x:c>
      <x:c r="C789" t="str">
        <x:v>Blocked</x:v>
      </x:c>
      <x:c r="D789" t="str">
        <x:v>2026-03</x:v>
      </x:c>
      <x:c r="E789" s="12" t="n">
        <x:v>80.41</x:v>
      </x:c>
      <x:c r="F789" s="10" t="n">
        <x:v>0.423</x:v>
      </x:c>
      <x:c r="G789" t="str">
        <x:v>General Merchandise</x:v>
      </x:c>
      <x:c r="H789" t="str">
        <x:v>Travel Health</x:v>
      </x:c>
      <x:c r="I789" t="str">
        <x:v>MFG019</x:v>
      </x:c>
      <x:c r="J789" t="str">
        <x:v>Manufacturer 019</x:v>
      </x:c>
      <x:c r="K789" t="str">
        <x:v>SUP019</x:v>
      </x:c>
      <x:c r="L789" t="str">
        <x:v>Supplier 019</x:v>
      </x:c>
      <x:c r="M789" t="str">
        <x:v>REG-303739</x:v>
      </x:c>
      <x:c r="N789" t="str">
        <x:v>Generic Ingredient 105</x:v>
      </x:c>
      <x:c r="O789" t="str">
        <x:v>General Sale</x:v>
      </x:c>
      <x:c r="P789" t="n">
        <x:v>1</x:v>
      </x:c>
      <x:c r="Q789" t="n">
        <x:v>0</x:v>
      </x:c>
      <x:c r="R789" t="n">
        <x:v>0</x:v>
      </x:c>
      <x:c r="S789" s="12" t="n">
        <x:f>E789*Q789</x:f>
        <x:v>0</x:v>
      </x:c>
      <x:c r="T789" s="12" t="n">
        <x:f>ROUND(S789*F789+0.000000001,2)</x:f>
        <x:v>0</x:v>
      </x:c>
      <x:c r="U789" s="12" t="n">
        <x:f>E789*R789</x:f>
        <x:v>0</x:v>
      </x:c>
      <x:c r="V789" t="str">
        <x:f>IF(AND(C789="Active",Q789=0),"Active Zero Sales","Not Zero Sales")</x:f>
        <x:v>Not Zero Sales</x:v>
      </x:c>
      <x:c r="W789" s="12" t="n">
        <x:f>IF(V789="Active Zero Sales",U789,0)</x:f>
        <x:v>0</x:v>
      </x:c>
      <x:c r="X789" t="str">
        <x:f>IF(E789&lt;25,"Low &lt; 25",IF(E789&lt;100,"Medium 25-99",IF(E789&lt;300,"High 100-299","Premium 300+")))</x:f>
        <x:v>Medium 25-99</x:v>
      </x:c>
      <x:c r="Y789" t="n">
        <x:f>IF(C789="Active",1,0)</x:f>
        <x:v>0</x:v>
      </x:c>
    </x:row>
    <x:row r="790">
      <x:c r="A790" t="str">
        <x:v>SKU00789</x:v>
      </x:c>
      <x:c r="B790" t="str">
        <x:v>Sample Product 00789</x:v>
      </x:c>
      <x:c r="C790" t="str">
        <x:v>Active</x:v>
      </x:c>
      <x:c r="D790" t="str">
        <x:v>2026-02</x:v>
      </x:c>
      <x:c r="E790" s="12" t="n">
        <x:v>24.02</x:v>
      </x:c>
      <x:c r="F790" s="10" t="n">
        <x:v>0.364</x:v>
      </x:c>
      <x:c r="G790" t="str">
        <x:v>General Merchandise</x:v>
      </x:c>
      <x:c r="H790" t="str">
        <x:v>Accessories</x:v>
      </x:c>
      <x:c r="I790" t="str">
        <x:v>MFG001</x:v>
      </x:c>
      <x:c r="J790" t="str">
        <x:v>Manufacturer 001</x:v>
      </x:c>
      <x:c r="K790" t="str">
        <x:v>SUP024</x:v>
      </x:c>
      <x:c r="L790" t="str">
        <x:v>Supplier 024</x:v>
      </x:c>
      <x:c r="M790" t="str">
        <x:v>REG-182515</x:v>
      </x:c>
      <x:c r="N790" t="str">
        <x:v>Generic Ingredient 073</x:v>
      </x:c>
      <x:c r="O790" t="str">
        <x:v>General Sale</x:v>
      </x:c>
      <x:c r="P790" t="n">
        <x:v>156</x:v>
      </x:c>
      <x:c r="Q790" t="n">
        <x:v>90</x:v>
      </x:c>
      <x:c r="R790" t="n">
        <x:v>23</x:v>
      </x:c>
      <x:c r="S790" s="12" t="n">
        <x:f>E790*Q790</x:f>
        <x:v>2161.8</x:v>
      </x:c>
      <x:c r="T790" s="12" t="n">
        <x:f>ROUND(S790*F790+0.000000001,2)</x:f>
        <x:v>786.9</x:v>
      </x:c>
      <x:c r="U790" s="12" t="n">
        <x:f>E790*R790</x:f>
        <x:v>552.46</x:v>
      </x:c>
      <x:c r="V790" t="str">
        <x:f>IF(AND(C790="Active",Q790=0),"Active Zero Sales","Not Zero Sales")</x:f>
        <x:v>Not Zero Sales</x:v>
      </x:c>
      <x:c r="W790" s="12" t="n">
        <x:f>IF(V790="Active Zero Sales",U790,0)</x:f>
        <x:v>0</x:v>
      </x:c>
      <x:c r="X790" t="str">
        <x:f>IF(E790&lt;25,"Low &lt; 25",IF(E790&lt;100,"Medium 25-99",IF(E790&lt;300,"High 100-299","Premium 300+")))</x:f>
        <x:v>Low &lt; 25</x:v>
      </x:c>
      <x:c r="Y790" t="n">
        <x:f>IF(C790="Active",1,0)</x:f>
        <x:v>1</x:v>
      </x:c>
    </x:row>
    <x:row r="791">
      <x:c r="A791" t="str">
        <x:v>SKU00790</x:v>
      </x:c>
      <x:c r="B791" t="str">
        <x:v>Sample Product 00790</x:v>
      </x:c>
      <x:c r="C791" t="str">
        <x:v>Active</x:v>
      </x:c>
      <x:c r="D791" t="str">
        <x:v>2026-01</x:v>
      </x:c>
      <x:c r="E791" s="12" t="n">
        <x:v>66.01</x:v>
      </x:c>
      <x:c r="F791" s="10" t="n">
        <x:v>0.292</x:v>
      </x:c>
      <x:c r="G791" t="str">
        <x:v>Medical Devices</x:v>
      </x:c>
      <x:c r="H791" t="str">
        <x:v>Home Diagnostics</x:v>
      </x:c>
      <x:c r="I791" t="str">
        <x:v>MFG020</x:v>
      </x:c>
      <x:c r="J791" t="str">
        <x:v>Manufacturer 020</x:v>
      </x:c>
      <x:c r="K791" t="str">
        <x:v>SUP003</x:v>
      </x:c>
      <x:c r="L791" t="str">
        <x:v>Supplier 003</x:v>
      </x:c>
      <x:c r="M791" t="str">
        <x:v>REG-152551</x:v>
      </x:c>
      <x:c r="N791" t="str">
        <x:v>Generic Ingredient 119</x:v>
      </x:c>
      <x:c r="O791" t="str">
        <x:v>Restricted Sale</x:v>
      </x:c>
      <x:c r="P791" t="n">
        <x:v>66</x:v>
      </x:c>
      <x:c r="Q791" t="n">
        <x:v>13</x:v>
      </x:c>
      <x:c r="R791" t="n">
        <x:v>8</x:v>
      </x:c>
      <x:c r="S791" s="12" t="n">
        <x:f>E791*Q791</x:f>
        <x:v>858.1300000000001</x:v>
      </x:c>
      <x:c r="T791" s="12" t="n">
        <x:f>ROUND(S791*F791+0.000000001,2)</x:f>
        <x:v>250.57</x:v>
      </x:c>
      <x:c r="U791" s="12" t="n">
        <x:f>E791*R791</x:f>
        <x:v>528.08</x:v>
      </x:c>
      <x:c r="V791" t="str">
        <x:f>IF(AND(C791="Active",Q791=0),"Active Zero Sales","Not Zero Sales")</x:f>
        <x:v>Not Zero Sales</x:v>
      </x:c>
      <x:c r="W791" s="12" t="n">
        <x:f>IF(V791="Active Zero Sales",U791,0)</x:f>
        <x:v>0</x:v>
      </x:c>
      <x:c r="X791" t="str">
        <x:f>IF(E791&lt;25,"Low &lt; 25",IF(E791&lt;100,"Medium 25-99",IF(E791&lt;300,"High 100-299","Premium 300+")))</x:f>
        <x:v>Medium 25-99</x:v>
      </x:c>
      <x:c r="Y791" t="n">
        <x:f>IF(C791="Active",1,0)</x:f>
        <x:v>1</x:v>
      </x:c>
    </x:row>
    <x:row r="792">
      <x:c r="A792" t="str">
        <x:v>SKU00791</x:v>
      </x:c>
      <x:c r="B792" t="str">
        <x:v>Sample Product 00791</x:v>
      </x:c>
      <x:c r="C792" t="str">
        <x:v>Active</x:v>
      </x:c>
      <x:c r="D792" t="str">
        <x:v>2026-06</x:v>
      </x:c>
      <x:c r="E792" s="12" t="n">
        <x:v>221.18</x:v>
      </x:c>
      <x:c r="F792" s="10" t="n">
        <x:v>0.206</x:v>
      </x:c>
      <x:c r="G792" t="str">
        <x:v>Personal Care</x:v>
      </x:c>
      <x:c r="H792" t="str">
        <x:v>Hygiene</x:v>
      </x:c>
      <x:c r="I792" t="str">
        <x:v>MFG006</x:v>
      </x:c>
      <x:c r="J792" t="str">
        <x:v>Manufacturer 006</x:v>
      </x:c>
      <x:c r="K792" t="str">
        <x:v>SUP024</x:v>
      </x:c>
      <x:c r="L792" t="str">
        <x:v>Supplier 024</x:v>
      </x:c>
      <x:c r="M792" t="str">
        <x:v>REG-512230</x:v>
      </x:c>
      <x:c r="N792" t="str">
        <x:v>Generic Ingredient 114</x:v>
      </x:c>
      <x:c r="O792" t="str">
        <x:v>General Sale</x:v>
      </x:c>
      <x:c r="P792" t="n">
        <x:v>52</x:v>
      </x:c>
      <x:c r="Q792" t="n">
        <x:v>36</x:v>
      </x:c>
      <x:c r="R792" t="n">
        <x:v>0</x:v>
      </x:c>
      <x:c r="S792" s="12" t="n">
        <x:f>E792*Q792</x:f>
        <x:v>7962.4800000000005</x:v>
      </x:c>
      <x:c r="T792" s="12" t="n">
        <x:f>ROUND(S792*F792+0.000000001,2)</x:f>
        <x:v>1640.27</x:v>
      </x:c>
      <x:c r="U792" s="12" t="n">
        <x:f>E792*R792</x:f>
        <x:v>0</x:v>
      </x:c>
      <x:c r="V792" t="str">
        <x:f>IF(AND(C792="Active",Q792=0),"Active Zero Sales","Not Zero Sales")</x:f>
        <x:v>Not Zero Sales</x:v>
      </x:c>
      <x:c r="W792" s="12" t="n">
        <x:f>IF(V792="Active Zero Sales",U792,0)</x:f>
        <x:v>0</x:v>
      </x:c>
      <x:c r="X792" t="str">
        <x:f>IF(E792&lt;25,"Low &lt; 25",IF(E792&lt;100,"Medium 25-99",IF(E792&lt;300,"High 100-299","Premium 300+")))</x:f>
        <x:v>High 100-299</x:v>
      </x:c>
      <x:c r="Y792" t="n">
        <x:f>IF(C792="Active",1,0)</x:f>
        <x:v>1</x:v>
      </x:c>
    </x:row>
    <x:row r="793">
      <x:c r="A793" t="str">
        <x:v>SKU00792</x:v>
      </x:c>
      <x:c r="B793" t="str">
        <x:v>Sample Product 00792</x:v>
      </x:c>
      <x:c r="C793" t="str">
        <x:v>Active</x:v>
      </x:c>
      <x:c r="D793" t="str">
        <x:v>2026-04</x:v>
      </x:c>
      <x:c r="E793" s="12" t="n">
        <x:v>90.67</x:v>
      </x:c>
      <x:c r="F793" s="10" t="n">
        <x:v>0.21</x:v>
      </x:c>
      <x:c r="G793" t="str">
        <x:v>Medical Devices</x:v>
      </x:c>
      <x:c r="H793" t="str">
        <x:v>First Aid</x:v>
      </x:c>
      <x:c r="I793" t="str">
        <x:v>MFG017</x:v>
      </x:c>
      <x:c r="J793" t="str">
        <x:v>Manufacturer 017</x:v>
      </x:c>
      <x:c r="K793" t="str">
        <x:v>SUP025</x:v>
      </x:c>
      <x:c r="L793" t="str">
        <x:v>Supplier 025</x:v>
      </x:c>
      <x:c r="M793" t="str">
        <x:v>REG-854937</x:v>
      </x:c>
      <x:c r="N793" t="str">
        <x:v>Generic Ingredient 126</x:v>
      </x:c>
      <x:c r="O793" t="str">
        <x:v>Restricted Sale</x:v>
      </x:c>
      <x:c r="P793" t="n">
        <x:v>61</x:v>
      </x:c>
      <x:c r="Q793" t="n">
        <x:v>38</x:v>
      </x:c>
      <x:c r="R793" t="n">
        <x:v>8</x:v>
      </x:c>
      <x:c r="S793" s="12" t="n">
        <x:f>E793*Q793</x:f>
        <x:v>3445.46</x:v>
      </x:c>
      <x:c r="T793" s="12" t="n">
        <x:f>ROUND(S793*F793+0.000000001,2)</x:f>
        <x:v>723.55</x:v>
      </x:c>
      <x:c r="U793" s="12" t="n">
        <x:f>E793*R793</x:f>
        <x:v>725.36</x:v>
      </x:c>
      <x:c r="V793" t="str">
        <x:f>IF(AND(C793="Active",Q793=0),"Active Zero Sales","Not Zero Sales")</x:f>
        <x:v>Not Zero Sales</x:v>
      </x:c>
      <x:c r="W793" s="12" t="n">
        <x:f>IF(V793="Active Zero Sales",U793,0)</x:f>
        <x:v>0</x:v>
      </x:c>
      <x:c r="X793" t="str">
        <x:f>IF(E793&lt;25,"Low &lt; 25",IF(E793&lt;100,"Medium 25-99",IF(E793&lt;300,"High 100-299","Premium 300+")))</x:f>
        <x:v>Medium 25-99</x:v>
      </x:c>
      <x:c r="Y793" t="n">
        <x:f>IF(C793="Active",1,0)</x:f>
        <x:v>1</x:v>
      </x:c>
    </x:row>
    <x:row r="794">
      <x:c r="A794" t="str">
        <x:v>SKU00793</x:v>
      </x:c>
      <x:c r="B794" t="str">
        <x:v>Sample Product 00793</x:v>
      </x:c>
      <x:c r="C794" t="str">
        <x:v>Active</x:v>
      </x:c>
      <x:c r="D794" t="str">
        <x:v>2026-04</x:v>
      </x:c>
      <x:c r="E794" s="12" t="n">
        <x:v>53.94</x:v>
      </x:c>
      <x:c r="F794" s="10" t="n">
        <x:v>0.373</x:v>
      </x:c>
      <x:c r="G794" t="str">
        <x:v>OTC &amp; Wellness</x:v>
      </x:c>
      <x:c r="H794" t="str">
        <x:v>Digestive Care</x:v>
      </x:c>
      <x:c r="I794" t="str">
        <x:v>MFG009</x:v>
      </x:c>
      <x:c r="J794" t="str">
        <x:v>Manufacturer 009</x:v>
      </x:c>
      <x:c r="K794" t="str">
        <x:v>SUP015</x:v>
      </x:c>
      <x:c r="L794" t="str">
        <x:v>Supplier 015</x:v>
      </x:c>
      <x:c r="M794" t="str">
        <x:v>REG-278040</x:v>
      </x:c>
      <x:c r="N794" t="str">
        <x:v>Generic Ingredient 146</x:v>
      </x:c>
      <x:c r="O794" t="str">
        <x:v>Pharmacy Only</x:v>
      </x:c>
      <x:c r="P794" t="n">
        <x:v>106</x:v>
      </x:c>
      <x:c r="Q794" t="n">
        <x:v>0</x:v>
      </x:c>
      <x:c r="R794" t="n">
        <x:v>62</x:v>
      </x:c>
      <x:c r="S794" s="12" t="n">
        <x:f>E794*Q794</x:f>
        <x:v>0</x:v>
      </x:c>
      <x:c r="T794" s="12" t="n">
        <x:f>ROUND(S794*F794+0.000000001,2)</x:f>
        <x:v>0</x:v>
      </x:c>
      <x:c r="U794" s="12" t="n">
        <x:f>E794*R794</x:f>
        <x:v>3344.2799999999997</x:v>
      </x:c>
      <x:c r="V794" t="str">
        <x:f>IF(AND(C794="Active",Q794=0),"Active Zero Sales","Not Zero Sales")</x:f>
        <x:v>Active Zero Sales</x:v>
      </x:c>
      <x:c r="W794" s="12" t="n">
        <x:f>IF(V794="Active Zero Sales",U794,0)</x:f>
        <x:v>3344.2799999999997</x:v>
      </x:c>
      <x:c r="X794" t="str">
        <x:f>IF(E794&lt;25,"Low &lt; 25",IF(E794&lt;100,"Medium 25-99",IF(E794&lt;300,"High 100-299","Premium 300+")))</x:f>
        <x:v>Medium 25-99</x:v>
      </x:c>
      <x:c r="Y794" t="n">
        <x:f>IF(C794="Active",1,0)</x:f>
        <x:v>1</x:v>
      </x:c>
    </x:row>
    <x:row r="795">
      <x:c r="A795" t="str">
        <x:v>SKU00794</x:v>
      </x:c>
      <x:c r="B795" t="str">
        <x:v>Sample Product 00794</x:v>
      </x:c>
      <x:c r="C795" t="str">
        <x:v>Active</x:v>
      </x:c>
      <x:c r="D795" t="str">
        <x:v>2026-05</x:v>
      </x:c>
      <x:c r="E795" s="12" t="n">
        <x:v>7.73</x:v>
      </x:c>
      <x:c r="F795" s="10" t="n">
        <x:v>0.458</x:v>
      </x:c>
      <x:c r="G795" t="str">
        <x:v>Personal Care</x:v>
      </x:c>
      <x:c r="H795" t="str">
        <x:v>Hygiene</x:v>
      </x:c>
      <x:c r="I795" t="str">
        <x:v>MFG017</x:v>
      </x:c>
      <x:c r="J795" t="str">
        <x:v>Manufacturer 017</x:v>
      </x:c>
      <x:c r="K795" t="str">
        <x:v>SUP020</x:v>
      </x:c>
      <x:c r="L795" t="str">
        <x:v>Supplier 020</x:v>
      </x:c>
      <x:c r="M795" t="str">
        <x:v>REG-989751</x:v>
      </x:c>
      <x:c r="N795" t="str">
        <x:v>Generic Ingredient 025</x:v>
      </x:c>
      <x:c r="O795" t="str">
        <x:v>Pharmacy Only</x:v>
      </x:c>
      <x:c r="P795" t="n">
        <x:v>100</x:v>
      </x:c>
      <x:c r="Q795" t="n">
        <x:v>34</x:v>
      </x:c>
      <x:c r="R795" t="n">
        <x:v>20</x:v>
      </x:c>
      <x:c r="S795" s="12" t="n">
        <x:f>E795*Q795</x:f>
        <x:v>262.82</x:v>
      </x:c>
      <x:c r="T795" s="12" t="n">
        <x:f>ROUND(S795*F795+0.000000001,2)</x:f>
        <x:v>120.37</x:v>
      </x:c>
      <x:c r="U795" s="12" t="n">
        <x:f>E795*R795</x:f>
        <x:v>154.60000000000002</x:v>
      </x:c>
      <x:c r="V795" t="str">
        <x:f>IF(AND(C795="Active",Q795=0),"Active Zero Sales","Not Zero Sales")</x:f>
        <x:v>Not Zero Sales</x:v>
      </x:c>
      <x:c r="W795" s="12" t="n">
        <x:f>IF(V795="Active Zero Sales",U795,0)</x:f>
        <x:v>0</x:v>
      </x:c>
      <x:c r="X795" t="str">
        <x:f>IF(E795&lt;25,"Low &lt; 25",IF(E795&lt;100,"Medium 25-99",IF(E795&lt;300,"High 100-299","Premium 300+")))</x:f>
        <x:v>Low &lt; 25</x:v>
      </x:c>
      <x:c r="Y795" t="n">
        <x:f>IF(C795="Active",1,0)</x:f>
        <x:v>1</x:v>
      </x:c>
    </x:row>
    <x:row r="796">
      <x:c r="A796" t="str">
        <x:v>SKU00795</x:v>
      </x:c>
      <x:c r="B796" t="str">
        <x:v>Sample Product 00795</x:v>
      </x:c>
      <x:c r="C796" t="str">
        <x:v>Active</x:v>
      </x:c>
      <x:c r="D796" t="str">
        <x:v>2026-03</x:v>
      </x:c>
      <x:c r="E796" s="12" t="n">
        <x:v>43.55</x:v>
      </x:c>
      <x:c r="F796" s="10" t="n">
        <x:v>0.421</x:v>
      </x:c>
      <x:c r="G796" t="str">
        <x:v>General Merchandise</x:v>
      </x:c>
      <x:c r="H796" t="str">
        <x:v>Travel Health</x:v>
      </x:c>
      <x:c r="I796" t="str">
        <x:v>MFG010</x:v>
      </x:c>
      <x:c r="J796" t="str">
        <x:v>Manufacturer 010</x:v>
      </x:c>
      <x:c r="K796" t="str">
        <x:v>SUP019</x:v>
      </x:c>
      <x:c r="L796" t="str">
        <x:v>Supplier 019</x:v>
      </x:c>
      <x:c r="M796" t="str">
        <x:v>REG-186759</x:v>
      </x:c>
      <x:c r="N796" t="str">
        <x:v>Generic Ingredient 055</x:v>
      </x:c>
      <x:c r="O796" t="str">
        <x:v>General Sale</x:v>
      </x:c>
      <x:c r="P796" t="n">
        <x:v>53</x:v>
      </x:c>
      <x:c r="Q796" t="n">
        <x:v>8</x:v>
      </x:c>
      <x:c r="R796" t="n">
        <x:v>28</x:v>
      </x:c>
      <x:c r="S796" s="12" t="n">
        <x:f>E796*Q796</x:f>
        <x:v>348.4</x:v>
      </x:c>
      <x:c r="T796" s="12" t="n">
        <x:f>ROUND(S796*F796+0.000000001,2)</x:f>
        <x:v>146.68</x:v>
      </x:c>
      <x:c r="U796" s="12" t="n">
        <x:f>E796*R796</x:f>
        <x:v>1219.3999999999999</x:v>
      </x:c>
      <x:c r="V796" t="str">
        <x:f>IF(AND(C796="Active",Q796=0),"Active Zero Sales","Not Zero Sales")</x:f>
        <x:v>Not Zero Sales</x:v>
      </x:c>
      <x:c r="W796" s="12" t="n">
        <x:f>IF(V796="Active Zero Sales",U796,0)</x:f>
        <x:v>0</x:v>
      </x:c>
      <x:c r="X796" t="str">
        <x:f>IF(E796&lt;25,"Low &lt; 25",IF(E796&lt;100,"Medium 25-99",IF(E796&lt;300,"High 100-299","Premium 300+")))</x:f>
        <x:v>Medium 25-99</x:v>
      </x:c>
      <x:c r="Y796" t="n">
        <x:f>IF(C796="Active",1,0)</x:f>
        <x:v>1</x:v>
      </x:c>
    </x:row>
    <x:row r="797">
      <x:c r="A797" t="str">
        <x:v>SKU00796</x:v>
      </x:c>
      <x:c r="B797" t="str">
        <x:v>Sample Product 00796</x:v>
      </x:c>
      <x:c r="C797" t="str">
        <x:v>Active</x:v>
      </x:c>
      <x:c r="D797" t="str">
        <x:v>2026-04</x:v>
      </x:c>
      <x:c r="E797" s="12" t="n">
        <x:v>81.98</x:v>
      </x:c>
      <x:c r="F797" s="10" t="n">
        <x:v>0.312</x:v>
      </x:c>
      <x:c r="G797" t="str">
        <x:v>Personal Care</x:v>
      </x:c>
      <x:c r="H797" t="str">
        <x:v>Hygiene</x:v>
      </x:c>
      <x:c r="I797" t="str">
        <x:v>MFG019</x:v>
      </x:c>
      <x:c r="J797" t="str">
        <x:v>Manufacturer 019</x:v>
      </x:c>
      <x:c r="K797" t="str">
        <x:v>SUP027</x:v>
      </x:c>
      <x:c r="L797" t="str">
        <x:v>Supplier 027</x:v>
      </x:c>
      <x:c r="M797" t="str">
        <x:v>REG-213190</x:v>
      </x:c>
      <x:c r="N797" t="str">
        <x:v>Generic Ingredient 053</x:v>
      </x:c>
      <x:c r="O797" t="str">
        <x:v>Pharmacy Only</x:v>
      </x:c>
      <x:c r="P797" t="n">
        <x:v>31</x:v>
      </x:c>
      <x:c r="Q797" t="n">
        <x:v>32</x:v>
      </x:c>
      <x:c r="R797" t="n">
        <x:v>0</x:v>
      </x:c>
      <x:c r="S797" s="12" t="n">
        <x:f>E797*Q797</x:f>
        <x:v>2623.36</x:v>
      </x:c>
      <x:c r="T797" s="12" t="n">
        <x:f>ROUND(S797*F797+0.000000001,2)</x:f>
        <x:v>818.49</x:v>
      </x:c>
      <x:c r="U797" s="12" t="n">
        <x:f>E797*R797</x:f>
        <x:v>0</x:v>
      </x:c>
      <x:c r="V797" t="str">
        <x:f>IF(AND(C797="Active",Q797=0),"Active Zero Sales","Not Zero Sales")</x:f>
        <x:v>Not Zero Sales</x:v>
      </x:c>
      <x:c r="W797" s="12" t="n">
        <x:f>IF(V797="Active Zero Sales",U797,0)</x:f>
        <x:v>0</x:v>
      </x:c>
      <x:c r="X797" t="str">
        <x:f>IF(E797&lt;25,"Low &lt; 25",IF(E797&lt;100,"Medium 25-99",IF(E797&lt;300,"High 100-299","Premium 300+")))</x:f>
        <x:v>Medium 25-99</x:v>
      </x:c>
      <x:c r="Y797" t="n">
        <x:f>IF(C797="Active",1,0)</x:f>
        <x:v>1</x:v>
      </x:c>
    </x:row>
    <x:row r="798">
      <x:c r="A798" t="str">
        <x:v>SKU00797</x:v>
      </x:c>
      <x:c r="B798" t="str">
        <x:v>Sample Product 00797</x:v>
      </x:c>
      <x:c r="C798" t="str">
        <x:v>Active</x:v>
      </x:c>
      <x:c r="D798" t="str">
        <x:v>2026-01</x:v>
      </x:c>
      <x:c r="E798" s="12" t="n">
        <x:v>343.62</x:v>
      </x:c>
      <x:c r="F798" s="10" t="n">
        <x:v>0.44</x:v>
      </x:c>
      <x:c r="G798" t="str">
        <x:v>Personal Care</x:v>
      </x:c>
      <x:c r="H798" t="str">
        <x:v>Skin Care</x:v>
      </x:c>
      <x:c r="I798" t="str">
        <x:v>MFG019</x:v>
      </x:c>
      <x:c r="J798" t="str">
        <x:v>Manufacturer 019</x:v>
      </x:c>
      <x:c r="K798" t="str">
        <x:v>SUP026</x:v>
      </x:c>
      <x:c r="L798" t="str">
        <x:v>Supplier 026</x:v>
      </x:c>
      <x:c r="M798" t="str">
        <x:v>REG-638679</x:v>
      </x:c>
      <x:c r="N798" t="str">
        <x:v>Generic Ingredient 098</x:v>
      </x:c>
      <x:c r="O798" t="str">
        <x:v>General Sale</x:v>
      </x:c>
      <x:c r="P798" t="n">
        <x:v>77</x:v>
      </x:c>
      <x:c r="Q798" t="n">
        <x:v>27</x:v>
      </x:c>
      <x:c r="R798" t="n">
        <x:v>8</x:v>
      </x:c>
      <x:c r="S798" s="12" t="n">
        <x:f>E798*Q798</x:f>
        <x:v>9277.74</x:v>
      </x:c>
      <x:c r="T798" s="12" t="n">
        <x:f>ROUND(S798*F798+0.000000001,2)</x:f>
        <x:v>4082.21</x:v>
      </x:c>
      <x:c r="U798" s="12" t="n">
        <x:f>E798*R798</x:f>
        <x:v>2748.96</x:v>
      </x:c>
      <x:c r="V798" t="str">
        <x:f>IF(AND(C798="Active",Q798=0),"Active Zero Sales","Not Zero Sales")</x:f>
        <x:v>Not Zero Sales</x:v>
      </x:c>
      <x:c r="W798" s="12" t="n">
        <x:f>IF(V798="Active Zero Sales",U798,0)</x:f>
        <x:v>0</x:v>
      </x:c>
      <x:c r="X798" t="str">
        <x:f>IF(E798&lt;25,"Low &lt; 25",IF(E798&lt;100,"Medium 25-99",IF(E798&lt;300,"High 100-299","Premium 300+")))</x:f>
        <x:v>Premium 300+</x:v>
      </x:c>
      <x:c r="Y798" t="n">
        <x:f>IF(C798="Active",1,0)</x:f>
        <x:v>1</x:v>
      </x:c>
    </x:row>
    <x:row r="799">
      <x:c r="A799" t="str">
        <x:v>SKU00798</x:v>
      </x:c>
      <x:c r="B799" t="str">
        <x:v>Sample Product 00798</x:v>
      </x:c>
      <x:c r="C799" t="str">
        <x:v>Blocked</x:v>
      </x:c>
      <x:c r="D799" t="str">
        <x:v>2026-05</x:v>
      </x:c>
      <x:c r="E799" s="12" t="n">
        <x:v>336.66</x:v>
      </x:c>
      <x:c r="F799" s="10" t="n">
        <x:v>0.374</x:v>
      </x:c>
      <x:c r="G799" t="str">
        <x:v>Personal Care</x:v>
      </x:c>
      <x:c r="H799" t="str">
        <x:v>Oral Care</x:v>
      </x:c>
      <x:c r="I799" t="str">
        <x:v>MFG018</x:v>
      </x:c>
      <x:c r="J799" t="str">
        <x:v>Manufacturer 018</x:v>
      </x:c>
      <x:c r="K799" t="str">
        <x:v>SUP021</x:v>
      </x:c>
      <x:c r="L799" t="str">
        <x:v>Supplier 021</x:v>
      </x:c>
      <x:c r="M799" t="str">
        <x:v>REG-925109</x:v>
      </x:c>
      <x:c r="N799" t="str">
        <x:v>Generic Ingredient 170</x:v>
      </x:c>
      <x:c r="O799" t="str">
        <x:v>General Sale</x:v>
      </x:c>
      <x:c r="P799" t="n">
        <x:v>41</x:v>
      </x:c>
      <x:c r="Q799" t="n">
        <x:v>0</x:v>
      </x:c>
      <x:c r="R799" t="n">
        <x:v>0</x:v>
      </x:c>
      <x:c r="S799" s="12" t="n">
        <x:f>E799*Q799</x:f>
        <x:v>0</x:v>
      </x:c>
      <x:c r="T799" s="12" t="n">
        <x:f>ROUND(S799*F799+0.000000001,2)</x:f>
        <x:v>0</x:v>
      </x:c>
      <x:c r="U799" s="12" t="n">
        <x:f>E799*R799</x:f>
        <x:v>0</x:v>
      </x:c>
      <x:c r="V799" t="str">
        <x:f>IF(AND(C799="Active",Q799=0),"Active Zero Sales","Not Zero Sales")</x:f>
        <x:v>Not Zero Sales</x:v>
      </x:c>
      <x:c r="W799" s="12" t="n">
        <x:f>IF(V799="Active Zero Sales",U799,0)</x:f>
        <x:v>0</x:v>
      </x:c>
      <x:c r="X799" t="str">
        <x:f>IF(E799&lt;25,"Low &lt; 25",IF(E799&lt;100,"Medium 25-99",IF(E799&lt;300,"High 100-299","Premium 300+")))</x:f>
        <x:v>Premium 300+</x:v>
      </x:c>
      <x:c r="Y799" t="n">
        <x:f>IF(C799="Active",1,0)</x:f>
        <x:v>0</x:v>
      </x:c>
    </x:row>
    <x:row r="800">
      <x:c r="A800" t="str">
        <x:v>SKU00799</x:v>
      </x:c>
      <x:c r="B800" t="str">
        <x:v>Sample Product 00799</x:v>
      </x:c>
      <x:c r="C800" t="str">
        <x:v>Active</x:v>
      </x:c>
      <x:c r="D800" t="str">
        <x:v>2026-04</x:v>
      </x:c>
      <x:c r="E800" s="12" t="n">
        <x:v>71.82</x:v>
      </x:c>
      <x:c r="F800" s="10" t="n">
        <x:v>0.344</x:v>
      </x:c>
      <x:c r="G800" t="str">
        <x:v>Medical Devices</x:v>
      </x:c>
      <x:c r="H800" t="str">
        <x:v>Monitoring Supplies</x:v>
      </x:c>
      <x:c r="I800" t="str">
        <x:v>MFG003</x:v>
      </x:c>
      <x:c r="J800" t="str">
        <x:v>Manufacturer 003</x:v>
      </x:c>
      <x:c r="K800" t="str">
        <x:v>SUP006</x:v>
      </x:c>
      <x:c r="L800" t="str">
        <x:v>Supplier 006</x:v>
      </x:c>
      <x:c r="M800" t="str">
        <x:v>REG-269967</x:v>
      </x:c>
      <x:c r="N800" t="str">
        <x:v>Generic Ingredient 010</x:v>
      </x:c>
      <x:c r="O800" t="str">
        <x:v>General Sale</x:v>
      </x:c>
      <x:c r="P800" t="n">
        <x:v>42</x:v>
      </x:c>
      <x:c r="Q800" t="n">
        <x:v>24</x:v>
      </x:c>
      <x:c r="R800" t="n">
        <x:v>22</x:v>
      </x:c>
      <x:c r="S800" s="12" t="n">
        <x:f>E800*Q800</x:f>
        <x:v>1723.6799999999998</x:v>
      </x:c>
      <x:c r="T800" s="12" t="n">
        <x:f>ROUND(S800*F800+0.000000001,2)</x:f>
        <x:v>592.95</x:v>
      </x:c>
      <x:c r="U800" s="12" t="n">
        <x:f>E800*R800</x:f>
        <x:v>1580.04</x:v>
      </x:c>
      <x:c r="V800" t="str">
        <x:f>IF(AND(C800="Active",Q800=0),"Active Zero Sales","Not Zero Sales")</x:f>
        <x:v>Not Zero Sales</x:v>
      </x:c>
      <x:c r="W800" s="12" t="n">
        <x:f>IF(V800="Active Zero Sales",U800,0)</x:f>
        <x:v>0</x:v>
      </x:c>
      <x:c r="X800" t="str">
        <x:f>IF(E800&lt;25,"Low &lt; 25",IF(E800&lt;100,"Medium 25-99",IF(E800&lt;300,"High 100-299","Premium 300+")))</x:f>
        <x:v>Medium 25-99</x:v>
      </x:c>
      <x:c r="Y800" t="n">
        <x:f>IF(C800="Active",1,0)</x:f>
        <x:v>1</x:v>
      </x:c>
    </x:row>
    <x:row r="801">
      <x:c r="A801" t="str">
        <x:v>SKU00800</x:v>
      </x:c>
      <x:c r="B801" t="str">
        <x:v>Sample Product 00800</x:v>
      </x:c>
      <x:c r="C801" t="str">
        <x:v>Active</x:v>
      </x:c>
      <x:c r="D801" t="str">
        <x:v>2026-06</x:v>
      </x:c>
      <x:c r="E801" s="12" t="n">
        <x:v>274.01</x:v>
      </x:c>
      <x:c r="F801" s="10" t="n">
        <x:v>0.235</x:v>
      </x:c>
      <x:c r="G801" t="str">
        <x:v>Nutrition</x:v>
      </x:c>
      <x:c r="H801" t="str">
        <x:v>Adult Nutrition</x:v>
      </x:c>
      <x:c r="I801" t="str">
        <x:v>MFG004</x:v>
      </x:c>
      <x:c r="J801" t="str">
        <x:v>Manufacturer 004</x:v>
      </x:c>
      <x:c r="K801" t="str">
        <x:v>SUP027</x:v>
      </x:c>
      <x:c r="L801" t="str">
        <x:v>Supplier 027</x:v>
      </x:c>
      <x:c r="M801" t="str">
        <x:v>REG-395130</x:v>
      </x:c>
      <x:c r="N801" t="str">
        <x:v>Generic Ingredient 131</x:v>
      </x:c>
      <x:c r="O801" t="str">
        <x:v>General Sale</x:v>
      </x:c>
      <x:c r="P801" t="n">
        <x:v>34</x:v>
      </x:c>
      <x:c r="Q801" t="n">
        <x:v>0</x:v>
      </x:c>
      <x:c r="R801" t="n">
        <x:v>3</x:v>
      </x:c>
      <x:c r="S801" s="12" t="n">
        <x:f>E801*Q801</x:f>
        <x:v>0</x:v>
      </x:c>
      <x:c r="T801" s="12" t="n">
        <x:f>ROUND(S801*F801+0.000000001,2)</x:f>
        <x:v>0</x:v>
      </x:c>
      <x:c r="U801" s="12" t="n">
        <x:f>E801*R801</x:f>
        <x:v>822.03</x:v>
      </x:c>
      <x:c r="V801" t="str">
        <x:f>IF(AND(C801="Active",Q801=0),"Active Zero Sales","Not Zero Sales")</x:f>
        <x:v>Active Zero Sales</x:v>
      </x:c>
      <x:c r="W801" s="12" t="n">
        <x:f>IF(V801="Active Zero Sales",U801,0)</x:f>
        <x:v>822.03</x:v>
      </x:c>
      <x:c r="X801" t="str">
        <x:f>IF(E801&lt;25,"Low &lt; 25",IF(E801&lt;100,"Medium 25-99",IF(E801&lt;300,"High 100-299","Premium 300+")))</x:f>
        <x:v>High 100-299</x:v>
      </x:c>
      <x:c r="Y801" t="n">
        <x:f>IF(C801="Active",1,0)</x:f>
        <x:v>1</x:v>
      </x:c>
    </x:row>
    <x:row r="802">
      <x:c r="A802" t="str">
        <x:v>SKU00801</x:v>
      </x:c>
      <x:c r="B802" t="str">
        <x:v>Sample Product 00801</x:v>
      </x:c>
      <x:c r="C802" t="str">
        <x:v>Active</x:v>
      </x:c>
      <x:c r="D802" t="str">
        <x:v>2026-02</x:v>
      </x:c>
      <x:c r="E802" s="12" t="n">
        <x:v>139.43</x:v>
      </x:c>
      <x:c r="F802" s="10" t="n">
        <x:v>0.418</x:v>
      </x:c>
      <x:c r="G802" t="str">
        <x:v>Medical Devices</x:v>
      </x:c>
      <x:c r="H802" t="str">
        <x:v>Monitoring Supplies</x:v>
      </x:c>
      <x:c r="I802" t="str">
        <x:v>MFG014</x:v>
      </x:c>
      <x:c r="J802" t="str">
        <x:v>Manufacturer 014</x:v>
      </x:c>
      <x:c r="K802" t="str">
        <x:v>SUP010</x:v>
      </x:c>
      <x:c r="L802" t="str">
        <x:v>Supplier 010</x:v>
      </x:c>
      <x:c r="M802" t="str">
        <x:v>REG-222709</x:v>
      </x:c>
      <x:c r="N802" t="str">
        <x:v>Generic Ingredient 144</x:v>
      </x:c>
      <x:c r="O802" t="str">
        <x:v>General Sale</x:v>
      </x:c>
      <x:c r="P802" t="n">
        <x:v>102</x:v>
      </x:c>
      <x:c r="Q802" t="n">
        <x:v>0</x:v>
      </x:c>
      <x:c r="R802" t="n">
        <x:v>61</x:v>
      </x:c>
      <x:c r="S802" s="12" t="n">
        <x:f>E802*Q802</x:f>
        <x:v>0</x:v>
      </x:c>
      <x:c r="T802" s="12" t="n">
        <x:f>ROUND(S802*F802+0.000000001,2)</x:f>
        <x:v>0</x:v>
      </x:c>
      <x:c r="U802" s="12" t="n">
        <x:f>E802*R802</x:f>
        <x:v>8505.23</x:v>
      </x:c>
      <x:c r="V802" t="str">
        <x:f>IF(AND(C802="Active",Q802=0),"Active Zero Sales","Not Zero Sales")</x:f>
        <x:v>Active Zero Sales</x:v>
      </x:c>
      <x:c r="W802" s="12" t="n">
        <x:f>IF(V802="Active Zero Sales",U802,0)</x:f>
        <x:v>8505.23</x:v>
      </x:c>
      <x:c r="X802" t="str">
        <x:f>IF(E802&lt;25,"Low &lt; 25",IF(E802&lt;100,"Medium 25-99",IF(E802&lt;300,"High 100-299","Premium 300+")))</x:f>
        <x:v>High 100-299</x:v>
      </x:c>
      <x:c r="Y802" t="n">
        <x:f>IF(C802="Active",1,0)</x:f>
        <x:v>1</x:v>
      </x:c>
    </x:row>
    <x:row r="803">
      <x:c r="A803" t="str">
        <x:v>SKU00802</x:v>
      </x:c>
      <x:c r="B803" t="str">
        <x:v>Sample Product 00802</x:v>
      </x:c>
      <x:c r="C803" t="str">
        <x:v>Active</x:v>
      </x:c>
      <x:c r="D803" t="str">
        <x:v>2026-01</x:v>
      </x:c>
      <x:c r="E803" s="12" t="n">
        <x:v>225.63</x:v>
      </x:c>
      <x:c r="F803" s="10" t="n">
        <x:v>0.376</x:v>
      </x:c>
      <x:c r="G803" t="str">
        <x:v>Medical Devices</x:v>
      </x:c>
      <x:c r="H803" t="str">
        <x:v>Monitoring Supplies</x:v>
      </x:c>
      <x:c r="I803" t="str">
        <x:v>MFG002</x:v>
      </x:c>
      <x:c r="J803" t="str">
        <x:v>Manufacturer 002</x:v>
      </x:c>
      <x:c r="K803" t="str">
        <x:v>SUP025</x:v>
      </x:c>
      <x:c r="L803" t="str">
        <x:v>Supplier 025</x:v>
      </x:c>
      <x:c r="M803" t="str">
        <x:v>REG-392793</x:v>
      </x:c>
      <x:c r="N803" t="str">
        <x:v>Generic Ingredient 066</x:v>
      </x:c>
      <x:c r="O803" t="str">
        <x:v>Pharmacy Only</x:v>
      </x:c>
      <x:c r="P803" t="n">
        <x:v>51</x:v>
      </x:c>
      <x:c r="Q803" t="n">
        <x:v>0</x:v>
      </x:c>
      <x:c r="R803" t="n">
        <x:v>10</x:v>
      </x:c>
      <x:c r="S803" s="12" t="n">
        <x:f>E803*Q803</x:f>
        <x:v>0</x:v>
      </x:c>
      <x:c r="T803" s="12" t="n">
        <x:f>ROUND(S803*F803+0.000000001,2)</x:f>
        <x:v>0</x:v>
      </x:c>
      <x:c r="U803" s="12" t="n">
        <x:f>E803*R803</x:f>
        <x:v>2256.3</x:v>
      </x:c>
      <x:c r="V803" t="str">
        <x:f>IF(AND(C803="Active",Q803=0),"Active Zero Sales","Not Zero Sales")</x:f>
        <x:v>Active Zero Sales</x:v>
      </x:c>
      <x:c r="W803" s="12" t="n">
        <x:f>IF(V803="Active Zero Sales",U803,0)</x:f>
        <x:v>2256.3</x:v>
      </x:c>
      <x:c r="X803" t="str">
        <x:f>IF(E803&lt;25,"Low &lt; 25",IF(E803&lt;100,"Medium 25-99",IF(E803&lt;300,"High 100-299","Premium 300+")))</x:f>
        <x:v>High 100-299</x:v>
      </x:c>
      <x:c r="Y803" t="n">
        <x:f>IF(C803="Active",1,0)</x:f>
        <x:v>1</x:v>
      </x:c>
    </x:row>
    <x:row r="804">
      <x:c r="A804" t="str">
        <x:v>SKU00803</x:v>
      </x:c>
      <x:c r="B804" t="str">
        <x:v>Sample Product 00803</x:v>
      </x:c>
      <x:c r="C804" t="str">
        <x:v>Active</x:v>
      </x:c>
      <x:c r="D804" t="str">
        <x:v>2026-02</x:v>
      </x:c>
      <x:c r="E804" s="12" t="n">
        <x:v>31.69</x:v>
      </x:c>
      <x:c r="F804" s="10" t="n">
        <x:v>0.275</x:v>
      </x:c>
      <x:c r="G804" t="str">
        <x:v>Nutrition</x:v>
      </x:c>
      <x:c r="H804" t="str">
        <x:v>Adult Nutrition</x:v>
      </x:c>
      <x:c r="I804" t="str">
        <x:v>MFG007</x:v>
      </x:c>
      <x:c r="J804" t="str">
        <x:v>Manufacturer 007</x:v>
      </x:c>
      <x:c r="K804" t="str">
        <x:v>SUP015</x:v>
      </x:c>
      <x:c r="L804" t="str">
        <x:v>Supplier 015</x:v>
      </x:c>
      <x:c r="M804" t="str">
        <x:v>REG-598726</x:v>
      </x:c>
      <x:c r="N804" t="str">
        <x:v>Generic Ingredient 152</x:v>
      </x:c>
      <x:c r="O804" t="str">
        <x:v>Pharmacy Only</x:v>
      </x:c>
      <x:c r="P804" t="n">
        <x:v>70</x:v>
      </x:c>
      <x:c r="Q804" t="n">
        <x:v>29</x:v>
      </x:c>
      <x:c r="R804" t="n">
        <x:v>16</x:v>
      </x:c>
      <x:c r="S804" s="12" t="n">
        <x:f>E804*Q804</x:f>
        <x:v>919.01</x:v>
      </x:c>
      <x:c r="T804" s="12" t="n">
        <x:f>ROUND(S804*F804+0.000000001,2)</x:f>
        <x:v>252.73</x:v>
      </x:c>
      <x:c r="U804" s="12" t="n">
        <x:f>E804*R804</x:f>
        <x:v>507.04</x:v>
      </x:c>
      <x:c r="V804" t="str">
        <x:f>IF(AND(C804="Active",Q804=0),"Active Zero Sales","Not Zero Sales")</x:f>
        <x:v>Not Zero Sales</x:v>
      </x:c>
      <x:c r="W804" s="12" t="n">
        <x:f>IF(V804="Active Zero Sales",U804,0)</x:f>
        <x:v>0</x:v>
      </x:c>
      <x:c r="X804" t="str">
        <x:f>IF(E804&lt;25,"Low &lt; 25",IF(E804&lt;100,"Medium 25-99",IF(E804&lt;300,"High 100-299","Premium 300+")))</x:f>
        <x:v>Medium 25-99</x:v>
      </x:c>
      <x:c r="Y804" t="n">
        <x:f>IF(C804="Active",1,0)</x:f>
        <x:v>1</x:v>
      </x:c>
    </x:row>
    <x:row r="805">
      <x:c r="A805" t="str">
        <x:v>SKU00804</x:v>
      </x:c>
      <x:c r="B805" t="str">
        <x:v>Sample Product 00804</x:v>
      </x:c>
      <x:c r="C805" t="str">
        <x:v>Blocked</x:v>
      </x:c>
      <x:c r="D805" t="str">
        <x:v>2026-05</x:v>
      </x:c>
      <x:c r="E805" s="12" t="n">
        <x:v>90.83</x:v>
      </x:c>
      <x:c r="F805" s="10" t="n">
        <x:v>0.301</x:v>
      </x:c>
      <x:c r="G805" t="str">
        <x:v>Medical Devices</x:v>
      </x:c>
      <x:c r="H805" t="str">
        <x:v>First Aid</x:v>
      </x:c>
      <x:c r="I805" t="str">
        <x:v>MFG015</x:v>
      </x:c>
      <x:c r="J805" t="str">
        <x:v>Manufacturer 015</x:v>
      </x:c>
      <x:c r="K805" t="str">
        <x:v>SUP013</x:v>
      </x:c>
      <x:c r="L805" t="str">
        <x:v>Supplier 013</x:v>
      </x:c>
      <x:c r="M805" t="str">
        <x:v>REG-373076</x:v>
      </x:c>
      <x:c r="N805" t="str">
        <x:v>Generic Ingredient 149</x:v>
      </x:c>
      <x:c r="O805" t="str">
        <x:v>Pharmacy Only</x:v>
      </x:c>
      <x:c r="P805" t="n">
        <x:v>11</x:v>
      </x:c>
      <x:c r="Q805" t="n">
        <x:v>0</x:v>
      </x:c>
      <x:c r="R805" t="n">
        <x:v>0</x:v>
      </x:c>
      <x:c r="S805" s="12" t="n">
        <x:f>E805*Q805</x:f>
        <x:v>0</x:v>
      </x:c>
      <x:c r="T805" s="12" t="n">
        <x:f>ROUND(S805*F805+0.000000001,2)</x:f>
        <x:v>0</x:v>
      </x:c>
      <x:c r="U805" s="12" t="n">
        <x:f>E805*R805</x:f>
        <x:v>0</x:v>
      </x:c>
      <x:c r="V805" t="str">
        <x:f>IF(AND(C805="Active",Q805=0),"Active Zero Sales","Not Zero Sales")</x:f>
        <x:v>Not Zero Sales</x:v>
      </x:c>
      <x:c r="W805" s="12" t="n">
        <x:f>IF(V805="Active Zero Sales",U805,0)</x:f>
        <x:v>0</x:v>
      </x:c>
      <x:c r="X805" t="str">
        <x:f>IF(E805&lt;25,"Low &lt; 25",IF(E805&lt;100,"Medium 25-99",IF(E805&lt;300,"High 100-299","Premium 300+")))</x:f>
        <x:v>Medium 25-99</x:v>
      </x:c>
      <x:c r="Y805" t="n">
        <x:f>IF(C805="Active",1,0)</x:f>
        <x:v>0</x:v>
      </x:c>
    </x:row>
    <x:row r="806">
      <x:c r="A806" t="str">
        <x:v>SKU00805</x:v>
      </x:c>
      <x:c r="B806" t="str">
        <x:v>Sample Product 00805</x:v>
      </x:c>
      <x:c r="C806" t="str">
        <x:v>Active</x:v>
      </x:c>
      <x:c r="D806" t="str">
        <x:v>2026-03</x:v>
      </x:c>
      <x:c r="E806" s="12" t="n">
        <x:v>336.15</x:v>
      </x:c>
      <x:c r="F806" s="10" t="n">
        <x:v>0.309</x:v>
      </x:c>
      <x:c r="G806" t="str">
        <x:v>OTC &amp; Wellness</x:v>
      </x:c>
      <x:c r="H806" t="str">
        <x:v>Vitamins</x:v>
      </x:c>
      <x:c r="I806" t="str">
        <x:v>MFG010</x:v>
      </x:c>
      <x:c r="J806" t="str">
        <x:v>Manufacturer 010</x:v>
      </x:c>
      <x:c r="K806" t="str">
        <x:v>SUP009</x:v>
      </x:c>
      <x:c r="L806" t="str">
        <x:v>Supplier 009</x:v>
      </x:c>
      <x:c r="M806" t="str">
        <x:v>REG-900692</x:v>
      </x:c>
      <x:c r="N806" t="str">
        <x:v>Generic Ingredient 066</x:v>
      </x:c>
      <x:c r="O806" t="str">
        <x:v>General Sale</x:v>
      </x:c>
      <x:c r="P806" t="n">
        <x:v>13</x:v>
      </x:c>
      <x:c r="Q806" t="n">
        <x:v>10</x:v>
      </x:c>
      <x:c r="R806" t="n">
        <x:v>0</x:v>
      </x:c>
      <x:c r="S806" s="12" t="n">
        <x:f>E806*Q806</x:f>
        <x:v>3361.5</x:v>
      </x:c>
      <x:c r="T806" s="12" t="n">
        <x:f>ROUND(S806*F806+0.000000001,2)</x:f>
        <x:v>1038.7</x:v>
      </x:c>
      <x:c r="U806" s="12" t="n">
        <x:f>E806*R806</x:f>
        <x:v>0</x:v>
      </x:c>
      <x:c r="V806" t="str">
        <x:f>IF(AND(C806="Active",Q806=0),"Active Zero Sales","Not Zero Sales")</x:f>
        <x:v>Not Zero Sales</x:v>
      </x:c>
      <x:c r="W806" s="12" t="n">
        <x:f>IF(V806="Active Zero Sales",U806,0)</x:f>
        <x:v>0</x:v>
      </x:c>
      <x:c r="X806" t="str">
        <x:f>IF(E806&lt;25,"Low &lt; 25",IF(E806&lt;100,"Medium 25-99",IF(E806&lt;300,"High 100-299","Premium 300+")))</x:f>
        <x:v>Premium 300+</x:v>
      </x:c>
      <x:c r="Y806" t="n">
        <x:f>IF(C806="Active",1,0)</x:f>
        <x:v>1</x:v>
      </x:c>
    </x:row>
    <x:row r="807">
      <x:c r="A807" t="str">
        <x:v>SKU00806</x:v>
      </x:c>
      <x:c r="B807" t="str">
        <x:v>Sample Product 00806</x:v>
      </x:c>
      <x:c r="C807" t="str">
        <x:v>Blocked</x:v>
      </x:c>
      <x:c r="D807" t="str">
        <x:v>2026-04</x:v>
      </x:c>
      <x:c r="E807" s="12" t="n">
        <x:v>88.36</x:v>
      </x:c>
      <x:c r="F807" s="10" t="n">
        <x:v>0.482</x:v>
      </x:c>
      <x:c r="G807" t="str">
        <x:v>General Merchandise</x:v>
      </x:c>
      <x:c r="H807" t="str">
        <x:v>Accessories</x:v>
      </x:c>
      <x:c r="I807" t="str">
        <x:v>MFG013</x:v>
      </x:c>
      <x:c r="J807" t="str">
        <x:v>Manufacturer 013</x:v>
      </x:c>
      <x:c r="K807" t="str">
        <x:v>SUP019</x:v>
      </x:c>
      <x:c r="L807" t="str">
        <x:v>Supplier 019</x:v>
      </x:c>
      <x:c r="M807" t="str">
        <x:v>REG-559635</x:v>
      </x:c>
      <x:c r="N807" t="str">
        <x:v>Generic Ingredient 084</x:v>
      </x:c>
      <x:c r="O807" t="str">
        <x:v>General Sale</x:v>
      </x:c>
      <x:c r="P807" t="n">
        <x:v>10</x:v>
      </x:c>
      <x:c r="Q807" t="n">
        <x:v>0</x:v>
      </x:c>
      <x:c r="R807" t="n">
        <x:v>0</x:v>
      </x:c>
      <x:c r="S807" s="12" t="n">
        <x:f>E807*Q807</x:f>
        <x:v>0</x:v>
      </x:c>
      <x:c r="T807" s="12" t="n">
        <x:f>ROUND(S807*F807+0.000000001,2)</x:f>
        <x:v>0</x:v>
      </x:c>
      <x:c r="U807" s="12" t="n">
        <x:f>E807*R807</x:f>
        <x:v>0</x:v>
      </x:c>
      <x:c r="V807" t="str">
        <x:f>IF(AND(C807="Active",Q807=0),"Active Zero Sales","Not Zero Sales")</x:f>
        <x:v>Not Zero Sales</x:v>
      </x:c>
      <x:c r="W807" s="12" t="n">
        <x:f>IF(V807="Active Zero Sales",U807,0)</x:f>
        <x:v>0</x:v>
      </x:c>
      <x:c r="X807" t="str">
        <x:f>IF(E807&lt;25,"Low &lt; 25",IF(E807&lt;100,"Medium 25-99",IF(E807&lt;300,"High 100-299","Premium 300+")))</x:f>
        <x:v>Medium 25-99</x:v>
      </x:c>
      <x:c r="Y807" t="n">
        <x:f>IF(C807="Active",1,0)</x:f>
        <x:v>0</x:v>
      </x:c>
    </x:row>
    <x:row r="808">
      <x:c r="A808" t="str">
        <x:v>SKU00807</x:v>
      </x:c>
      <x:c r="B808" t="str">
        <x:v>Sample Product 00807</x:v>
      </x:c>
      <x:c r="C808" t="str">
        <x:v>Blocked</x:v>
      </x:c>
      <x:c r="D808" t="str">
        <x:v>2026-01</x:v>
      </x:c>
      <x:c r="E808" s="12" t="n">
        <x:v>6.73</x:v>
      </x:c>
      <x:c r="F808" s="10" t="n">
        <x:v>0.259</x:v>
      </x:c>
      <x:c r="G808" t="str">
        <x:v>OTC &amp; Wellness</x:v>
      </x:c>
      <x:c r="H808" t="str">
        <x:v>Cold &amp; Allergy</x:v>
      </x:c>
      <x:c r="I808" t="str">
        <x:v>MFG011</x:v>
      </x:c>
      <x:c r="J808" t="str">
        <x:v>Manufacturer 011</x:v>
      </x:c>
      <x:c r="K808" t="str">
        <x:v>SUP022</x:v>
      </x:c>
      <x:c r="L808" t="str">
        <x:v>Supplier 022</x:v>
      </x:c>
      <x:c r="M808" t="str">
        <x:v>REG-403876</x:v>
      </x:c>
      <x:c r="N808" t="str">
        <x:v>Generic Ingredient 046</x:v>
      </x:c>
      <x:c r="O808" t="str">
        <x:v>Pharmacy Only</x:v>
      </x:c>
      <x:c r="P808" t="n">
        <x:v>13</x:v>
      </x:c>
      <x:c r="Q808" t="n">
        <x:v>0</x:v>
      </x:c>
      <x:c r="R808" t="n">
        <x:v>0</x:v>
      </x:c>
      <x:c r="S808" s="12" t="n">
        <x:f>E808*Q808</x:f>
        <x:v>0</x:v>
      </x:c>
      <x:c r="T808" s="12" t="n">
        <x:f>ROUND(S808*F808+0.000000001,2)</x:f>
        <x:v>0</x:v>
      </x:c>
      <x:c r="U808" s="12" t="n">
        <x:f>E808*R808</x:f>
        <x:v>0</x:v>
      </x:c>
      <x:c r="V808" t="str">
        <x:f>IF(AND(C808="Active",Q808=0),"Active Zero Sales","Not Zero Sales")</x:f>
        <x:v>Not Zero Sales</x:v>
      </x:c>
      <x:c r="W808" s="12" t="n">
        <x:f>IF(V808="Active Zero Sales",U808,0)</x:f>
        <x:v>0</x:v>
      </x:c>
      <x:c r="X808" t="str">
        <x:f>IF(E808&lt;25,"Low &lt; 25",IF(E808&lt;100,"Medium 25-99",IF(E808&lt;300,"High 100-299","Premium 300+")))</x:f>
        <x:v>Low &lt; 25</x:v>
      </x:c>
      <x:c r="Y808" t="n">
        <x:f>IF(C808="Active",1,0)</x:f>
        <x:v>0</x:v>
      </x:c>
    </x:row>
    <x:row r="809">
      <x:c r="A809" t="str">
        <x:v>SKU00808</x:v>
      </x:c>
      <x:c r="B809" t="str">
        <x:v>Sample Product 00808</x:v>
      </x:c>
      <x:c r="C809" t="str">
        <x:v>Active</x:v>
      </x:c>
      <x:c r="D809" t="str">
        <x:v>2026-05</x:v>
      </x:c>
      <x:c r="E809" s="12" t="n">
        <x:v>44.32</x:v>
      </x:c>
      <x:c r="F809" s="10" t="n">
        <x:v>0.392</x:v>
      </x:c>
      <x:c r="G809" t="str">
        <x:v>Personal Care</x:v>
      </x:c>
      <x:c r="H809" t="str">
        <x:v>Skin Care</x:v>
      </x:c>
      <x:c r="I809" t="str">
        <x:v>MFG011</x:v>
      </x:c>
      <x:c r="J809" t="str">
        <x:v>Manufacturer 011</x:v>
      </x:c>
      <x:c r="K809" t="str">
        <x:v>SUP028</x:v>
      </x:c>
      <x:c r="L809" t="str">
        <x:v>Supplier 028</x:v>
      </x:c>
      <x:c r="M809" t="str">
        <x:v>REG-746139</x:v>
      </x:c>
      <x:c r="N809" t="str">
        <x:v>Generic Ingredient 168</x:v>
      </x:c>
      <x:c r="O809" t="str">
        <x:v>General Sale</x:v>
      </x:c>
      <x:c r="P809" t="n">
        <x:v>90</x:v>
      </x:c>
      <x:c r="Q809" t="n">
        <x:v>26</x:v>
      </x:c>
      <x:c r="R809" t="n">
        <x:v>19</x:v>
      </x:c>
      <x:c r="S809" s="12" t="n">
        <x:f>E809*Q809</x:f>
        <x:v>1152.32</x:v>
      </x:c>
      <x:c r="T809" s="12" t="n">
        <x:f>ROUND(S809*F809+0.000000001,2)</x:f>
        <x:v>451.71</x:v>
      </x:c>
      <x:c r="U809" s="12" t="n">
        <x:f>E809*R809</x:f>
        <x:v>842.08</x:v>
      </x:c>
      <x:c r="V809" t="str">
        <x:f>IF(AND(C809="Active",Q809=0),"Active Zero Sales","Not Zero Sales")</x:f>
        <x:v>Not Zero Sales</x:v>
      </x:c>
      <x:c r="W809" s="12" t="n">
        <x:f>IF(V809="Active Zero Sales",U809,0)</x:f>
        <x:v>0</x:v>
      </x:c>
      <x:c r="X809" t="str">
        <x:f>IF(E809&lt;25,"Low &lt; 25",IF(E809&lt;100,"Medium 25-99",IF(E809&lt;300,"High 100-299","Premium 300+")))</x:f>
        <x:v>Medium 25-99</x:v>
      </x:c>
      <x:c r="Y809" t="n">
        <x:f>IF(C809="Active",1,0)</x:f>
        <x:v>1</x:v>
      </x:c>
    </x:row>
    <x:row r="810">
      <x:c r="A810" t="str">
        <x:v>SKU00809</x:v>
      </x:c>
      <x:c r="B810" t="str">
        <x:v>Sample Product 00809</x:v>
      </x:c>
      <x:c r="C810" t="str">
        <x:v>Active</x:v>
      </x:c>
      <x:c r="D810" t="str">
        <x:v>2026-06</x:v>
      </x:c>
      <x:c r="E810" s="12" t="n">
        <x:v>53.85</x:v>
      </x:c>
      <x:c r="F810" s="10" t="n">
        <x:v>0.26</x:v>
      </x:c>
      <x:c r="G810" t="str">
        <x:v>Nutrition</x:v>
      </x:c>
      <x:c r="H810" t="str">
        <x:v>Healthy Snacks</x:v>
      </x:c>
      <x:c r="I810" t="str">
        <x:v>MFG008</x:v>
      </x:c>
      <x:c r="J810" t="str">
        <x:v>Manufacturer 008</x:v>
      </x:c>
      <x:c r="K810" t="str">
        <x:v>SUP002</x:v>
      </x:c>
      <x:c r="L810" t="str">
        <x:v>Supplier 002</x:v>
      </x:c>
      <x:c r="M810" t="str">
        <x:v>REG-481692</x:v>
      </x:c>
      <x:c r="N810" t="str">
        <x:v>Generic Ingredient 025</x:v>
      </x:c>
      <x:c r="O810" t="str">
        <x:v>General Sale</x:v>
      </x:c>
      <x:c r="P810" t="n">
        <x:v>75</x:v>
      </x:c>
      <x:c r="Q810" t="n">
        <x:v>0</x:v>
      </x:c>
      <x:c r="R810" t="n">
        <x:v>37</x:v>
      </x:c>
      <x:c r="S810" s="12" t="n">
        <x:f>E810*Q810</x:f>
        <x:v>0</x:v>
      </x:c>
      <x:c r="T810" s="12" t="n">
        <x:f>ROUND(S810*F810+0.000000001,2)</x:f>
        <x:v>0</x:v>
      </x:c>
      <x:c r="U810" s="12" t="n">
        <x:f>E810*R810</x:f>
        <x:v>1992.45</x:v>
      </x:c>
      <x:c r="V810" t="str">
        <x:f>IF(AND(C810="Active",Q810=0),"Active Zero Sales","Not Zero Sales")</x:f>
        <x:v>Active Zero Sales</x:v>
      </x:c>
      <x:c r="W810" s="12" t="n">
        <x:f>IF(V810="Active Zero Sales",U810,0)</x:f>
        <x:v>1992.45</x:v>
      </x:c>
      <x:c r="X810" t="str">
        <x:f>IF(E810&lt;25,"Low &lt; 25",IF(E810&lt;100,"Medium 25-99",IF(E810&lt;300,"High 100-299","Premium 300+")))</x:f>
        <x:v>Medium 25-99</x:v>
      </x:c>
      <x:c r="Y810" t="n">
        <x:f>IF(C810="Active",1,0)</x:f>
        <x:v>1</x:v>
      </x:c>
    </x:row>
    <x:row r="811">
      <x:c r="A811" t="str">
        <x:v>SKU00810</x:v>
      </x:c>
      <x:c r="B811" t="str">
        <x:v>Sample Product 00810</x:v>
      </x:c>
      <x:c r="C811" t="str">
        <x:v>Active</x:v>
      </x:c>
      <x:c r="D811" t="str">
        <x:v>2026-03</x:v>
      </x:c>
      <x:c r="E811" s="12" t="n">
        <x:v>96.65</x:v>
      </x:c>
      <x:c r="F811" s="10" t="n">
        <x:v>0.387</x:v>
      </x:c>
      <x:c r="G811" t="str">
        <x:v>General Merchandise</x:v>
      </x:c>
      <x:c r="H811" t="str">
        <x:v>Travel Health</x:v>
      </x:c>
      <x:c r="I811" t="str">
        <x:v>MFG007</x:v>
      </x:c>
      <x:c r="J811" t="str">
        <x:v>Manufacturer 007</x:v>
      </x:c>
      <x:c r="K811" t="str">
        <x:v>SUP019</x:v>
      </x:c>
      <x:c r="L811" t="str">
        <x:v>Supplier 019</x:v>
      </x:c>
      <x:c r="M811" t="str">
        <x:v>REG-476872</x:v>
      </x:c>
      <x:c r="N811" t="str">
        <x:v>Generic Ingredient 088</x:v>
      </x:c>
      <x:c r="O811" t="str">
        <x:v>General Sale</x:v>
      </x:c>
      <x:c r="P811" t="n">
        <x:v>42</x:v>
      </x:c>
      <x:c r="Q811" t="n">
        <x:v>15</x:v>
      </x:c>
      <x:c r="R811" t="n">
        <x:v>0</x:v>
      </x:c>
      <x:c r="S811" s="12" t="n">
        <x:f>E811*Q811</x:f>
        <x:v>1449.75</x:v>
      </x:c>
      <x:c r="T811" s="12" t="n">
        <x:f>ROUND(S811*F811+0.000000001,2)</x:f>
        <x:v>561.05</x:v>
      </x:c>
      <x:c r="U811" s="12" t="n">
        <x:f>E811*R811</x:f>
        <x:v>0</x:v>
      </x:c>
      <x:c r="V811" t="str">
        <x:f>IF(AND(C811="Active",Q811=0),"Active Zero Sales","Not Zero Sales")</x:f>
        <x:v>Not Zero Sales</x:v>
      </x:c>
      <x:c r="W811" s="12" t="n">
        <x:f>IF(V811="Active Zero Sales",U811,0)</x:f>
        <x:v>0</x:v>
      </x:c>
      <x:c r="X811" t="str">
        <x:f>IF(E811&lt;25,"Low &lt; 25",IF(E811&lt;100,"Medium 25-99",IF(E811&lt;300,"High 100-299","Premium 300+")))</x:f>
        <x:v>Medium 25-99</x:v>
      </x:c>
      <x:c r="Y811" t="n">
        <x:f>IF(C811="Active",1,0)</x:f>
        <x:v>1</x:v>
      </x:c>
    </x:row>
    <x:row r="812">
      <x:c r="A812" t="str">
        <x:v>SKU00811</x:v>
      </x:c>
      <x:c r="B812" t="str">
        <x:v>Sample Product 00811</x:v>
      </x:c>
      <x:c r="C812" t="str">
        <x:v>Active</x:v>
      </x:c>
      <x:c r="D812" t="str">
        <x:v>2026-01</x:v>
      </x:c>
      <x:c r="E812" s="12" t="n">
        <x:v>238.28</x:v>
      </x:c>
      <x:c r="F812" s="10" t="n">
        <x:v>0.295</x:v>
      </x:c>
      <x:c r="G812" t="str">
        <x:v>OTC &amp; Wellness</x:v>
      </x:c>
      <x:c r="H812" t="str">
        <x:v>Pain Relief</x:v>
      </x:c>
      <x:c r="I812" t="str">
        <x:v>MFG017</x:v>
      </x:c>
      <x:c r="J812" t="str">
        <x:v>Manufacturer 017</x:v>
      </x:c>
      <x:c r="K812" t="str">
        <x:v>SUP026</x:v>
      </x:c>
      <x:c r="L812" t="str">
        <x:v>Supplier 026</x:v>
      </x:c>
      <x:c r="M812" t="str">
        <x:v>REG-937876</x:v>
      </x:c>
      <x:c r="N812" t="str">
        <x:v>Generic Ingredient 163</x:v>
      </x:c>
      <x:c r="O812" t="str">
        <x:v>Pharmacy Only</x:v>
      </x:c>
      <x:c r="P812" t="n">
        <x:v>66</x:v>
      </x:c>
      <x:c r="Q812" t="n">
        <x:v>16</x:v>
      </x:c>
      <x:c r="R812" t="n">
        <x:v>14</x:v>
      </x:c>
      <x:c r="S812" s="12" t="n">
        <x:f>E812*Q812</x:f>
        <x:v>3812.48</x:v>
      </x:c>
      <x:c r="T812" s="12" t="n">
        <x:f>ROUND(S812*F812+0.000000001,2)</x:f>
        <x:v>1124.68</x:v>
      </x:c>
      <x:c r="U812" s="12" t="n">
        <x:f>E812*R812</x:f>
        <x:v>3335.92</x:v>
      </x:c>
      <x:c r="V812" t="str">
        <x:f>IF(AND(C812="Active",Q812=0),"Active Zero Sales","Not Zero Sales")</x:f>
        <x:v>Not Zero Sales</x:v>
      </x:c>
      <x:c r="W812" s="12" t="n">
        <x:f>IF(V812="Active Zero Sales",U812,0)</x:f>
        <x:v>0</x:v>
      </x:c>
      <x:c r="X812" t="str">
        <x:f>IF(E812&lt;25,"Low &lt; 25",IF(E812&lt;100,"Medium 25-99",IF(E812&lt;300,"High 100-299","Premium 300+")))</x:f>
        <x:v>High 100-299</x:v>
      </x:c>
      <x:c r="Y812" t="n">
        <x:f>IF(C812="Active",1,0)</x:f>
        <x:v>1</x:v>
      </x:c>
    </x:row>
    <x:row r="813">
      <x:c r="A813" t="str">
        <x:v>SKU00812</x:v>
      </x:c>
      <x:c r="B813" t="str">
        <x:v>Sample Product 00812</x:v>
      </x:c>
      <x:c r="C813" t="str">
        <x:v>Active</x:v>
      </x:c>
      <x:c r="D813" t="str">
        <x:v>2026-01</x:v>
      </x:c>
      <x:c r="E813" s="12" t="n">
        <x:v>95.94</x:v>
      </x:c>
      <x:c r="F813" s="10" t="n">
        <x:v>0.348</x:v>
      </x:c>
      <x:c r="G813" t="str">
        <x:v>OTC &amp; Wellness</x:v>
      </x:c>
      <x:c r="H813" t="str">
        <x:v>Vitamins</x:v>
      </x:c>
      <x:c r="I813" t="str">
        <x:v>MFG007</x:v>
      </x:c>
      <x:c r="J813" t="str">
        <x:v>Manufacturer 007</x:v>
      </x:c>
      <x:c r="K813" t="str">
        <x:v>SUP030</x:v>
      </x:c>
      <x:c r="L813" t="str">
        <x:v>Supplier 030</x:v>
      </x:c>
      <x:c r="M813" t="str">
        <x:v>REG-228280</x:v>
      </x:c>
      <x:c r="N813" t="str">
        <x:v>Generic Ingredient 091</x:v>
      </x:c>
      <x:c r="O813" t="str">
        <x:v>General Sale</x:v>
      </x:c>
      <x:c r="P813" t="n">
        <x:v>92</x:v>
      </x:c>
      <x:c r="Q813" t="n">
        <x:v>22</x:v>
      </x:c>
      <x:c r="R813" t="n">
        <x:v>26</x:v>
      </x:c>
      <x:c r="S813" s="12" t="n">
        <x:f>E813*Q813</x:f>
        <x:v>2110.68</x:v>
      </x:c>
      <x:c r="T813" s="12" t="n">
        <x:f>ROUND(S813*F813+0.000000001,2)</x:f>
        <x:v>734.52</x:v>
      </x:c>
      <x:c r="U813" s="12" t="n">
        <x:f>E813*R813</x:f>
        <x:v>2494.44</x:v>
      </x:c>
      <x:c r="V813" t="str">
        <x:f>IF(AND(C813="Active",Q813=0),"Active Zero Sales","Not Zero Sales")</x:f>
        <x:v>Not Zero Sales</x:v>
      </x:c>
      <x:c r="W813" s="12" t="n">
        <x:f>IF(V813="Active Zero Sales",U813,0)</x:f>
        <x:v>0</x:v>
      </x:c>
      <x:c r="X813" t="str">
        <x:f>IF(E813&lt;25,"Low &lt; 25",IF(E813&lt;100,"Medium 25-99",IF(E813&lt;300,"High 100-299","Premium 300+")))</x:f>
        <x:v>Medium 25-99</x:v>
      </x:c>
      <x:c r="Y813" t="n">
        <x:f>IF(C813="Active",1,0)</x:f>
        <x:v>1</x:v>
      </x:c>
    </x:row>
    <x:row r="814">
      <x:c r="A814" t="str">
        <x:v>SKU00813</x:v>
      </x:c>
      <x:c r="B814" t="str">
        <x:v>Sample Product 00813</x:v>
      </x:c>
      <x:c r="C814" t="str">
        <x:v>Active</x:v>
      </x:c>
      <x:c r="D814" t="str">
        <x:v>2026-04</x:v>
      </x:c>
      <x:c r="E814" s="12" t="n">
        <x:v>5.29</x:v>
      </x:c>
      <x:c r="F814" s="10" t="n">
        <x:v>0.312</x:v>
      </x:c>
      <x:c r="G814" t="str">
        <x:v>Nutrition</x:v>
      </x:c>
      <x:c r="H814" t="str">
        <x:v>Healthy Snacks</x:v>
      </x:c>
      <x:c r="I814" t="str">
        <x:v>MFG004</x:v>
      </x:c>
      <x:c r="J814" t="str">
        <x:v>Manufacturer 004</x:v>
      </x:c>
      <x:c r="K814" t="str">
        <x:v>SUP005</x:v>
      </x:c>
      <x:c r="L814" t="str">
        <x:v>Supplier 005</x:v>
      </x:c>
      <x:c r="M814" t="str">
        <x:v>REG-415422</x:v>
      </x:c>
      <x:c r="N814" t="str">
        <x:v>Generic Ingredient 063</x:v>
      </x:c>
      <x:c r="O814" t="str">
        <x:v>General Sale</x:v>
      </x:c>
      <x:c r="P814" t="n">
        <x:v>44</x:v>
      </x:c>
      <x:c r="Q814" t="n">
        <x:v>26</x:v>
      </x:c>
      <x:c r="R814" t="n">
        <x:v>22</x:v>
      </x:c>
      <x:c r="S814" s="12" t="n">
        <x:f>E814*Q814</x:f>
        <x:v>137.54</x:v>
      </x:c>
      <x:c r="T814" s="12" t="n">
        <x:f>ROUND(S814*F814+0.000000001,2)</x:f>
        <x:v>42.91</x:v>
      </x:c>
      <x:c r="U814" s="12" t="n">
        <x:f>E814*R814</x:f>
        <x:v>116.38</x:v>
      </x:c>
      <x:c r="V814" t="str">
        <x:f>IF(AND(C814="Active",Q814=0),"Active Zero Sales","Not Zero Sales")</x:f>
        <x:v>Not Zero Sales</x:v>
      </x:c>
      <x:c r="W814" s="12" t="n">
        <x:f>IF(V814="Active Zero Sales",U814,0)</x:f>
        <x:v>0</x:v>
      </x:c>
      <x:c r="X814" t="str">
        <x:f>IF(E814&lt;25,"Low &lt; 25",IF(E814&lt;100,"Medium 25-99",IF(E814&lt;300,"High 100-299","Premium 300+")))</x:f>
        <x:v>Low &lt; 25</x:v>
      </x:c>
      <x:c r="Y814" t="n">
        <x:f>IF(C814="Active",1,0)</x:f>
        <x:v>1</x:v>
      </x:c>
    </x:row>
    <x:row r="815">
      <x:c r="A815" t="str">
        <x:v>SKU00814</x:v>
      </x:c>
      <x:c r="B815" t="str">
        <x:v>Sample Product 00814</x:v>
      </x:c>
      <x:c r="C815" t="str">
        <x:v>Active</x:v>
      </x:c>
      <x:c r="D815" t="str">
        <x:v>2026-03</x:v>
      </x:c>
      <x:c r="E815" s="12" t="n">
        <x:v>129.94</x:v>
      </x:c>
      <x:c r="F815" s="10" t="n">
        <x:v>0.268</x:v>
      </x:c>
      <x:c r="G815" t="str">
        <x:v>General Merchandise</x:v>
      </x:c>
      <x:c r="H815" t="str">
        <x:v>Travel Health</x:v>
      </x:c>
      <x:c r="I815" t="str">
        <x:v>MFG018</x:v>
      </x:c>
      <x:c r="J815" t="str">
        <x:v>Manufacturer 018</x:v>
      </x:c>
      <x:c r="K815" t="str">
        <x:v>SUP019</x:v>
      </x:c>
      <x:c r="L815" t="str">
        <x:v>Supplier 019</x:v>
      </x:c>
      <x:c r="M815" t="str">
        <x:v>REG-736419</x:v>
      </x:c>
      <x:c r="N815" t="str">
        <x:v>Generic Ingredient 160</x:v>
      </x:c>
      <x:c r="O815" t="str">
        <x:v>General Sale</x:v>
      </x:c>
      <x:c r="P815" t="n">
        <x:v>48</x:v>
      </x:c>
      <x:c r="Q815" t="n">
        <x:v>29</x:v>
      </x:c>
      <x:c r="R815" t="n">
        <x:v>3</x:v>
      </x:c>
      <x:c r="S815" s="12" t="n">
        <x:f>E815*Q815</x:f>
        <x:v>3768.2599999999998</x:v>
      </x:c>
      <x:c r="T815" s="12" t="n">
        <x:f>ROUND(S815*F815+0.000000001,2)</x:f>
        <x:v>1009.89</x:v>
      </x:c>
      <x:c r="U815" s="12" t="n">
        <x:f>E815*R815</x:f>
        <x:v>389.82</x:v>
      </x:c>
      <x:c r="V815" t="str">
        <x:f>IF(AND(C815="Active",Q815=0),"Active Zero Sales","Not Zero Sales")</x:f>
        <x:v>Not Zero Sales</x:v>
      </x:c>
      <x:c r="W815" s="12" t="n">
        <x:f>IF(V815="Active Zero Sales",U815,0)</x:f>
        <x:v>0</x:v>
      </x:c>
      <x:c r="X815" t="str">
        <x:f>IF(E815&lt;25,"Low &lt; 25",IF(E815&lt;100,"Medium 25-99",IF(E815&lt;300,"High 100-299","Premium 300+")))</x:f>
        <x:v>High 100-299</x:v>
      </x:c>
      <x:c r="Y815" t="n">
        <x:f>IF(C815="Active",1,0)</x:f>
        <x:v>1</x:v>
      </x:c>
    </x:row>
    <x:row r="816">
      <x:c r="A816" t="str">
        <x:v>SKU00815</x:v>
      </x:c>
      <x:c r="B816" t="str">
        <x:v>Sample Product 00815</x:v>
      </x:c>
      <x:c r="C816" t="str">
        <x:v>Blocked</x:v>
      </x:c>
      <x:c r="D816" t="str">
        <x:v>2026-01</x:v>
      </x:c>
      <x:c r="E816" s="12" t="n">
        <x:v>48.71</x:v>
      </x:c>
      <x:c r="F816" s="10" t="n">
        <x:v>0.288</x:v>
      </x:c>
      <x:c r="G816" t="str">
        <x:v>General Merchandise</x:v>
      </x:c>
      <x:c r="H816" t="str">
        <x:v>Baby Essentials</x:v>
      </x:c>
      <x:c r="I816" t="str">
        <x:v>MFG002</x:v>
      </x:c>
      <x:c r="J816" t="str">
        <x:v>Manufacturer 002</x:v>
      </x:c>
      <x:c r="K816" t="str">
        <x:v>SUP013</x:v>
      </x:c>
      <x:c r="L816" t="str">
        <x:v>Supplier 013</x:v>
      </x:c>
      <x:c r="M816" t="str">
        <x:v>REG-157891</x:v>
      </x:c>
      <x:c r="N816" t="str">
        <x:v>Generic Ingredient 110</x:v>
      </x:c>
      <x:c r="O816" t="str">
        <x:v>General Sale</x:v>
      </x:c>
      <x:c r="P816" t="n">
        <x:v>62</x:v>
      </x:c>
      <x:c r="Q816" t="n">
        <x:v>26</x:v>
      </x:c>
      <x:c r="R816" t="n">
        <x:v>0</x:v>
      </x:c>
      <x:c r="S816" s="12" t="n">
        <x:f>E816*Q816</x:f>
        <x:v>1266.46</x:v>
      </x:c>
      <x:c r="T816" s="12" t="n">
        <x:f>ROUND(S816*F816+0.000000001,2)</x:f>
        <x:v>364.74</x:v>
      </x:c>
      <x:c r="U816" s="12" t="n">
        <x:f>E816*R816</x:f>
        <x:v>0</x:v>
      </x:c>
      <x:c r="V816" t="str">
        <x:f>IF(AND(C816="Active",Q816=0),"Active Zero Sales","Not Zero Sales")</x:f>
        <x:v>Not Zero Sales</x:v>
      </x:c>
      <x:c r="W816" s="12" t="n">
        <x:f>IF(V816="Active Zero Sales",U816,0)</x:f>
        <x:v>0</x:v>
      </x:c>
      <x:c r="X816" t="str">
        <x:f>IF(E816&lt;25,"Low &lt; 25",IF(E816&lt;100,"Medium 25-99",IF(E816&lt;300,"High 100-299","Premium 300+")))</x:f>
        <x:v>Medium 25-99</x:v>
      </x:c>
      <x:c r="Y816" t="n">
        <x:f>IF(C816="Active",1,0)</x:f>
        <x:v>0</x:v>
      </x:c>
    </x:row>
    <x:row r="817">
      <x:c r="A817" t="str">
        <x:v>SKU00816</x:v>
      </x:c>
      <x:c r="B817" t="str">
        <x:v>Sample Product 00816</x:v>
      </x:c>
      <x:c r="C817" t="str">
        <x:v>Active</x:v>
      </x:c>
      <x:c r="D817" t="str">
        <x:v>2026-02</x:v>
      </x:c>
      <x:c r="E817" s="12" t="n">
        <x:v>237.72</x:v>
      </x:c>
      <x:c r="F817" s="10" t="n">
        <x:v>0.235</x:v>
      </x:c>
      <x:c r="G817" t="str">
        <x:v>OTC &amp; Wellness</x:v>
      </x:c>
      <x:c r="H817" t="str">
        <x:v>Pain Relief</x:v>
      </x:c>
      <x:c r="I817" t="str">
        <x:v>MFG006</x:v>
      </x:c>
      <x:c r="J817" t="str">
        <x:v>Manufacturer 006</x:v>
      </x:c>
      <x:c r="K817" t="str">
        <x:v>SUP010</x:v>
      </x:c>
      <x:c r="L817" t="str">
        <x:v>Supplier 010</x:v>
      </x:c>
      <x:c r="M817" t="str">
        <x:v>REG-611982</x:v>
      </x:c>
      <x:c r="N817" t="str">
        <x:v>Generic Ingredient 080</x:v>
      </x:c>
      <x:c r="O817" t="str">
        <x:v>General Sale</x:v>
      </x:c>
      <x:c r="P817" t="n">
        <x:v>76</x:v>
      </x:c>
      <x:c r="Q817" t="n">
        <x:v>52</x:v>
      </x:c>
      <x:c r="R817" t="n">
        <x:v>29</x:v>
      </x:c>
      <x:c r="S817" s="12" t="n">
        <x:f>E817*Q817</x:f>
        <x:v>12361.44</x:v>
      </x:c>
      <x:c r="T817" s="12" t="n">
        <x:f>ROUND(S817*F817+0.000000001,2)</x:f>
        <x:v>2904.94</x:v>
      </x:c>
      <x:c r="U817" s="12" t="n">
        <x:f>E817*R817</x:f>
        <x:v>6893.88</x:v>
      </x:c>
      <x:c r="V817" t="str">
        <x:f>IF(AND(C817="Active",Q817=0),"Active Zero Sales","Not Zero Sales")</x:f>
        <x:v>Not Zero Sales</x:v>
      </x:c>
      <x:c r="W817" s="12" t="n">
        <x:f>IF(V817="Active Zero Sales",U817,0)</x:f>
        <x:v>0</x:v>
      </x:c>
      <x:c r="X817" t="str">
        <x:f>IF(E817&lt;25,"Low &lt; 25",IF(E817&lt;100,"Medium 25-99",IF(E817&lt;300,"High 100-299","Premium 300+")))</x:f>
        <x:v>High 100-299</x:v>
      </x:c>
      <x:c r="Y817" t="n">
        <x:f>IF(C817="Active",1,0)</x:f>
        <x:v>1</x:v>
      </x:c>
    </x:row>
    <x:row r="818">
      <x:c r="A818" t="str">
        <x:v>SKU00817</x:v>
      </x:c>
      <x:c r="B818" t="str">
        <x:v>Sample Product 00817</x:v>
      </x:c>
      <x:c r="C818" t="str">
        <x:v>Active</x:v>
      </x:c>
      <x:c r="D818" t="str">
        <x:v>2026-01</x:v>
      </x:c>
      <x:c r="E818" s="12" t="n">
        <x:v>99.44</x:v>
      </x:c>
      <x:c r="F818" s="10" t="n">
        <x:v>0.327</x:v>
      </x:c>
      <x:c r="G818" t="str">
        <x:v>General Merchandise</x:v>
      </x:c>
      <x:c r="H818" t="str">
        <x:v>Baby Essentials</x:v>
      </x:c>
      <x:c r="I818" t="str">
        <x:v>MFG001</x:v>
      </x:c>
      <x:c r="J818" t="str">
        <x:v>Manufacturer 001</x:v>
      </x:c>
      <x:c r="K818" t="str">
        <x:v>SUP003</x:v>
      </x:c>
      <x:c r="L818" t="str">
        <x:v>Supplier 003</x:v>
      </x:c>
      <x:c r="M818" t="str">
        <x:v>REG-528378</x:v>
      </x:c>
      <x:c r="N818" t="str">
        <x:v>Generic Ingredient 062</x:v>
      </x:c>
      <x:c r="O818" t="str">
        <x:v>General Sale</x:v>
      </x:c>
      <x:c r="P818" t="n">
        <x:v>29</x:v>
      </x:c>
      <x:c r="Q818" t="n">
        <x:v>24</x:v>
      </x:c>
      <x:c r="R818" t="n">
        <x:v>9</x:v>
      </x:c>
      <x:c r="S818" s="12" t="n">
        <x:f>E818*Q818</x:f>
        <x:v>2386.56</x:v>
      </x:c>
      <x:c r="T818" s="12" t="n">
        <x:f>ROUND(S818*F818+0.000000001,2)</x:f>
        <x:v>780.41</x:v>
      </x:c>
      <x:c r="U818" s="12" t="n">
        <x:f>E818*R818</x:f>
        <x:v>894.96</x:v>
      </x:c>
      <x:c r="V818" t="str">
        <x:f>IF(AND(C818="Active",Q818=0),"Active Zero Sales","Not Zero Sales")</x:f>
        <x:v>Not Zero Sales</x:v>
      </x:c>
      <x:c r="W818" s="12" t="n">
        <x:f>IF(V818="Active Zero Sales",U818,0)</x:f>
        <x:v>0</x:v>
      </x:c>
      <x:c r="X818" t="str">
        <x:f>IF(E818&lt;25,"Low &lt; 25",IF(E818&lt;100,"Medium 25-99",IF(E818&lt;300,"High 100-299","Premium 300+")))</x:f>
        <x:v>Medium 25-99</x:v>
      </x:c>
      <x:c r="Y818" t="n">
        <x:f>IF(C818="Active",1,0)</x:f>
        <x:v>1</x:v>
      </x:c>
    </x:row>
    <x:row r="819">
      <x:c r="A819" t="str">
        <x:v>SKU00818</x:v>
      </x:c>
      <x:c r="B819" t="str">
        <x:v>Sample Product 00818</x:v>
      </x:c>
      <x:c r="C819" t="str">
        <x:v>Active</x:v>
      </x:c>
      <x:c r="D819" t="str">
        <x:v>2026-06</x:v>
      </x:c>
      <x:c r="E819" s="12" t="n">
        <x:v>27.58</x:v>
      </x:c>
      <x:c r="F819" s="10" t="n">
        <x:v>0.372</x:v>
      </x:c>
      <x:c r="G819" t="str">
        <x:v>OTC &amp; Wellness</x:v>
      </x:c>
      <x:c r="H819" t="str">
        <x:v>Vitamins</x:v>
      </x:c>
      <x:c r="I819" t="str">
        <x:v>MFG004</x:v>
      </x:c>
      <x:c r="J819" t="str">
        <x:v>Manufacturer 004</x:v>
      </x:c>
      <x:c r="K819" t="str">
        <x:v>SUP008</x:v>
      </x:c>
      <x:c r="L819" t="str">
        <x:v>Supplier 008</x:v>
      </x:c>
      <x:c r="M819" t="str">
        <x:v>REG-420670</x:v>
      </x:c>
      <x:c r="N819" t="str">
        <x:v>Generic Ingredient 101</x:v>
      </x:c>
      <x:c r="O819" t="str">
        <x:v>General Sale</x:v>
      </x:c>
      <x:c r="P819" t="n">
        <x:v>58</x:v>
      </x:c>
      <x:c r="Q819" t="n">
        <x:v>32</x:v>
      </x:c>
      <x:c r="R819" t="n">
        <x:v>21</x:v>
      </x:c>
      <x:c r="S819" s="12" t="n">
        <x:f>E819*Q819</x:f>
        <x:v>882.56</x:v>
      </x:c>
      <x:c r="T819" s="12" t="n">
        <x:f>ROUND(S819*F819+0.000000001,2)</x:f>
        <x:v>328.31</x:v>
      </x:c>
      <x:c r="U819" s="12" t="n">
        <x:f>E819*R819</x:f>
        <x:v>579.18</x:v>
      </x:c>
      <x:c r="V819" t="str">
        <x:f>IF(AND(C819="Active",Q819=0),"Active Zero Sales","Not Zero Sales")</x:f>
        <x:v>Not Zero Sales</x:v>
      </x:c>
      <x:c r="W819" s="12" t="n">
        <x:f>IF(V819="Active Zero Sales",U819,0)</x:f>
        <x:v>0</x:v>
      </x:c>
      <x:c r="X819" t="str">
        <x:f>IF(E819&lt;25,"Low &lt; 25",IF(E819&lt;100,"Medium 25-99",IF(E819&lt;300,"High 100-299","Premium 300+")))</x:f>
        <x:v>Medium 25-99</x:v>
      </x:c>
      <x:c r="Y819" t="n">
        <x:f>IF(C819="Active",1,0)</x:f>
        <x:v>1</x:v>
      </x:c>
    </x:row>
    <x:row r="820">
      <x:c r="A820" t="str">
        <x:v>SKU00819</x:v>
      </x:c>
      <x:c r="B820" t="str">
        <x:v>Sample Product 00819</x:v>
      </x:c>
      <x:c r="C820" t="str">
        <x:v>Active</x:v>
      </x:c>
      <x:c r="D820" t="str">
        <x:v>2026-04</x:v>
      </x:c>
      <x:c r="E820" s="12" t="n">
        <x:v>45.34</x:v>
      </x:c>
      <x:c r="F820" s="10" t="n">
        <x:v>0.476</x:v>
      </x:c>
      <x:c r="G820" t="str">
        <x:v>Personal Care</x:v>
      </x:c>
      <x:c r="H820" t="str">
        <x:v>Skin Care</x:v>
      </x:c>
      <x:c r="I820" t="str">
        <x:v>MFG011</x:v>
      </x:c>
      <x:c r="J820" t="str">
        <x:v>Manufacturer 011</x:v>
      </x:c>
      <x:c r="K820" t="str">
        <x:v>SUP030</x:v>
      </x:c>
      <x:c r="L820" t="str">
        <x:v>Supplier 030</x:v>
      </x:c>
      <x:c r="M820" t="str">
        <x:v>REG-824161</x:v>
      </x:c>
      <x:c r="N820" t="str">
        <x:v>Generic Ingredient 022</x:v>
      </x:c>
      <x:c r="O820" t="str">
        <x:v>General Sale</x:v>
      </x:c>
      <x:c r="P820" t="n">
        <x:v>39</x:v>
      </x:c>
      <x:c r="Q820" t="n">
        <x:v>16</x:v>
      </x:c>
      <x:c r="R820" t="n">
        <x:v>0</x:v>
      </x:c>
      <x:c r="S820" s="12" t="n">
        <x:f>E820*Q820</x:f>
        <x:v>725.44</x:v>
      </x:c>
      <x:c r="T820" s="12" t="n">
        <x:f>ROUND(S820*F820+0.000000001,2)</x:f>
        <x:v>345.31</x:v>
      </x:c>
      <x:c r="U820" s="12" t="n">
        <x:f>E820*R820</x:f>
        <x:v>0</x:v>
      </x:c>
      <x:c r="V820" t="str">
        <x:f>IF(AND(C820="Active",Q820=0),"Active Zero Sales","Not Zero Sales")</x:f>
        <x:v>Not Zero Sales</x:v>
      </x:c>
      <x:c r="W820" s="12" t="n">
        <x:f>IF(V820="Active Zero Sales",U820,0)</x:f>
        <x:v>0</x:v>
      </x:c>
      <x:c r="X820" t="str">
        <x:f>IF(E820&lt;25,"Low &lt; 25",IF(E820&lt;100,"Medium 25-99",IF(E820&lt;300,"High 100-299","Premium 300+")))</x:f>
        <x:v>Medium 25-99</x:v>
      </x:c>
      <x:c r="Y820" t="n">
        <x:f>IF(C820="Active",1,0)</x:f>
        <x:v>1</x:v>
      </x:c>
    </x:row>
    <x:row r="821">
      <x:c r="A821" t="str">
        <x:v>SKU00820</x:v>
      </x:c>
      <x:c r="B821" t="str">
        <x:v>Sample Product 00820</x:v>
      </x:c>
      <x:c r="C821" t="str">
        <x:v>Active</x:v>
      </x:c>
      <x:c r="D821" t="str">
        <x:v>2026-03</x:v>
      </x:c>
      <x:c r="E821" s="12" t="n">
        <x:v>50.72</x:v>
      </x:c>
      <x:c r="F821" s="10" t="n">
        <x:v>0.273</x:v>
      </x:c>
      <x:c r="G821" t="str">
        <x:v>OTC &amp; Wellness</x:v>
      </x:c>
      <x:c r="H821" t="str">
        <x:v>Vitamins</x:v>
      </x:c>
      <x:c r="I821" t="str">
        <x:v>MFG020</x:v>
      </x:c>
      <x:c r="J821" t="str">
        <x:v>Manufacturer 020</x:v>
      </x:c>
      <x:c r="K821" t="str">
        <x:v>SUP021</x:v>
      </x:c>
      <x:c r="L821" t="str">
        <x:v>Supplier 021</x:v>
      </x:c>
      <x:c r="M821" t="str">
        <x:v>REG-583818</x:v>
      </x:c>
      <x:c r="N821" t="str">
        <x:v>Generic Ingredient 168</x:v>
      </x:c>
      <x:c r="O821" t="str">
        <x:v>General Sale</x:v>
      </x:c>
      <x:c r="P821" t="n">
        <x:v>83</x:v>
      </x:c>
      <x:c r="Q821" t="n">
        <x:v>18</x:v>
      </x:c>
      <x:c r="R821" t="n">
        <x:v>25</x:v>
      </x:c>
      <x:c r="S821" s="12" t="n">
        <x:f>E821*Q821</x:f>
        <x:v>912.96</x:v>
      </x:c>
      <x:c r="T821" s="12" t="n">
        <x:f>ROUND(S821*F821+0.000000001,2)</x:f>
        <x:v>249.24</x:v>
      </x:c>
      <x:c r="U821" s="12" t="n">
        <x:f>E821*R821</x:f>
        <x:v>1268</x:v>
      </x:c>
      <x:c r="V821" t="str">
        <x:f>IF(AND(C821="Active",Q821=0),"Active Zero Sales","Not Zero Sales")</x:f>
        <x:v>Not Zero Sales</x:v>
      </x:c>
      <x:c r="W821" s="12" t="n">
        <x:f>IF(V821="Active Zero Sales",U821,0)</x:f>
        <x:v>0</x:v>
      </x:c>
      <x:c r="X821" t="str">
        <x:f>IF(E821&lt;25,"Low &lt; 25",IF(E821&lt;100,"Medium 25-99",IF(E821&lt;300,"High 100-299","Premium 300+")))</x:f>
        <x:v>Medium 25-99</x:v>
      </x:c>
      <x:c r="Y821" t="n">
        <x:f>IF(C821="Active",1,0)</x:f>
        <x:v>1</x:v>
      </x:c>
    </x:row>
    <x:row r="822">
      <x:c r="A822" t="str">
        <x:v>SKU00821</x:v>
      </x:c>
      <x:c r="B822" t="str">
        <x:v>Sample Product 00821</x:v>
      </x:c>
      <x:c r="C822" t="str">
        <x:v>Active</x:v>
      </x:c>
      <x:c r="D822" t="str">
        <x:v>2026-01</x:v>
      </x:c>
      <x:c r="E822" s="12" t="n">
        <x:v>14.46</x:v>
      </x:c>
      <x:c r="F822" s="10" t="n">
        <x:v>0.396</x:v>
      </x:c>
      <x:c r="G822" t="str">
        <x:v>Medical Devices</x:v>
      </x:c>
      <x:c r="H822" t="str">
        <x:v>Monitoring Supplies</x:v>
      </x:c>
      <x:c r="I822" t="str">
        <x:v>MFG019</x:v>
      </x:c>
      <x:c r="J822" t="str">
        <x:v>Manufacturer 019</x:v>
      </x:c>
      <x:c r="K822" t="str">
        <x:v>SUP003</x:v>
      </x:c>
      <x:c r="L822" t="str">
        <x:v>Supplier 003</x:v>
      </x:c>
      <x:c r="M822" t="str">
        <x:v>REG-131361</x:v>
      </x:c>
      <x:c r="N822" t="str">
        <x:v>Generic Ingredient 045</x:v>
      </x:c>
      <x:c r="O822" t="str">
        <x:v>General Sale</x:v>
      </x:c>
      <x:c r="P822" t="n">
        <x:v>45</x:v>
      </x:c>
      <x:c r="Q822" t="n">
        <x:v>23</x:v>
      </x:c>
      <x:c r="R822" t="n">
        <x:v>7</x:v>
      </x:c>
      <x:c r="S822" s="12" t="n">
        <x:f>E822*Q822</x:f>
        <x:v>332.58000000000004</x:v>
      </x:c>
      <x:c r="T822" s="12" t="n">
        <x:f>ROUND(S822*F822+0.000000001,2)</x:f>
        <x:v>131.7</x:v>
      </x:c>
      <x:c r="U822" s="12" t="n">
        <x:f>E822*R822</x:f>
        <x:v>101.22</x:v>
      </x:c>
      <x:c r="V822" t="str">
        <x:f>IF(AND(C822="Active",Q822=0),"Active Zero Sales","Not Zero Sales")</x:f>
        <x:v>Not Zero Sales</x:v>
      </x:c>
      <x:c r="W822" s="12" t="n">
        <x:f>IF(V822="Active Zero Sales",U822,0)</x:f>
        <x:v>0</x:v>
      </x:c>
      <x:c r="X822" t="str">
        <x:f>IF(E822&lt;25,"Low &lt; 25",IF(E822&lt;100,"Medium 25-99",IF(E822&lt;300,"High 100-299","Premium 300+")))</x:f>
        <x:v>Low &lt; 25</x:v>
      </x:c>
      <x:c r="Y822" t="n">
        <x:f>IF(C822="Active",1,0)</x:f>
        <x:v>1</x:v>
      </x:c>
    </x:row>
    <x:row r="823">
      <x:c r="A823" t="str">
        <x:v>SKU00822</x:v>
      </x:c>
      <x:c r="B823" t="str">
        <x:v>Sample Product 00822</x:v>
      </x:c>
      <x:c r="C823" t="str">
        <x:v>Active</x:v>
      </x:c>
      <x:c r="D823" t="str">
        <x:v>2026-01</x:v>
      </x:c>
      <x:c r="E823" s="12" t="n">
        <x:v>403.99</x:v>
      </x:c>
      <x:c r="F823" s="10" t="n">
        <x:v>0.33</x:v>
      </x:c>
      <x:c r="G823" t="str">
        <x:v>OTC &amp; Wellness</x:v>
      </x:c>
      <x:c r="H823" t="str">
        <x:v>Digestive Care</x:v>
      </x:c>
      <x:c r="I823" t="str">
        <x:v>MFG004</x:v>
      </x:c>
      <x:c r="J823" t="str">
        <x:v>Manufacturer 004</x:v>
      </x:c>
      <x:c r="K823" t="str">
        <x:v>SUP013</x:v>
      </x:c>
      <x:c r="L823" t="str">
        <x:v>Supplier 013</x:v>
      </x:c>
      <x:c r="M823" t="str">
        <x:v>REG-903901</x:v>
      </x:c>
      <x:c r="N823" t="str">
        <x:v>Generic Ingredient 138</x:v>
      </x:c>
      <x:c r="O823" t="str">
        <x:v>General Sale</x:v>
      </x:c>
      <x:c r="P823" t="n">
        <x:v>75</x:v>
      </x:c>
      <x:c r="Q823" t="n">
        <x:v>33</x:v>
      </x:c>
      <x:c r="R823" t="n">
        <x:v>0</x:v>
      </x:c>
      <x:c r="S823" s="12" t="n">
        <x:f>E823*Q823</x:f>
        <x:v>13331.67</x:v>
      </x:c>
      <x:c r="T823" s="12" t="n">
        <x:f>ROUND(S823*F823+0.000000001,2)</x:f>
        <x:v>4399.45</x:v>
      </x:c>
      <x:c r="U823" s="12" t="n">
        <x:f>E823*R823</x:f>
        <x:v>0</x:v>
      </x:c>
      <x:c r="V823" t="str">
        <x:f>IF(AND(C823="Active",Q823=0),"Active Zero Sales","Not Zero Sales")</x:f>
        <x:v>Not Zero Sales</x:v>
      </x:c>
      <x:c r="W823" s="12" t="n">
        <x:f>IF(V823="Active Zero Sales",U823,0)</x:f>
        <x:v>0</x:v>
      </x:c>
      <x:c r="X823" t="str">
        <x:f>IF(E823&lt;25,"Low &lt; 25",IF(E823&lt;100,"Medium 25-99",IF(E823&lt;300,"High 100-299","Premium 300+")))</x:f>
        <x:v>Premium 300+</x:v>
      </x:c>
      <x:c r="Y823" t="n">
        <x:f>IF(C823="Active",1,0)</x:f>
        <x:v>1</x:v>
      </x:c>
    </x:row>
    <x:row r="824">
      <x:c r="A824" t="str">
        <x:v>SKU00823</x:v>
      </x:c>
      <x:c r="B824" t="str">
        <x:v>Sample Product 00823</x:v>
      </x:c>
      <x:c r="C824" t="str">
        <x:v>Active</x:v>
      </x:c>
      <x:c r="D824" t="str">
        <x:v>2026-02</x:v>
      </x:c>
      <x:c r="E824" s="12" t="n">
        <x:v>8.24</x:v>
      </x:c>
      <x:c r="F824" s="10" t="n">
        <x:v>0.389</x:v>
      </x:c>
      <x:c r="G824" t="str">
        <x:v>Personal Care</x:v>
      </x:c>
      <x:c r="H824" t="str">
        <x:v>Oral Care</x:v>
      </x:c>
      <x:c r="I824" t="str">
        <x:v>MFG009</x:v>
      </x:c>
      <x:c r="J824" t="str">
        <x:v>Manufacturer 009</x:v>
      </x:c>
      <x:c r="K824" t="str">
        <x:v>SUP027</x:v>
      </x:c>
      <x:c r="L824" t="str">
        <x:v>Supplier 027</x:v>
      </x:c>
      <x:c r="M824" t="str">
        <x:v>REG-732874</x:v>
      </x:c>
      <x:c r="N824" t="str">
        <x:v>Generic Ingredient 045</x:v>
      </x:c>
      <x:c r="O824" t="str">
        <x:v>General Sale</x:v>
      </x:c>
      <x:c r="P824" t="n">
        <x:v>36</x:v>
      </x:c>
      <x:c r="Q824" t="n">
        <x:v>19</x:v>
      </x:c>
      <x:c r="R824" t="n">
        <x:v>5</x:v>
      </x:c>
      <x:c r="S824" s="12" t="n">
        <x:f>E824*Q824</x:f>
        <x:v>156.56</x:v>
      </x:c>
      <x:c r="T824" s="12" t="n">
        <x:f>ROUND(S824*F824+0.000000001,2)</x:f>
        <x:v>60.9</x:v>
      </x:c>
      <x:c r="U824" s="12" t="n">
        <x:f>E824*R824</x:f>
        <x:v>41.2</x:v>
      </x:c>
      <x:c r="V824" t="str">
        <x:f>IF(AND(C824="Active",Q824=0),"Active Zero Sales","Not Zero Sales")</x:f>
        <x:v>Not Zero Sales</x:v>
      </x:c>
      <x:c r="W824" s="12" t="n">
        <x:f>IF(V824="Active Zero Sales",U824,0)</x:f>
        <x:v>0</x:v>
      </x:c>
      <x:c r="X824" t="str">
        <x:f>IF(E824&lt;25,"Low &lt; 25",IF(E824&lt;100,"Medium 25-99",IF(E824&lt;300,"High 100-299","Premium 300+")))</x:f>
        <x:v>Low &lt; 25</x:v>
      </x:c>
      <x:c r="Y824" t="n">
        <x:f>IF(C824="Active",1,0)</x:f>
        <x:v>1</x:v>
      </x:c>
    </x:row>
    <x:row r="825">
      <x:c r="A825" t="str">
        <x:v>SKU00824</x:v>
      </x:c>
      <x:c r="B825" t="str">
        <x:v>Sample Product 00824</x:v>
      </x:c>
      <x:c r="C825" t="str">
        <x:v>Active</x:v>
      </x:c>
      <x:c r="D825" t="str">
        <x:v>2026-05</x:v>
      </x:c>
      <x:c r="E825" s="12" t="n">
        <x:v>642.72</x:v>
      </x:c>
      <x:c r="F825" s="10" t="n">
        <x:v>0.416</x:v>
      </x:c>
      <x:c r="G825" t="str">
        <x:v>OTC &amp; Wellness</x:v>
      </x:c>
      <x:c r="H825" t="str">
        <x:v>Cold &amp; Allergy</x:v>
      </x:c>
      <x:c r="I825" t="str">
        <x:v>MFG008</x:v>
      </x:c>
      <x:c r="J825" t="str">
        <x:v>Manufacturer 008</x:v>
      </x:c>
      <x:c r="K825" t="str">
        <x:v>SUP005</x:v>
      </x:c>
      <x:c r="L825" t="str">
        <x:v>Supplier 005</x:v>
      </x:c>
      <x:c r="M825" t="str">
        <x:v>REG-203617</x:v>
      </x:c>
      <x:c r="N825" t="str">
        <x:v>Generic Ingredient 156</x:v>
      </x:c>
      <x:c r="O825" t="str">
        <x:v>General Sale</x:v>
      </x:c>
      <x:c r="P825" t="n">
        <x:v>59</x:v>
      </x:c>
      <x:c r="Q825" t="n">
        <x:v>23</x:v>
      </x:c>
      <x:c r="R825" t="n">
        <x:v>0</x:v>
      </x:c>
      <x:c r="S825" s="12" t="n">
        <x:f>E825*Q825</x:f>
        <x:v>14782.560000000001</x:v>
      </x:c>
      <x:c r="T825" s="12" t="n">
        <x:f>ROUND(S825*F825+0.000000001,2)</x:f>
        <x:v>6149.54</x:v>
      </x:c>
      <x:c r="U825" s="12" t="n">
        <x:f>E825*R825</x:f>
        <x:v>0</x:v>
      </x:c>
      <x:c r="V825" t="str">
        <x:f>IF(AND(C825="Active",Q825=0),"Active Zero Sales","Not Zero Sales")</x:f>
        <x:v>Not Zero Sales</x:v>
      </x:c>
      <x:c r="W825" s="12" t="n">
        <x:f>IF(V825="Active Zero Sales",U825,0)</x:f>
        <x:v>0</x:v>
      </x:c>
      <x:c r="X825" t="str">
        <x:f>IF(E825&lt;25,"Low &lt; 25",IF(E825&lt;100,"Medium 25-99",IF(E825&lt;300,"High 100-299","Premium 300+")))</x:f>
        <x:v>Premium 300+</x:v>
      </x:c>
      <x:c r="Y825" t="n">
        <x:f>IF(C825="Active",1,0)</x:f>
        <x:v>1</x:v>
      </x:c>
    </x:row>
    <x:row r="826">
      <x:c r="A826" t="str">
        <x:v>SKU00825</x:v>
      </x:c>
      <x:c r="B826" t="str">
        <x:v>Sample Product 00825</x:v>
      </x:c>
      <x:c r="C826" t="str">
        <x:v>Active</x:v>
      </x:c>
      <x:c r="D826" t="str">
        <x:v>2026-04</x:v>
      </x:c>
      <x:c r="E826" s="12" t="n">
        <x:v>101.57</x:v>
      </x:c>
      <x:c r="F826" s="10" t="n">
        <x:v>0.366</x:v>
      </x:c>
      <x:c r="G826" t="str">
        <x:v>Personal Care</x:v>
      </x:c>
      <x:c r="H826" t="str">
        <x:v>Oral Care</x:v>
      </x:c>
      <x:c r="I826" t="str">
        <x:v>MFG009</x:v>
      </x:c>
      <x:c r="J826" t="str">
        <x:v>Manufacturer 009</x:v>
      </x:c>
      <x:c r="K826" t="str">
        <x:v>SUP030</x:v>
      </x:c>
      <x:c r="L826" t="str">
        <x:v>Supplier 030</x:v>
      </x:c>
      <x:c r="M826" t="str">
        <x:v>REG-421374</x:v>
      </x:c>
      <x:c r="N826" t="str">
        <x:v>Generic Ingredient 073</x:v>
      </x:c>
      <x:c r="O826" t="str">
        <x:v>General Sale</x:v>
      </x:c>
      <x:c r="P826" t="n">
        <x:v>17</x:v>
      </x:c>
      <x:c r="Q826" t="n">
        <x:v>13</x:v>
      </x:c>
      <x:c r="R826" t="n">
        <x:v>0</x:v>
      </x:c>
      <x:c r="S826" s="12" t="n">
        <x:f>E826*Q826</x:f>
        <x:v>1320.4099999999999</x:v>
      </x:c>
      <x:c r="T826" s="12" t="n">
        <x:f>ROUND(S826*F826+0.000000001,2)</x:f>
        <x:v>483.27</x:v>
      </x:c>
      <x:c r="U826" s="12" t="n">
        <x:f>E826*R826</x:f>
        <x:v>0</x:v>
      </x:c>
      <x:c r="V826" t="str">
        <x:f>IF(AND(C826="Active",Q826=0),"Active Zero Sales","Not Zero Sales")</x:f>
        <x:v>Not Zero Sales</x:v>
      </x:c>
      <x:c r="W826" s="12" t="n">
        <x:f>IF(V826="Active Zero Sales",U826,0)</x:f>
        <x:v>0</x:v>
      </x:c>
      <x:c r="X826" t="str">
        <x:f>IF(E826&lt;25,"Low &lt; 25",IF(E826&lt;100,"Medium 25-99",IF(E826&lt;300,"High 100-299","Premium 300+")))</x:f>
        <x:v>High 100-299</x:v>
      </x:c>
      <x:c r="Y826" t="n">
        <x:f>IF(C826="Active",1,0)</x:f>
        <x:v>1</x:v>
      </x:c>
    </x:row>
    <x:row r="827">
      <x:c r="A827" t="str">
        <x:v>SKU00826</x:v>
      </x:c>
      <x:c r="B827" t="str">
        <x:v>Sample Product 00826</x:v>
      </x:c>
      <x:c r="C827" t="str">
        <x:v>Active</x:v>
      </x:c>
      <x:c r="D827" t="str">
        <x:v>2026-04</x:v>
      </x:c>
      <x:c r="E827" s="12" t="n">
        <x:v>296.65</x:v>
      </x:c>
      <x:c r="F827" s="10" t="n">
        <x:v>0.271</x:v>
      </x:c>
      <x:c r="G827" t="str">
        <x:v>Medical Devices</x:v>
      </x:c>
      <x:c r="H827" t="str">
        <x:v>Mobility Aids</x:v>
      </x:c>
      <x:c r="I827" t="str">
        <x:v>MFG004</x:v>
      </x:c>
      <x:c r="J827" t="str">
        <x:v>Manufacturer 004</x:v>
      </x:c>
      <x:c r="K827" t="str">
        <x:v>SUP011</x:v>
      </x:c>
      <x:c r="L827" t="str">
        <x:v>Supplier 011</x:v>
      </x:c>
      <x:c r="M827" t="str">
        <x:v>REG-141068</x:v>
      </x:c>
      <x:c r="N827" t="str">
        <x:v>Generic Ingredient 066</x:v>
      </x:c>
      <x:c r="O827" t="str">
        <x:v>General Sale</x:v>
      </x:c>
      <x:c r="P827" t="n">
        <x:v>13</x:v>
      </x:c>
      <x:c r="Q827" t="n">
        <x:v>16</x:v>
      </x:c>
      <x:c r="R827" t="n">
        <x:v>0</x:v>
      </x:c>
      <x:c r="S827" s="12" t="n">
        <x:f>E827*Q827</x:f>
        <x:v>4746.4</x:v>
      </x:c>
      <x:c r="T827" s="12" t="n">
        <x:f>ROUND(S827*F827+0.000000001,2)</x:f>
        <x:v>1286.27</x:v>
      </x:c>
      <x:c r="U827" s="12" t="n">
        <x:f>E827*R827</x:f>
        <x:v>0</x:v>
      </x:c>
      <x:c r="V827" t="str">
        <x:f>IF(AND(C827="Active",Q827=0),"Active Zero Sales","Not Zero Sales")</x:f>
        <x:v>Not Zero Sales</x:v>
      </x:c>
      <x:c r="W827" s="12" t="n">
        <x:f>IF(V827="Active Zero Sales",U827,0)</x:f>
        <x:v>0</x:v>
      </x:c>
      <x:c r="X827" t="str">
        <x:f>IF(E827&lt;25,"Low &lt; 25",IF(E827&lt;100,"Medium 25-99",IF(E827&lt;300,"High 100-299","Premium 300+")))</x:f>
        <x:v>High 100-299</x:v>
      </x:c>
      <x:c r="Y827" t="n">
        <x:f>IF(C827="Active",1,0)</x:f>
        <x:v>1</x:v>
      </x:c>
    </x:row>
    <x:row r="828">
      <x:c r="A828" t="str">
        <x:v>SKU00827</x:v>
      </x:c>
      <x:c r="B828" t="str">
        <x:v>Sample Product 00827</x:v>
      </x:c>
      <x:c r="C828" t="str">
        <x:v>Active</x:v>
      </x:c>
      <x:c r="D828" t="str">
        <x:v>2026-01</x:v>
      </x:c>
      <x:c r="E828" s="12" t="n">
        <x:v>14.63</x:v>
      </x:c>
      <x:c r="F828" s="10" t="n">
        <x:v>0.214</x:v>
      </x:c>
      <x:c r="G828" t="str">
        <x:v>OTC &amp; Wellness</x:v>
      </x:c>
      <x:c r="H828" t="str">
        <x:v>Vitamins</x:v>
      </x:c>
      <x:c r="I828" t="str">
        <x:v>MFG010</x:v>
      </x:c>
      <x:c r="J828" t="str">
        <x:v>Manufacturer 010</x:v>
      </x:c>
      <x:c r="K828" t="str">
        <x:v>SUP012</x:v>
      </x:c>
      <x:c r="L828" t="str">
        <x:v>Supplier 012</x:v>
      </x:c>
      <x:c r="M828" t="str">
        <x:v>REG-343668</x:v>
      </x:c>
      <x:c r="N828" t="str">
        <x:v>Generic Ingredient 045</x:v>
      </x:c>
      <x:c r="O828" t="str">
        <x:v>Pharmacy Only</x:v>
      </x:c>
      <x:c r="P828" t="n">
        <x:v>86</x:v>
      </x:c>
      <x:c r="Q828" t="n">
        <x:v>21</x:v>
      </x:c>
      <x:c r="R828" t="n">
        <x:v>16</x:v>
      </x:c>
      <x:c r="S828" s="12" t="n">
        <x:f>E828*Q828</x:f>
        <x:v>307.23</x:v>
      </x:c>
      <x:c r="T828" s="12" t="n">
        <x:f>ROUND(S828*F828+0.000000001,2)</x:f>
        <x:v>65.75</x:v>
      </x:c>
      <x:c r="U828" s="12" t="n">
        <x:f>E828*R828</x:f>
        <x:v>234.08</x:v>
      </x:c>
      <x:c r="V828" t="str">
        <x:f>IF(AND(C828="Active",Q828=0),"Active Zero Sales","Not Zero Sales")</x:f>
        <x:v>Not Zero Sales</x:v>
      </x:c>
      <x:c r="W828" s="12" t="n">
        <x:f>IF(V828="Active Zero Sales",U828,0)</x:f>
        <x:v>0</x:v>
      </x:c>
      <x:c r="X828" t="str">
        <x:f>IF(E828&lt;25,"Low &lt; 25",IF(E828&lt;100,"Medium 25-99",IF(E828&lt;300,"High 100-299","Premium 300+")))</x:f>
        <x:v>Low &lt; 25</x:v>
      </x:c>
      <x:c r="Y828" t="n">
        <x:f>IF(C828="Active",1,0)</x:f>
        <x:v>1</x:v>
      </x:c>
    </x:row>
    <x:row r="829">
      <x:c r="A829" t="str">
        <x:v>SKU00828</x:v>
      </x:c>
      <x:c r="B829" t="str">
        <x:v>Sample Product 00828</x:v>
      </x:c>
      <x:c r="C829" t="str">
        <x:v>Active</x:v>
      </x:c>
      <x:c r="D829" t="str">
        <x:v>2026-02</x:v>
      </x:c>
      <x:c r="E829" s="12" t="n">
        <x:v>118.19</x:v>
      </x:c>
      <x:c r="F829" s="10" t="n">
        <x:v>0.283</x:v>
      </x:c>
      <x:c r="G829" t="str">
        <x:v>Medical Devices</x:v>
      </x:c>
      <x:c r="H829" t="str">
        <x:v>First Aid</x:v>
      </x:c>
      <x:c r="I829" t="str">
        <x:v>MFG002</x:v>
      </x:c>
      <x:c r="J829" t="str">
        <x:v>Manufacturer 002</x:v>
      </x:c>
      <x:c r="K829" t="str">
        <x:v>SUP014</x:v>
      </x:c>
      <x:c r="L829" t="str">
        <x:v>Supplier 014</x:v>
      </x:c>
      <x:c r="M829" t="str">
        <x:v>REG-738982</x:v>
      </x:c>
      <x:c r="N829" t="str">
        <x:v>Generic Ingredient 166</x:v>
      </x:c>
      <x:c r="O829" t="str">
        <x:v>General Sale</x:v>
      </x:c>
      <x:c r="P829" t="n">
        <x:v>9</x:v>
      </x:c>
      <x:c r="Q829" t="n">
        <x:v>11</x:v>
      </x:c>
      <x:c r="R829" t="n">
        <x:v>0</x:v>
      </x:c>
      <x:c r="S829" s="12" t="n">
        <x:f>E829*Q829</x:f>
        <x:v>1300.09</x:v>
      </x:c>
      <x:c r="T829" s="12" t="n">
        <x:f>ROUND(S829*F829+0.000000001,2)</x:f>
        <x:v>367.93</x:v>
      </x:c>
      <x:c r="U829" s="12" t="n">
        <x:f>E829*R829</x:f>
        <x:v>0</x:v>
      </x:c>
      <x:c r="V829" t="str">
        <x:f>IF(AND(C829="Active",Q829=0),"Active Zero Sales","Not Zero Sales")</x:f>
        <x:v>Not Zero Sales</x:v>
      </x:c>
      <x:c r="W829" s="12" t="n">
        <x:f>IF(V829="Active Zero Sales",U829,0)</x:f>
        <x:v>0</x:v>
      </x:c>
      <x:c r="X829" t="str">
        <x:f>IF(E829&lt;25,"Low &lt; 25",IF(E829&lt;100,"Medium 25-99",IF(E829&lt;300,"High 100-299","Premium 300+")))</x:f>
        <x:v>High 100-299</x:v>
      </x:c>
      <x:c r="Y829" t="n">
        <x:f>IF(C829="Active",1,0)</x:f>
        <x:v>1</x:v>
      </x:c>
    </x:row>
    <x:row r="830">
      <x:c r="A830" t="str">
        <x:v>SKU00829</x:v>
      </x:c>
      <x:c r="B830" t="str">
        <x:v>Sample Product 00829</x:v>
      </x:c>
      <x:c r="C830" t="str">
        <x:v>Active</x:v>
      </x:c>
      <x:c r="D830" t="str">
        <x:v>2026-02</x:v>
      </x:c>
      <x:c r="E830" s="12" t="n">
        <x:v>6.62</x:v>
      </x:c>
      <x:c r="F830" s="10" t="n">
        <x:v>0.428</x:v>
      </x:c>
      <x:c r="G830" t="str">
        <x:v>OTC &amp; Wellness</x:v>
      </x:c>
      <x:c r="H830" t="str">
        <x:v>Cold &amp; Allergy</x:v>
      </x:c>
      <x:c r="I830" t="str">
        <x:v>MFG014</x:v>
      </x:c>
      <x:c r="J830" t="str">
        <x:v>Manufacturer 014</x:v>
      </x:c>
      <x:c r="K830" t="str">
        <x:v>SUP027</x:v>
      </x:c>
      <x:c r="L830" t="str">
        <x:v>Supplier 027</x:v>
      </x:c>
      <x:c r="M830" t="str">
        <x:v>REG-316158</x:v>
      </x:c>
      <x:c r="N830" t="str">
        <x:v>Generic Ingredient 029</x:v>
      </x:c>
      <x:c r="O830" t="str">
        <x:v>General Sale</x:v>
      </x:c>
      <x:c r="P830" t="n">
        <x:v>41</x:v>
      </x:c>
      <x:c r="Q830" t="n">
        <x:v>32</x:v>
      </x:c>
      <x:c r="R830" t="n">
        <x:v>3</x:v>
      </x:c>
      <x:c r="S830" s="12" t="n">
        <x:f>E830*Q830</x:f>
        <x:v>211.84</x:v>
      </x:c>
      <x:c r="T830" s="12" t="n">
        <x:f>ROUND(S830*F830+0.000000001,2)</x:f>
        <x:v>90.67</x:v>
      </x:c>
      <x:c r="U830" s="12" t="n">
        <x:f>E830*R830</x:f>
        <x:v>19.86</x:v>
      </x:c>
      <x:c r="V830" t="str">
        <x:f>IF(AND(C830="Active",Q830=0),"Active Zero Sales","Not Zero Sales")</x:f>
        <x:v>Not Zero Sales</x:v>
      </x:c>
      <x:c r="W830" s="12" t="n">
        <x:f>IF(V830="Active Zero Sales",U830,0)</x:f>
        <x:v>0</x:v>
      </x:c>
      <x:c r="X830" t="str">
        <x:f>IF(E830&lt;25,"Low &lt; 25",IF(E830&lt;100,"Medium 25-99",IF(E830&lt;300,"High 100-299","Premium 300+")))</x:f>
        <x:v>Low &lt; 25</x:v>
      </x:c>
      <x:c r="Y830" t="n">
        <x:f>IF(C830="Active",1,0)</x:f>
        <x:v>1</x:v>
      </x:c>
    </x:row>
    <x:row r="831">
      <x:c r="A831" t="str">
        <x:v>SKU00830</x:v>
      </x:c>
      <x:c r="B831" t="str">
        <x:v>Sample Product 00830</x:v>
      </x:c>
      <x:c r="C831" t="str">
        <x:v>Active</x:v>
      </x:c>
      <x:c r="D831" t="str">
        <x:v>2026-01</x:v>
      </x:c>
      <x:c r="E831" s="12" t="n">
        <x:v>211.85</x:v>
      </x:c>
      <x:c r="F831" s="10" t="n">
        <x:v>0.347</x:v>
      </x:c>
      <x:c r="G831" t="str">
        <x:v>Nutrition</x:v>
      </x:c>
      <x:c r="H831" t="str">
        <x:v>Adult Nutrition</x:v>
      </x:c>
      <x:c r="I831" t="str">
        <x:v>MFG004</x:v>
      </x:c>
      <x:c r="J831" t="str">
        <x:v>Manufacturer 004</x:v>
      </x:c>
      <x:c r="K831" t="str">
        <x:v>SUP013</x:v>
      </x:c>
      <x:c r="L831" t="str">
        <x:v>Supplier 013</x:v>
      </x:c>
      <x:c r="M831" t="str">
        <x:v>REG-590624</x:v>
      </x:c>
      <x:c r="N831" t="str">
        <x:v>Generic Ingredient 176</x:v>
      </x:c>
      <x:c r="O831" t="str">
        <x:v>General Sale</x:v>
      </x:c>
      <x:c r="P831" t="n">
        <x:v>24</x:v>
      </x:c>
      <x:c r="Q831" t="n">
        <x:v>15</x:v>
      </x:c>
      <x:c r="R831" t="n">
        <x:v>10</x:v>
      </x:c>
      <x:c r="S831" s="12" t="n">
        <x:f>E831*Q831</x:f>
        <x:v>3177.75</x:v>
      </x:c>
      <x:c r="T831" s="12" t="n">
        <x:f>ROUND(S831*F831+0.000000001,2)</x:f>
        <x:v>1102.68</x:v>
      </x:c>
      <x:c r="U831" s="12" t="n">
        <x:f>E831*R831</x:f>
        <x:v>2118.5</x:v>
      </x:c>
      <x:c r="V831" t="str">
        <x:f>IF(AND(C831="Active",Q831=0),"Active Zero Sales","Not Zero Sales")</x:f>
        <x:v>Not Zero Sales</x:v>
      </x:c>
      <x:c r="W831" s="12" t="n">
        <x:f>IF(V831="Active Zero Sales",U831,0)</x:f>
        <x:v>0</x:v>
      </x:c>
      <x:c r="X831" t="str">
        <x:f>IF(E831&lt;25,"Low &lt; 25",IF(E831&lt;100,"Medium 25-99",IF(E831&lt;300,"High 100-299","Premium 300+")))</x:f>
        <x:v>High 100-299</x:v>
      </x:c>
      <x:c r="Y831" t="n">
        <x:f>IF(C831="Active",1,0)</x:f>
        <x:v>1</x:v>
      </x:c>
    </x:row>
    <x:row r="832">
      <x:c r="A832" t="str">
        <x:v>SKU00831</x:v>
      </x:c>
      <x:c r="B832" t="str">
        <x:v>Sample Product 00831</x:v>
      </x:c>
      <x:c r="C832" t="str">
        <x:v>Active</x:v>
      </x:c>
      <x:c r="D832" t="str">
        <x:v>2026-03</x:v>
      </x:c>
      <x:c r="E832" s="12" t="n">
        <x:v>62.79</x:v>
      </x:c>
      <x:c r="F832" s="10" t="n">
        <x:v>0.396</x:v>
      </x:c>
      <x:c r="G832" t="str">
        <x:v>Personal Care</x:v>
      </x:c>
      <x:c r="H832" t="str">
        <x:v>Oral Care</x:v>
      </x:c>
      <x:c r="I832" t="str">
        <x:v>MFG012</x:v>
      </x:c>
      <x:c r="J832" t="str">
        <x:v>Manufacturer 012</x:v>
      </x:c>
      <x:c r="K832" t="str">
        <x:v>SUP028</x:v>
      </x:c>
      <x:c r="L832" t="str">
        <x:v>Supplier 028</x:v>
      </x:c>
      <x:c r="M832" t="str">
        <x:v>REG-274435</x:v>
      </x:c>
      <x:c r="N832" t="str">
        <x:v>Generic Ingredient 007</x:v>
      </x:c>
      <x:c r="O832" t="str">
        <x:v>General Sale</x:v>
      </x:c>
      <x:c r="P832" t="n">
        <x:v>66</x:v>
      </x:c>
      <x:c r="Q832" t="n">
        <x:v>28</x:v>
      </x:c>
      <x:c r="R832" t="n">
        <x:v>11</x:v>
      </x:c>
      <x:c r="S832" s="12" t="n">
        <x:f>E832*Q832</x:f>
        <x:v>1758.12</x:v>
      </x:c>
      <x:c r="T832" s="12" t="n">
        <x:f>ROUND(S832*F832+0.000000001,2)</x:f>
        <x:v>696.22</x:v>
      </x:c>
      <x:c r="U832" s="12" t="n">
        <x:f>E832*R832</x:f>
        <x:v>690.6899999999999</x:v>
      </x:c>
      <x:c r="V832" t="str">
        <x:f>IF(AND(C832="Active",Q832=0),"Active Zero Sales","Not Zero Sales")</x:f>
        <x:v>Not Zero Sales</x:v>
      </x:c>
      <x:c r="W832" s="12" t="n">
        <x:f>IF(V832="Active Zero Sales",U832,0)</x:f>
        <x:v>0</x:v>
      </x:c>
      <x:c r="X832" t="str">
        <x:f>IF(E832&lt;25,"Low &lt; 25",IF(E832&lt;100,"Medium 25-99",IF(E832&lt;300,"High 100-299","Premium 300+")))</x:f>
        <x:v>Medium 25-99</x:v>
      </x:c>
      <x:c r="Y832" t="n">
        <x:f>IF(C832="Active",1,0)</x:f>
        <x:v>1</x:v>
      </x:c>
    </x:row>
    <x:row r="833">
      <x:c r="A833" t="str">
        <x:v>SKU00832</x:v>
      </x:c>
      <x:c r="B833" t="str">
        <x:v>Sample Product 00832</x:v>
      </x:c>
      <x:c r="C833" t="str">
        <x:v>Active</x:v>
      </x:c>
      <x:c r="D833" t="str">
        <x:v>2026-03</x:v>
      </x:c>
      <x:c r="E833" s="12" t="n">
        <x:v>186.45</x:v>
      </x:c>
      <x:c r="F833" s="10" t="n">
        <x:v>0.211</x:v>
      </x:c>
      <x:c r="G833" t="str">
        <x:v>Medical Devices</x:v>
      </x:c>
      <x:c r="H833" t="str">
        <x:v>First Aid</x:v>
      </x:c>
      <x:c r="I833" t="str">
        <x:v>MFG008</x:v>
      </x:c>
      <x:c r="J833" t="str">
        <x:v>Manufacturer 008</x:v>
      </x:c>
      <x:c r="K833" t="str">
        <x:v>SUP013</x:v>
      </x:c>
      <x:c r="L833" t="str">
        <x:v>Supplier 013</x:v>
      </x:c>
      <x:c r="M833" t="str">
        <x:v>REG-483255</x:v>
      </x:c>
      <x:c r="N833" t="str">
        <x:v>Generic Ingredient 091</x:v>
      </x:c>
      <x:c r="O833" t="str">
        <x:v>General Sale</x:v>
      </x:c>
      <x:c r="P833" t="n">
        <x:v>48</x:v>
      </x:c>
      <x:c r="Q833" t="n">
        <x:v>15</x:v>
      </x:c>
      <x:c r="R833" t="n">
        <x:v>2</x:v>
      </x:c>
      <x:c r="S833" s="12" t="n">
        <x:f>E833*Q833</x:f>
        <x:v>2796.75</x:v>
      </x:c>
      <x:c r="T833" s="12" t="n">
        <x:f>ROUND(S833*F833+0.000000001,2)</x:f>
        <x:v>590.11</x:v>
      </x:c>
      <x:c r="U833" s="12" t="n">
        <x:f>E833*R833</x:f>
        <x:v>372.9</x:v>
      </x:c>
      <x:c r="V833" t="str">
        <x:f>IF(AND(C833="Active",Q833=0),"Active Zero Sales","Not Zero Sales")</x:f>
        <x:v>Not Zero Sales</x:v>
      </x:c>
      <x:c r="W833" s="12" t="n">
        <x:f>IF(V833="Active Zero Sales",U833,0)</x:f>
        <x:v>0</x:v>
      </x:c>
      <x:c r="X833" t="str">
        <x:f>IF(E833&lt;25,"Low &lt; 25",IF(E833&lt;100,"Medium 25-99",IF(E833&lt;300,"High 100-299","Premium 300+")))</x:f>
        <x:v>High 100-299</x:v>
      </x:c>
      <x:c r="Y833" t="n">
        <x:f>IF(C833="Active",1,0)</x:f>
        <x:v>1</x:v>
      </x:c>
    </x:row>
    <x:row r="834">
      <x:c r="A834" t="str">
        <x:v>SKU00833</x:v>
      </x:c>
      <x:c r="B834" t="str">
        <x:v>Sample Product 00833</x:v>
      </x:c>
      <x:c r="C834" t="str">
        <x:v>Active</x:v>
      </x:c>
      <x:c r="D834" t="str">
        <x:v>2026-02</x:v>
      </x:c>
      <x:c r="E834" s="12" t="n">
        <x:v>157.48</x:v>
      </x:c>
      <x:c r="F834" s="10" t="n">
        <x:v>0.315</x:v>
      </x:c>
      <x:c r="G834" t="str">
        <x:v>Personal Care</x:v>
      </x:c>
      <x:c r="H834" t="str">
        <x:v>Hygiene</x:v>
      </x:c>
      <x:c r="I834" t="str">
        <x:v>MFG020</x:v>
      </x:c>
      <x:c r="J834" t="str">
        <x:v>Manufacturer 020</x:v>
      </x:c>
      <x:c r="K834" t="str">
        <x:v>SUP022</x:v>
      </x:c>
      <x:c r="L834" t="str">
        <x:v>Supplier 022</x:v>
      </x:c>
      <x:c r="M834" t="str">
        <x:v>REG-838830</x:v>
      </x:c>
      <x:c r="N834" t="str">
        <x:v>Generic Ingredient 145</x:v>
      </x:c>
      <x:c r="O834" t="str">
        <x:v>General Sale</x:v>
      </x:c>
      <x:c r="P834" t="n">
        <x:v>23</x:v>
      </x:c>
      <x:c r="Q834" t="n">
        <x:v>6</x:v>
      </x:c>
      <x:c r="R834" t="n">
        <x:v>8</x:v>
      </x:c>
      <x:c r="S834" s="12" t="n">
        <x:f>E834*Q834</x:f>
        <x:v>944.8799999999999</x:v>
      </x:c>
      <x:c r="T834" s="12" t="n">
        <x:f>ROUND(S834*F834+0.000000001,2)</x:f>
        <x:v>297.64</x:v>
      </x:c>
      <x:c r="U834" s="12" t="n">
        <x:f>E834*R834</x:f>
        <x:v>1259.84</x:v>
      </x:c>
      <x:c r="V834" t="str">
        <x:f>IF(AND(C834="Active",Q834=0),"Active Zero Sales","Not Zero Sales")</x:f>
        <x:v>Not Zero Sales</x:v>
      </x:c>
      <x:c r="W834" s="12" t="n">
        <x:f>IF(V834="Active Zero Sales",U834,0)</x:f>
        <x:v>0</x:v>
      </x:c>
      <x:c r="X834" t="str">
        <x:f>IF(E834&lt;25,"Low &lt; 25",IF(E834&lt;100,"Medium 25-99",IF(E834&lt;300,"High 100-299","Premium 300+")))</x:f>
        <x:v>High 100-299</x:v>
      </x:c>
      <x:c r="Y834" t="n">
        <x:f>IF(C834="Active",1,0)</x:f>
        <x:v>1</x:v>
      </x:c>
    </x:row>
    <x:row r="835">
      <x:c r="A835" t="str">
        <x:v>SKU00834</x:v>
      </x:c>
      <x:c r="B835" t="str">
        <x:v>Sample Product 00834</x:v>
      </x:c>
      <x:c r="C835" t="str">
        <x:v>Active</x:v>
      </x:c>
      <x:c r="D835" t="str">
        <x:v>2026-02</x:v>
      </x:c>
      <x:c r="E835" s="12" t="n">
        <x:v>23.28</x:v>
      </x:c>
      <x:c r="F835" s="10" t="n">
        <x:v>0.306</x:v>
      </x:c>
      <x:c r="G835" t="str">
        <x:v>Medical Devices</x:v>
      </x:c>
      <x:c r="H835" t="str">
        <x:v>Home Diagnostics</x:v>
      </x:c>
      <x:c r="I835" t="str">
        <x:v>MFG010</x:v>
      </x:c>
      <x:c r="J835" t="str">
        <x:v>Manufacturer 010</x:v>
      </x:c>
      <x:c r="K835" t="str">
        <x:v>SUP003</x:v>
      </x:c>
      <x:c r="L835" t="str">
        <x:v>Supplier 003</x:v>
      </x:c>
      <x:c r="M835" t="str">
        <x:v>REG-196638</x:v>
      </x:c>
      <x:c r="N835" t="str">
        <x:v>Generic Ingredient 152</x:v>
      </x:c>
      <x:c r="O835" t="str">
        <x:v>General Sale</x:v>
      </x:c>
      <x:c r="P835" t="n">
        <x:v>54</x:v>
      </x:c>
      <x:c r="Q835" t="n">
        <x:v>13</x:v>
      </x:c>
      <x:c r="R835" t="n">
        <x:v>8</x:v>
      </x:c>
      <x:c r="S835" s="12" t="n">
        <x:f>E835*Q835</x:f>
        <x:v>302.64</x:v>
      </x:c>
      <x:c r="T835" s="12" t="n">
        <x:f>ROUND(S835*F835+0.000000001,2)</x:f>
        <x:v>92.61</x:v>
      </x:c>
      <x:c r="U835" s="12" t="n">
        <x:f>E835*R835</x:f>
        <x:v>186.24</x:v>
      </x:c>
      <x:c r="V835" t="str">
        <x:f>IF(AND(C835="Active",Q835=0),"Active Zero Sales","Not Zero Sales")</x:f>
        <x:v>Not Zero Sales</x:v>
      </x:c>
      <x:c r="W835" s="12" t="n">
        <x:f>IF(V835="Active Zero Sales",U835,0)</x:f>
        <x:v>0</x:v>
      </x:c>
      <x:c r="X835" t="str">
        <x:f>IF(E835&lt;25,"Low &lt; 25",IF(E835&lt;100,"Medium 25-99",IF(E835&lt;300,"High 100-299","Premium 300+")))</x:f>
        <x:v>Low &lt; 25</x:v>
      </x:c>
      <x:c r="Y835" t="n">
        <x:f>IF(C835="Active",1,0)</x:f>
        <x:v>1</x:v>
      </x:c>
    </x:row>
    <x:row r="836">
      <x:c r="A836" t="str">
        <x:v>SKU00835</x:v>
      </x:c>
      <x:c r="B836" t="str">
        <x:v>Sample Product 00835</x:v>
      </x:c>
      <x:c r="C836" t="str">
        <x:v>Active</x:v>
      </x:c>
      <x:c r="D836" t="str">
        <x:v>2026-02</x:v>
      </x:c>
      <x:c r="E836" s="12" t="n">
        <x:v>49.53</x:v>
      </x:c>
      <x:c r="F836" s="10" t="n">
        <x:v>0.375</x:v>
      </x:c>
      <x:c r="G836" t="str">
        <x:v>General Merchandise</x:v>
      </x:c>
      <x:c r="H836" t="str">
        <x:v>Baby Essentials</x:v>
      </x:c>
      <x:c r="I836" t="str">
        <x:v>MFG002</x:v>
      </x:c>
      <x:c r="J836" t="str">
        <x:v>Manufacturer 002</x:v>
      </x:c>
      <x:c r="K836" t="str">
        <x:v>SUP012</x:v>
      </x:c>
      <x:c r="L836" t="str">
        <x:v>Supplier 012</x:v>
      </x:c>
      <x:c r="M836" t="str">
        <x:v>REG-244520</x:v>
      </x:c>
      <x:c r="N836" t="str">
        <x:v>Generic Ingredient 077</x:v>
      </x:c>
      <x:c r="O836" t="str">
        <x:v>General Sale</x:v>
      </x:c>
      <x:c r="P836" t="n">
        <x:v>133</x:v>
      </x:c>
      <x:c r="Q836" t="n">
        <x:v>66</x:v>
      </x:c>
      <x:c r="R836" t="n">
        <x:v>41</x:v>
      </x:c>
      <x:c r="S836" s="12" t="n">
        <x:f>E836*Q836</x:f>
        <x:v>3268.98</x:v>
      </x:c>
      <x:c r="T836" s="12" t="n">
        <x:f>ROUND(S836*F836+0.000000001,2)</x:f>
        <x:v>1225.87</x:v>
      </x:c>
      <x:c r="U836" s="12" t="n">
        <x:f>E836*R836</x:f>
        <x:v>2030.73</x:v>
      </x:c>
      <x:c r="V836" t="str">
        <x:f>IF(AND(C836="Active",Q836=0),"Active Zero Sales","Not Zero Sales")</x:f>
        <x:v>Not Zero Sales</x:v>
      </x:c>
      <x:c r="W836" s="12" t="n">
        <x:f>IF(V836="Active Zero Sales",U836,0)</x:f>
        <x:v>0</x:v>
      </x:c>
      <x:c r="X836" t="str">
        <x:f>IF(E836&lt;25,"Low &lt; 25",IF(E836&lt;100,"Medium 25-99",IF(E836&lt;300,"High 100-299","Premium 300+")))</x:f>
        <x:v>Medium 25-99</x:v>
      </x:c>
      <x:c r="Y836" t="n">
        <x:f>IF(C836="Active",1,0)</x:f>
        <x:v>1</x:v>
      </x:c>
    </x:row>
    <x:row r="837">
      <x:c r="A837" t="str">
        <x:v>SKU00836</x:v>
      </x:c>
      <x:c r="B837" t="str">
        <x:v>Sample Product 00836</x:v>
      </x:c>
      <x:c r="C837" t="str">
        <x:v>Active</x:v>
      </x:c>
      <x:c r="D837" t="str">
        <x:v>2026-06</x:v>
      </x:c>
      <x:c r="E837" s="12" t="n">
        <x:v>84.42</x:v>
      </x:c>
      <x:c r="F837" s="10" t="n">
        <x:v>0.27</x:v>
      </x:c>
      <x:c r="G837" t="str">
        <x:v>Medical Devices</x:v>
      </x:c>
      <x:c r="H837" t="str">
        <x:v>First Aid</x:v>
      </x:c>
      <x:c r="I837" t="str">
        <x:v>MFG007</x:v>
      </x:c>
      <x:c r="J837" t="str">
        <x:v>Manufacturer 007</x:v>
      </x:c>
      <x:c r="K837" t="str">
        <x:v>SUP020</x:v>
      </x:c>
      <x:c r="L837" t="str">
        <x:v>Supplier 020</x:v>
      </x:c>
      <x:c r="M837" t="str">
        <x:v>REG-721721</x:v>
      </x:c>
      <x:c r="N837" t="str">
        <x:v>Generic Ingredient 021</x:v>
      </x:c>
      <x:c r="O837" t="str">
        <x:v>General Sale</x:v>
      </x:c>
      <x:c r="P837" t="n">
        <x:v>40</x:v>
      </x:c>
      <x:c r="Q837" t="n">
        <x:v>14</x:v>
      </x:c>
      <x:c r="R837" t="n">
        <x:v>17</x:v>
      </x:c>
      <x:c r="S837" s="12" t="n">
        <x:f>E837*Q837</x:f>
        <x:v>1181.88</x:v>
      </x:c>
      <x:c r="T837" s="12" t="n">
        <x:f>ROUND(S837*F837+0.000000001,2)</x:f>
        <x:v>319.11</x:v>
      </x:c>
      <x:c r="U837" s="12" t="n">
        <x:f>E837*R837</x:f>
        <x:v>1435.14</x:v>
      </x:c>
      <x:c r="V837" t="str">
        <x:f>IF(AND(C837="Active",Q837=0),"Active Zero Sales","Not Zero Sales")</x:f>
        <x:v>Not Zero Sales</x:v>
      </x:c>
      <x:c r="W837" s="12" t="n">
        <x:f>IF(V837="Active Zero Sales",U837,0)</x:f>
        <x:v>0</x:v>
      </x:c>
      <x:c r="X837" t="str">
        <x:f>IF(E837&lt;25,"Low &lt; 25",IF(E837&lt;100,"Medium 25-99",IF(E837&lt;300,"High 100-299","Premium 300+")))</x:f>
        <x:v>Medium 25-99</x:v>
      </x:c>
      <x:c r="Y837" t="n">
        <x:f>IF(C837="Active",1,0)</x:f>
        <x:v>1</x:v>
      </x:c>
    </x:row>
    <x:row r="838">
      <x:c r="A838" t="str">
        <x:v>SKU00837</x:v>
      </x:c>
      <x:c r="B838" t="str">
        <x:v>Sample Product 00837</x:v>
      </x:c>
      <x:c r="C838" t="str">
        <x:v>Active</x:v>
      </x:c>
      <x:c r="D838" t="str">
        <x:v>2026-05</x:v>
      </x:c>
      <x:c r="E838" s="12" t="n">
        <x:v>14</x:v>
      </x:c>
      <x:c r="F838" s="10" t="n">
        <x:v>0.346</x:v>
      </x:c>
      <x:c r="G838" t="str">
        <x:v>General Merchandise</x:v>
      </x:c>
      <x:c r="H838" t="str">
        <x:v>Accessories</x:v>
      </x:c>
      <x:c r="I838" t="str">
        <x:v>MFG007</x:v>
      </x:c>
      <x:c r="J838" t="str">
        <x:v>Manufacturer 007</x:v>
      </x:c>
      <x:c r="K838" t="str">
        <x:v>SUP023</x:v>
      </x:c>
      <x:c r="L838" t="str">
        <x:v>Supplier 023</x:v>
      </x:c>
      <x:c r="M838" t="str">
        <x:v>REG-162206</x:v>
      </x:c>
      <x:c r="N838" t="str">
        <x:v>Generic Ingredient 125</x:v>
      </x:c>
      <x:c r="O838" t="str">
        <x:v>General Sale</x:v>
      </x:c>
      <x:c r="P838" t="n">
        <x:v>93</x:v>
      </x:c>
      <x:c r="Q838" t="n">
        <x:v>0</x:v>
      </x:c>
      <x:c r="R838" t="n">
        <x:v>62</x:v>
      </x:c>
      <x:c r="S838" s="12" t="n">
        <x:f>E838*Q838</x:f>
        <x:v>0</x:v>
      </x:c>
      <x:c r="T838" s="12" t="n">
        <x:f>ROUND(S838*F838+0.000000001,2)</x:f>
        <x:v>0</x:v>
      </x:c>
      <x:c r="U838" s="12" t="n">
        <x:f>E838*R838</x:f>
        <x:v>868</x:v>
      </x:c>
      <x:c r="V838" t="str">
        <x:f>IF(AND(C838="Active",Q838=0),"Active Zero Sales","Not Zero Sales")</x:f>
        <x:v>Active Zero Sales</x:v>
      </x:c>
      <x:c r="W838" s="12" t="n">
        <x:f>IF(V838="Active Zero Sales",U838,0)</x:f>
        <x:v>868</x:v>
      </x:c>
      <x:c r="X838" t="str">
        <x:f>IF(E838&lt;25,"Low &lt; 25",IF(E838&lt;100,"Medium 25-99",IF(E838&lt;300,"High 100-299","Premium 300+")))</x:f>
        <x:v>Low &lt; 25</x:v>
      </x:c>
      <x:c r="Y838" t="n">
        <x:f>IF(C838="Active",1,0)</x:f>
        <x:v>1</x:v>
      </x:c>
    </x:row>
    <x:row r="839">
      <x:c r="A839" t="str">
        <x:v>SKU00838</x:v>
      </x:c>
      <x:c r="B839" t="str">
        <x:v>Sample Product 00838</x:v>
      </x:c>
      <x:c r="C839" t="str">
        <x:v>Blocked</x:v>
      </x:c>
      <x:c r="D839" t="str">
        <x:v>2026-06</x:v>
      </x:c>
      <x:c r="E839" s="12" t="n">
        <x:v>34.55</x:v>
      </x:c>
      <x:c r="F839" s="10" t="n">
        <x:v>0.332</x:v>
      </x:c>
      <x:c r="G839" t="str">
        <x:v>Personal Care</x:v>
      </x:c>
      <x:c r="H839" t="str">
        <x:v>Oral Care</x:v>
      </x:c>
      <x:c r="I839" t="str">
        <x:v>MFG020</x:v>
      </x:c>
      <x:c r="J839" t="str">
        <x:v>Manufacturer 020</x:v>
      </x:c>
      <x:c r="K839" t="str">
        <x:v>SUP001</x:v>
      </x:c>
      <x:c r="L839" t="str">
        <x:v>Supplier 001</x:v>
      </x:c>
      <x:c r="M839" t="str">
        <x:v>REG-609395</x:v>
      </x:c>
      <x:c r="N839" t="str">
        <x:v>Generic Ingredient 096</x:v>
      </x:c>
      <x:c r="O839" t="str">
        <x:v>Pharmacy Only</x:v>
      </x:c>
      <x:c r="P839" t="n">
        <x:v>32</x:v>
      </x:c>
      <x:c r="Q839" t="n">
        <x:v>0</x:v>
      </x:c>
      <x:c r="R839" t="n">
        <x:v>0</x:v>
      </x:c>
      <x:c r="S839" s="12" t="n">
        <x:f>E839*Q839</x:f>
        <x:v>0</x:v>
      </x:c>
      <x:c r="T839" s="12" t="n">
        <x:f>ROUND(S839*F839+0.000000001,2)</x:f>
        <x:v>0</x:v>
      </x:c>
      <x:c r="U839" s="12" t="n">
        <x:f>E839*R839</x:f>
        <x:v>0</x:v>
      </x:c>
      <x:c r="V839" t="str">
        <x:f>IF(AND(C839="Active",Q839=0),"Active Zero Sales","Not Zero Sales")</x:f>
        <x:v>Not Zero Sales</x:v>
      </x:c>
      <x:c r="W839" s="12" t="n">
        <x:f>IF(V839="Active Zero Sales",U839,0)</x:f>
        <x:v>0</x:v>
      </x:c>
      <x:c r="X839" t="str">
        <x:f>IF(E839&lt;25,"Low &lt; 25",IF(E839&lt;100,"Medium 25-99",IF(E839&lt;300,"High 100-299","Premium 300+")))</x:f>
        <x:v>Medium 25-99</x:v>
      </x:c>
      <x:c r="Y839" t="n">
        <x:f>IF(C839="Active",1,0)</x:f>
        <x:v>0</x:v>
      </x:c>
    </x:row>
    <x:row r="840">
      <x:c r="A840" t="str">
        <x:v>SKU00839</x:v>
      </x:c>
      <x:c r="B840" t="str">
        <x:v>Sample Product 00839</x:v>
      </x:c>
      <x:c r="C840" t="str">
        <x:v>Active</x:v>
      </x:c>
      <x:c r="D840" t="str">
        <x:v>2026-04</x:v>
      </x:c>
      <x:c r="E840" s="12" t="n">
        <x:v>19.17</x:v>
      </x:c>
      <x:c r="F840" s="10" t="n">
        <x:v>0.266</x:v>
      </x:c>
      <x:c r="G840" t="str">
        <x:v>OTC &amp; Wellness</x:v>
      </x:c>
      <x:c r="H840" t="str">
        <x:v>Digestive Care</x:v>
      </x:c>
      <x:c r="I840" t="str">
        <x:v>MFG014</x:v>
      </x:c>
      <x:c r="J840" t="str">
        <x:v>Manufacturer 014</x:v>
      </x:c>
      <x:c r="K840" t="str">
        <x:v>SUP007</x:v>
      </x:c>
      <x:c r="L840" t="str">
        <x:v>Supplier 007</x:v>
      </x:c>
      <x:c r="M840" t="str">
        <x:v>REG-997345</x:v>
      </x:c>
      <x:c r="N840" t="str">
        <x:v>Generic Ingredient 037</x:v>
      </x:c>
      <x:c r="O840" t="str">
        <x:v>General Sale</x:v>
      </x:c>
      <x:c r="P840" t="n">
        <x:v>99</x:v>
      </x:c>
      <x:c r="Q840" t="n">
        <x:v>47</x:v>
      </x:c>
      <x:c r="R840" t="n">
        <x:v>22</x:v>
      </x:c>
      <x:c r="S840" s="12" t="n">
        <x:f>E840*Q840</x:f>
        <x:v>900.9900000000001</x:v>
      </x:c>
      <x:c r="T840" s="12" t="n">
        <x:f>ROUND(S840*F840+0.000000001,2)</x:f>
        <x:v>239.66</x:v>
      </x:c>
      <x:c r="U840" s="12" t="n">
        <x:f>E840*R840</x:f>
        <x:v>421.74</x:v>
      </x:c>
      <x:c r="V840" t="str">
        <x:f>IF(AND(C840="Active",Q840=0),"Active Zero Sales","Not Zero Sales")</x:f>
        <x:v>Not Zero Sales</x:v>
      </x:c>
      <x:c r="W840" s="12" t="n">
        <x:f>IF(V840="Active Zero Sales",U840,0)</x:f>
        <x:v>0</x:v>
      </x:c>
      <x:c r="X840" t="str">
        <x:f>IF(E840&lt;25,"Low &lt; 25",IF(E840&lt;100,"Medium 25-99",IF(E840&lt;300,"High 100-299","Premium 300+")))</x:f>
        <x:v>Low &lt; 25</x:v>
      </x:c>
      <x:c r="Y840" t="n">
        <x:f>IF(C840="Active",1,0)</x:f>
        <x:v>1</x:v>
      </x:c>
    </x:row>
    <x:row r="841">
      <x:c r="A841" t="str">
        <x:v>SKU00840</x:v>
      </x:c>
      <x:c r="B841" t="str">
        <x:v>Sample Product 00840</x:v>
      </x:c>
      <x:c r="C841" t="str">
        <x:v>Blocked</x:v>
      </x:c>
      <x:c r="D841" t="str">
        <x:v>2026-05</x:v>
      </x:c>
      <x:c r="E841" s="12" t="n">
        <x:v>55.2</x:v>
      </x:c>
      <x:c r="F841" s="10" t="n">
        <x:v>0.361</x:v>
      </x:c>
      <x:c r="G841" t="str">
        <x:v>Personal Care</x:v>
      </x:c>
      <x:c r="H841" t="str">
        <x:v>Hygiene</x:v>
      </x:c>
      <x:c r="I841" t="str">
        <x:v>MFG005</x:v>
      </x:c>
      <x:c r="J841" t="str">
        <x:v>Manufacturer 005</x:v>
      </x:c>
      <x:c r="K841" t="str">
        <x:v>SUP002</x:v>
      </x:c>
      <x:c r="L841" t="str">
        <x:v>Supplier 002</x:v>
      </x:c>
      <x:c r="M841" t="str">
        <x:v>REG-104049</x:v>
      </x:c>
      <x:c r="N841" t="str">
        <x:v>Generic Ingredient 099</x:v>
      </x:c>
      <x:c r="O841" t="str">
        <x:v>Pharmacy Only</x:v>
      </x:c>
      <x:c r="P841" t="n">
        <x:v>13</x:v>
      </x:c>
      <x:c r="Q841" t="n">
        <x:v>2</x:v>
      </x:c>
      <x:c r="R841" t="n">
        <x:v>0</x:v>
      </x:c>
      <x:c r="S841" s="12" t="n">
        <x:f>E841*Q841</x:f>
        <x:v>110.4</x:v>
      </x:c>
      <x:c r="T841" s="12" t="n">
        <x:f>ROUND(S841*F841+0.000000001,2)</x:f>
        <x:v>39.85</x:v>
      </x:c>
      <x:c r="U841" s="12" t="n">
        <x:f>E841*R841</x:f>
        <x:v>0</x:v>
      </x:c>
      <x:c r="V841" t="str">
        <x:f>IF(AND(C841="Active",Q841=0),"Active Zero Sales","Not Zero Sales")</x:f>
        <x:v>Not Zero Sales</x:v>
      </x:c>
      <x:c r="W841" s="12" t="n">
        <x:f>IF(V841="Active Zero Sales",U841,0)</x:f>
        <x:v>0</x:v>
      </x:c>
      <x:c r="X841" t="str">
        <x:f>IF(E841&lt;25,"Low &lt; 25",IF(E841&lt;100,"Medium 25-99",IF(E841&lt;300,"High 100-299","Premium 300+")))</x:f>
        <x:v>Medium 25-99</x:v>
      </x:c>
      <x:c r="Y841" t="n">
        <x:f>IF(C841="Active",1,0)</x:f>
        <x:v>0</x:v>
      </x:c>
    </x:row>
    <x:row r="842">
      <x:c r="A842" t="str">
        <x:v>SKU00841</x:v>
      </x:c>
      <x:c r="B842" t="str">
        <x:v>Sample Product 00841</x:v>
      </x:c>
      <x:c r="C842" t="str">
        <x:v>Active</x:v>
      </x:c>
      <x:c r="D842" t="str">
        <x:v>2026-06</x:v>
      </x:c>
      <x:c r="E842" s="12" t="n">
        <x:v>232.82</x:v>
      </x:c>
      <x:c r="F842" s="10" t="n">
        <x:v>0.247</x:v>
      </x:c>
      <x:c r="G842" t="str">
        <x:v>OTC &amp; Wellness</x:v>
      </x:c>
      <x:c r="H842" t="str">
        <x:v>Digestive Care</x:v>
      </x:c>
      <x:c r="I842" t="str">
        <x:v>MFG018</x:v>
      </x:c>
      <x:c r="J842" t="str">
        <x:v>Manufacturer 018</x:v>
      </x:c>
      <x:c r="K842" t="str">
        <x:v>SUP027</x:v>
      </x:c>
      <x:c r="L842" t="str">
        <x:v>Supplier 027</x:v>
      </x:c>
      <x:c r="M842" t="str">
        <x:v>REG-246543</x:v>
      </x:c>
      <x:c r="N842" t="str">
        <x:v>Generic Ingredient 169</x:v>
      </x:c>
      <x:c r="O842" t="str">
        <x:v>Pharmacy Only</x:v>
      </x:c>
      <x:c r="P842" t="n">
        <x:v>50</x:v>
      </x:c>
      <x:c r="Q842" t="n">
        <x:v>0</x:v>
      </x:c>
      <x:c r="R842" t="n">
        <x:v>45</x:v>
      </x:c>
      <x:c r="S842" s="12" t="n">
        <x:f>E842*Q842</x:f>
        <x:v>0</x:v>
      </x:c>
      <x:c r="T842" s="12" t="n">
        <x:f>ROUND(S842*F842+0.000000001,2)</x:f>
        <x:v>0</x:v>
      </x:c>
      <x:c r="U842" s="12" t="n">
        <x:f>E842*R842</x:f>
        <x:v>10476.9</x:v>
      </x:c>
      <x:c r="V842" t="str">
        <x:f>IF(AND(C842="Active",Q842=0),"Active Zero Sales","Not Zero Sales")</x:f>
        <x:v>Active Zero Sales</x:v>
      </x:c>
      <x:c r="W842" s="12" t="n">
        <x:f>IF(V842="Active Zero Sales",U842,0)</x:f>
        <x:v>10476.9</x:v>
      </x:c>
      <x:c r="X842" t="str">
        <x:f>IF(E842&lt;25,"Low &lt; 25",IF(E842&lt;100,"Medium 25-99",IF(E842&lt;300,"High 100-299","Premium 300+")))</x:f>
        <x:v>High 100-299</x:v>
      </x:c>
      <x:c r="Y842" t="n">
        <x:f>IF(C842="Active",1,0)</x:f>
        <x:v>1</x:v>
      </x:c>
    </x:row>
    <x:row r="843">
      <x:c r="A843" t="str">
        <x:v>SKU00842</x:v>
      </x:c>
      <x:c r="B843" t="str">
        <x:v>Sample Product 00842</x:v>
      </x:c>
      <x:c r="C843" t="str">
        <x:v>Active</x:v>
      </x:c>
      <x:c r="D843" t="str">
        <x:v>2026-05</x:v>
      </x:c>
      <x:c r="E843" s="12" t="n">
        <x:v>275.11</x:v>
      </x:c>
      <x:c r="F843" s="10" t="n">
        <x:v>0.357</x:v>
      </x:c>
      <x:c r="G843" t="str">
        <x:v>Medical Devices</x:v>
      </x:c>
      <x:c r="H843" t="str">
        <x:v>Home Diagnostics</x:v>
      </x:c>
      <x:c r="I843" t="str">
        <x:v>MFG011</x:v>
      </x:c>
      <x:c r="J843" t="str">
        <x:v>Manufacturer 011</x:v>
      </x:c>
      <x:c r="K843" t="str">
        <x:v>SUP003</x:v>
      </x:c>
      <x:c r="L843" t="str">
        <x:v>Supplier 003</x:v>
      </x:c>
      <x:c r="M843" t="str">
        <x:v>REG-996281</x:v>
      </x:c>
      <x:c r="N843" t="str">
        <x:v>Generic Ingredient 157</x:v>
      </x:c>
      <x:c r="O843" t="str">
        <x:v>General Sale</x:v>
      </x:c>
      <x:c r="P843" t="n">
        <x:v>26</x:v>
      </x:c>
      <x:c r="Q843" t="n">
        <x:v>12</x:v>
      </x:c>
      <x:c r="R843" t="n">
        <x:v>12</x:v>
      </x:c>
      <x:c r="S843" s="12" t="n">
        <x:f>E843*Q843</x:f>
        <x:v>3301.32</x:v>
      </x:c>
      <x:c r="T843" s="12" t="n">
        <x:f>ROUND(S843*F843+0.000000001,2)</x:f>
        <x:v>1178.57</x:v>
      </x:c>
      <x:c r="U843" s="12" t="n">
        <x:f>E843*R843</x:f>
        <x:v>3301.32</x:v>
      </x:c>
      <x:c r="V843" t="str">
        <x:f>IF(AND(C843="Active",Q843=0),"Active Zero Sales","Not Zero Sales")</x:f>
        <x:v>Not Zero Sales</x:v>
      </x:c>
      <x:c r="W843" s="12" t="n">
        <x:f>IF(V843="Active Zero Sales",U843,0)</x:f>
        <x:v>0</x:v>
      </x:c>
      <x:c r="X843" t="str">
        <x:f>IF(E843&lt;25,"Low &lt; 25",IF(E843&lt;100,"Medium 25-99",IF(E843&lt;300,"High 100-299","Premium 300+")))</x:f>
        <x:v>High 100-299</x:v>
      </x:c>
      <x:c r="Y843" t="n">
        <x:f>IF(C843="Active",1,0)</x:f>
        <x:v>1</x:v>
      </x:c>
    </x:row>
    <x:row r="844">
      <x:c r="A844" t="str">
        <x:v>SKU00843</x:v>
      </x:c>
      <x:c r="B844" t="str">
        <x:v>Sample Product 00843</x:v>
      </x:c>
      <x:c r="C844" t="str">
        <x:v>Blocked</x:v>
      </x:c>
      <x:c r="D844" t="str">
        <x:v>2026-04</x:v>
      </x:c>
      <x:c r="E844" s="12" t="n">
        <x:v>219.39</x:v>
      </x:c>
      <x:c r="F844" s="10" t="n">
        <x:v>0.398</x:v>
      </x:c>
      <x:c r="G844" t="str">
        <x:v>Personal Care</x:v>
      </x:c>
      <x:c r="H844" t="str">
        <x:v>Oral Care</x:v>
      </x:c>
      <x:c r="I844" t="str">
        <x:v>MFG013</x:v>
      </x:c>
      <x:c r="J844" t="str">
        <x:v>Manufacturer 013</x:v>
      </x:c>
      <x:c r="K844" t="str">
        <x:v>SUP006</x:v>
      </x:c>
      <x:c r="L844" t="str">
        <x:v>Supplier 006</x:v>
      </x:c>
      <x:c r="M844" t="str">
        <x:v>REG-800851</x:v>
      </x:c>
      <x:c r="N844" t="str">
        <x:v>Generic Ingredient 103</x:v>
      </x:c>
      <x:c r="O844" t="str">
        <x:v>Pharmacy Only</x:v>
      </x:c>
      <x:c r="P844" t="n">
        <x:v>57</x:v>
      </x:c>
      <x:c r="Q844" t="n">
        <x:v>13</x:v>
      </x:c>
      <x:c r="R844" t="n">
        <x:v>0</x:v>
      </x:c>
      <x:c r="S844" s="12" t="n">
        <x:f>E844*Q844</x:f>
        <x:v>2852.0699999999997</x:v>
      </x:c>
      <x:c r="T844" s="12" t="n">
        <x:f>ROUND(S844*F844+0.000000001,2)</x:f>
        <x:v>1135.12</x:v>
      </x:c>
      <x:c r="U844" s="12" t="n">
        <x:f>E844*R844</x:f>
        <x:v>0</x:v>
      </x:c>
      <x:c r="V844" t="str">
        <x:f>IF(AND(C844="Active",Q844=0),"Active Zero Sales","Not Zero Sales")</x:f>
        <x:v>Not Zero Sales</x:v>
      </x:c>
      <x:c r="W844" s="12" t="n">
        <x:f>IF(V844="Active Zero Sales",U844,0)</x:f>
        <x:v>0</x:v>
      </x:c>
      <x:c r="X844" t="str">
        <x:f>IF(E844&lt;25,"Low &lt; 25",IF(E844&lt;100,"Medium 25-99",IF(E844&lt;300,"High 100-299","Premium 300+")))</x:f>
        <x:v>High 100-299</x:v>
      </x:c>
      <x:c r="Y844" t="n">
        <x:f>IF(C844="Active",1,0)</x:f>
        <x:v>0</x:v>
      </x:c>
    </x:row>
    <x:row r="845">
      <x:c r="A845" t="str">
        <x:v>SKU00844</x:v>
      </x:c>
      <x:c r="B845" t="str">
        <x:v>Sample Product 00844</x:v>
      </x:c>
      <x:c r="C845" t="str">
        <x:v>Active</x:v>
      </x:c>
      <x:c r="D845" t="str">
        <x:v>2026-05</x:v>
      </x:c>
      <x:c r="E845" s="12" t="n">
        <x:v>241.17</x:v>
      </x:c>
      <x:c r="F845" s="10" t="n">
        <x:v>0.423</x:v>
      </x:c>
      <x:c r="G845" t="str">
        <x:v>OTC &amp; Wellness</x:v>
      </x:c>
      <x:c r="H845" t="str">
        <x:v>Pain Relief</x:v>
      </x:c>
      <x:c r="I845" t="str">
        <x:v>MFG006</x:v>
      </x:c>
      <x:c r="J845" t="str">
        <x:v>Manufacturer 006</x:v>
      </x:c>
      <x:c r="K845" t="str">
        <x:v>SUP030</x:v>
      </x:c>
      <x:c r="L845" t="str">
        <x:v>Supplier 030</x:v>
      </x:c>
      <x:c r="M845" t="str">
        <x:v>REG-132514</x:v>
      </x:c>
      <x:c r="N845" t="str">
        <x:v>Generic Ingredient 062</x:v>
      </x:c>
      <x:c r="O845" t="str">
        <x:v>Pharmacy Only</x:v>
      </x:c>
      <x:c r="P845" t="n">
        <x:v>16</x:v>
      </x:c>
      <x:c r="Q845" t="n">
        <x:v>21</x:v>
      </x:c>
      <x:c r="R845" t="n">
        <x:v>5</x:v>
      </x:c>
      <x:c r="S845" s="12" t="n">
        <x:f>E845*Q845</x:f>
        <x:v>5064.57</x:v>
      </x:c>
      <x:c r="T845" s="12" t="n">
        <x:f>ROUND(S845*F845+0.000000001,2)</x:f>
        <x:v>2142.31</x:v>
      </x:c>
      <x:c r="U845" s="12" t="n">
        <x:f>E845*R845</x:f>
        <x:v>1205.85</x:v>
      </x:c>
      <x:c r="V845" t="str">
        <x:f>IF(AND(C845="Active",Q845=0),"Active Zero Sales","Not Zero Sales")</x:f>
        <x:v>Not Zero Sales</x:v>
      </x:c>
      <x:c r="W845" s="12" t="n">
        <x:f>IF(V845="Active Zero Sales",U845,0)</x:f>
        <x:v>0</x:v>
      </x:c>
      <x:c r="X845" t="str">
        <x:f>IF(E845&lt;25,"Low &lt; 25",IF(E845&lt;100,"Medium 25-99",IF(E845&lt;300,"High 100-299","Premium 300+")))</x:f>
        <x:v>High 100-299</x:v>
      </x:c>
      <x:c r="Y845" t="n">
        <x:f>IF(C845="Active",1,0)</x:f>
        <x:v>1</x:v>
      </x:c>
    </x:row>
    <x:row r="846">
      <x:c r="A846" t="str">
        <x:v>SKU00845</x:v>
      </x:c>
      <x:c r="B846" t="str">
        <x:v>Sample Product 00845</x:v>
      </x:c>
      <x:c r="C846" t="str">
        <x:v>Active</x:v>
      </x:c>
      <x:c r="D846" t="str">
        <x:v>2026-01</x:v>
      </x:c>
      <x:c r="E846" s="12" t="n">
        <x:v>13.62</x:v>
      </x:c>
      <x:c r="F846" s="10" t="n">
        <x:v>0.329</x:v>
      </x:c>
      <x:c r="G846" t="str">
        <x:v>Personal Care</x:v>
      </x:c>
      <x:c r="H846" t="str">
        <x:v>Hygiene</x:v>
      </x:c>
      <x:c r="I846" t="str">
        <x:v>MFG009</x:v>
      </x:c>
      <x:c r="J846" t="str">
        <x:v>Manufacturer 009</x:v>
      </x:c>
      <x:c r="K846" t="str">
        <x:v>SUP003</x:v>
      </x:c>
      <x:c r="L846" t="str">
        <x:v>Supplier 003</x:v>
      </x:c>
      <x:c r="M846" t="str">
        <x:v>REG-156635</x:v>
      </x:c>
      <x:c r="N846" t="str">
        <x:v>Generic Ingredient 069</x:v>
      </x:c>
      <x:c r="O846" t="str">
        <x:v>General Sale</x:v>
      </x:c>
      <x:c r="P846" t="n">
        <x:v>36</x:v>
      </x:c>
      <x:c r="Q846" t="n">
        <x:v>12</x:v>
      </x:c>
      <x:c r="R846" t="n">
        <x:v>9</x:v>
      </x:c>
      <x:c r="S846" s="12" t="n">
        <x:f>E846*Q846</x:f>
        <x:v>163.44</x:v>
      </x:c>
      <x:c r="T846" s="12" t="n">
        <x:f>ROUND(S846*F846+0.000000001,2)</x:f>
        <x:v>53.77</x:v>
      </x:c>
      <x:c r="U846" s="12" t="n">
        <x:f>E846*R846</x:f>
        <x:v>122.58</x:v>
      </x:c>
      <x:c r="V846" t="str">
        <x:f>IF(AND(C846="Active",Q846=0),"Active Zero Sales","Not Zero Sales")</x:f>
        <x:v>Not Zero Sales</x:v>
      </x:c>
      <x:c r="W846" s="12" t="n">
        <x:f>IF(V846="Active Zero Sales",U846,0)</x:f>
        <x:v>0</x:v>
      </x:c>
      <x:c r="X846" t="str">
        <x:f>IF(E846&lt;25,"Low &lt; 25",IF(E846&lt;100,"Medium 25-99",IF(E846&lt;300,"High 100-299","Premium 300+")))</x:f>
        <x:v>Low &lt; 25</x:v>
      </x:c>
      <x:c r="Y846" t="n">
        <x:f>IF(C846="Active",1,0)</x:f>
        <x:v>1</x:v>
      </x:c>
    </x:row>
    <x:row r="847">
      <x:c r="A847" t="str">
        <x:v>SKU00846</x:v>
      </x:c>
      <x:c r="B847" t="str">
        <x:v>Sample Product 00846</x:v>
      </x:c>
      <x:c r="C847" t="str">
        <x:v>Active</x:v>
      </x:c>
      <x:c r="D847" t="str">
        <x:v>2026-05</x:v>
      </x:c>
      <x:c r="E847" s="12" t="n">
        <x:v>151.09</x:v>
      </x:c>
      <x:c r="F847" s="10" t="n">
        <x:v>0.306</x:v>
      </x:c>
      <x:c r="G847" t="str">
        <x:v>Nutrition</x:v>
      </x:c>
      <x:c r="H847" t="str">
        <x:v>Hydration</x:v>
      </x:c>
      <x:c r="I847" t="str">
        <x:v>MFG019</x:v>
      </x:c>
      <x:c r="J847" t="str">
        <x:v>Manufacturer 019</x:v>
      </x:c>
      <x:c r="K847" t="str">
        <x:v>SUP008</x:v>
      </x:c>
      <x:c r="L847" t="str">
        <x:v>Supplier 008</x:v>
      </x:c>
      <x:c r="M847" t="str">
        <x:v>REG-856561</x:v>
      </x:c>
      <x:c r="N847" t="str">
        <x:v>Generic Ingredient 069</x:v>
      </x:c>
      <x:c r="O847" t="str">
        <x:v>General Sale</x:v>
      </x:c>
      <x:c r="P847" t="n">
        <x:v>80</x:v>
      </x:c>
      <x:c r="Q847" t="n">
        <x:v>43</x:v>
      </x:c>
      <x:c r="R847" t="n">
        <x:v>29</x:v>
      </x:c>
      <x:c r="S847" s="12" t="n">
        <x:f>E847*Q847</x:f>
        <x:v>6496.87</x:v>
      </x:c>
      <x:c r="T847" s="12" t="n">
        <x:f>ROUND(S847*F847+0.000000001,2)</x:f>
        <x:v>1988.04</x:v>
      </x:c>
      <x:c r="U847" s="12" t="n">
        <x:f>E847*R847</x:f>
        <x:v>4381.61</x:v>
      </x:c>
      <x:c r="V847" t="str">
        <x:f>IF(AND(C847="Active",Q847=0),"Active Zero Sales","Not Zero Sales")</x:f>
        <x:v>Not Zero Sales</x:v>
      </x:c>
      <x:c r="W847" s="12" t="n">
        <x:f>IF(V847="Active Zero Sales",U847,0)</x:f>
        <x:v>0</x:v>
      </x:c>
      <x:c r="X847" t="str">
        <x:f>IF(E847&lt;25,"Low &lt; 25",IF(E847&lt;100,"Medium 25-99",IF(E847&lt;300,"High 100-299","Premium 300+")))</x:f>
        <x:v>High 100-299</x:v>
      </x:c>
      <x:c r="Y847" t="n">
        <x:f>IF(C847="Active",1,0)</x:f>
        <x:v>1</x:v>
      </x:c>
    </x:row>
    <x:row r="848">
      <x:c r="A848" t="str">
        <x:v>SKU00847</x:v>
      </x:c>
      <x:c r="B848" t="str">
        <x:v>Sample Product 00847</x:v>
      </x:c>
      <x:c r="C848" t="str">
        <x:v>Active</x:v>
      </x:c>
      <x:c r="D848" t="str">
        <x:v>2026-06</x:v>
      </x:c>
      <x:c r="E848" s="12" t="n">
        <x:v>20.63</x:v>
      </x:c>
      <x:c r="F848" s="10" t="n">
        <x:v>0.465</x:v>
      </x:c>
      <x:c r="G848" t="str">
        <x:v>OTC &amp; Wellness</x:v>
      </x:c>
      <x:c r="H848" t="str">
        <x:v>Digestive Care</x:v>
      </x:c>
      <x:c r="I848" t="str">
        <x:v>MFG011</x:v>
      </x:c>
      <x:c r="J848" t="str">
        <x:v>Manufacturer 011</x:v>
      </x:c>
      <x:c r="K848" t="str">
        <x:v>SUP004</x:v>
      </x:c>
      <x:c r="L848" t="str">
        <x:v>Supplier 004</x:v>
      </x:c>
      <x:c r="M848" t="str">
        <x:v>REG-226066</x:v>
      </x:c>
      <x:c r="N848" t="str">
        <x:v>Generic Ingredient 136</x:v>
      </x:c>
      <x:c r="O848" t="str">
        <x:v>General Sale</x:v>
      </x:c>
      <x:c r="P848" t="n">
        <x:v>43</x:v>
      </x:c>
      <x:c r="Q848" t="n">
        <x:v>5</x:v>
      </x:c>
      <x:c r="R848" t="n">
        <x:v>0</x:v>
      </x:c>
      <x:c r="S848" s="12" t="n">
        <x:f>E848*Q848</x:f>
        <x:v>103.14999999999999</x:v>
      </x:c>
      <x:c r="T848" s="12" t="n">
        <x:f>ROUND(S848*F848+0.000000001,2)</x:f>
        <x:v>47.96</x:v>
      </x:c>
      <x:c r="U848" s="12" t="n">
        <x:f>E848*R848</x:f>
        <x:v>0</x:v>
      </x:c>
      <x:c r="V848" t="str">
        <x:f>IF(AND(C848="Active",Q848=0),"Active Zero Sales","Not Zero Sales")</x:f>
        <x:v>Not Zero Sales</x:v>
      </x:c>
      <x:c r="W848" s="12" t="n">
        <x:f>IF(V848="Active Zero Sales",U848,0)</x:f>
        <x:v>0</x:v>
      </x:c>
      <x:c r="X848" t="str">
        <x:f>IF(E848&lt;25,"Low &lt; 25",IF(E848&lt;100,"Medium 25-99",IF(E848&lt;300,"High 100-299","Premium 300+")))</x:f>
        <x:v>Low &lt; 25</x:v>
      </x:c>
      <x:c r="Y848" t="n">
        <x:f>IF(C848="Active",1,0)</x:f>
        <x:v>1</x:v>
      </x:c>
    </x:row>
    <x:row r="849">
      <x:c r="A849" t="str">
        <x:v>SKU00848</x:v>
      </x:c>
      <x:c r="B849" t="str">
        <x:v>Sample Product 00848</x:v>
      </x:c>
      <x:c r="C849" t="str">
        <x:v>Active</x:v>
      </x:c>
      <x:c r="D849" t="str">
        <x:v>2026-03</x:v>
      </x:c>
      <x:c r="E849" s="12" t="n">
        <x:v>78.52</x:v>
      </x:c>
      <x:c r="F849" s="10" t="n">
        <x:v>0.337</x:v>
      </x:c>
      <x:c r="G849" t="str">
        <x:v>OTC &amp; Wellness</x:v>
      </x:c>
      <x:c r="H849" t="str">
        <x:v>Digestive Care</x:v>
      </x:c>
      <x:c r="I849" t="str">
        <x:v>MFG019</x:v>
      </x:c>
      <x:c r="J849" t="str">
        <x:v>Manufacturer 019</x:v>
      </x:c>
      <x:c r="K849" t="str">
        <x:v>SUP007</x:v>
      </x:c>
      <x:c r="L849" t="str">
        <x:v>Supplier 007</x:v>
      </x:c>
      <x:c r="M849" t="str">
        <x:v>REG-249480</x:v>
      </x:c>
      <x:c r="N849" t="str">
        <x:v>Generic Ingredient 055</x:v>
      </x:c>
      <x:c r="O849" t="str">
        <x:v>Pharmacy Only</x:v>
      </x:c>
      <x:c r="P849" t="n">
        <x:v>33</x:v>
      </x:c>
      <x:c r="Q849" t="n">
        <x:v>6</x:v>
      </x:c>
      <x:c r="R849" t="n">
        <x:v>0</x:v>
      </x:c>
      <x:c r="S849" s="12" t="n">
        <x:f>E849*Q849</x:f>
        <x:v>471.12</x:v>
      </x:c>
      <x:c r="T849" s="12" t="n">
        <x:f>ROUND(S849*F849+0.000000001,2)</x:f>
        <x:v>158.77</x:v>
      </x:c>
      <x:c r="U849" s="12" t="n">
        <x:f>E849*R849</x:f>
        <x:v>0</x:v>
      </x:c>
      <x:c r="V849" t="str">
        <x:f>IF(AND(C849="Active",Q849=0),"Active Zero Sales","Not Zero Sales")</x:f>
        <x:v>Not Zero Sales</x:v>
      </x:c>
      <x:c r="W849" s="12" t="n">
        <x:f>IF(V849="Active Zero Sales",U849,0)</x:f>
        <x:v>0</x:v>
      </x:c>
      <x:c r="X849" t="str">
        <x:f>IF(E849&lt;25,"Low &lt; 25",IF(E849&lt;100,"Medium 25-99",IF(E849&lt;300,"High 100-299","Premium 300+")))</x:f>
        <x:v>Medium 25-99</x:v>
      </x:c>
      <x:c r="Y849" t="n">
        <x:f>IF(C849="Active",1,0)</x:f>
        <x:v>1</x:v>
      </x:c>
    </x:row>
    <x:row r="850">
      <x:c r="A850" t="str">
        <x:v>SKU00849</x:v>
      </x:c>
      <x:c r="B850" t="str">
        <x:v>Sample Product 00849</x:v>
      </x:c>
      <x:c r="C850" t="str">
        <x:v>Active</x:v>
      </x:c>
      <x:c r="D850" t="str">
        <x:v>2026-04</x:v>
      </x:c>
      <x:c r="E850" s="12" t="n">
        <x:v>296.41</x:v>
      </x:c>
      <x:c r="F850" s="10" t="n">
        <x:v>0.192</x:v>
      </x:c>
      <x:c r="G850" t="str">
        <x:v>Medical Devices</x:v>
      </x:c>
      <x:c r="H850" t="str">
        <x:v>Monitoring Supplies</x:v>
      </x:c>
      <x:c r="I850" t="str">
        <x:v>MFG005</x:v>
      </x:c>
      <x:c r="J850" t="str">
        <x:v>Manufacturer 005</x:v>
      </x:c>
      <x:c r="K850" t="str">
        <x:v>SUP007</x:v>
      </x:c>
      <x:c r="L850" t="str">
        <x:v>Supplier 007</x:v>
      </x:c>
      <x:c r="M850" t="str">
        <x:v>REG-656184</x:v>
      </x:c>
      <x:c r="N850" t="str">
        <x:v>Generic Ingredient 162</x:v>
      </x:c>
      <x:c r="O850" t="str">
        <x:v>General Sale</x:v>
      </x:c>
      <x:c r="P850" t="n">
        <x:v>31</x:v>
      </x:c>
      <x:c r="Q850" t="n">
        <x:v>13</x:v>
      </x:c>
      <x:c r="R850" t="n">
        <x:v>12</x:v>
      </x:c>
      <x:c r="S850" s="12" t="n">
        <x:f>E850*Q850</x:f>
        <x:v>3853.3300000000004</x:v>
      </x:c>
      <x:c r="T850" s="12" t="n">
        <x:f>ROUND(S850*F850+0.000000001,2)</x:f>
        <x:v>739.84</x:v>
      </x:c>
      <x:c r="U850" s="12" t="n">
        <x:f>E850*R850</x:f>
        <x:v>3556.92</x:v>
      </x:c>
      <x:c r="V850" t="str">
        <x:f>IF(AND(C850="Active",Q850=0),"Active Zero Sales","Not Zero Sales")</x:f>
        <x:v>Not Zero Sales</x:v>
      </x:c>
      <x:c r="W850" s="12" t="n">
        <x:f>IF(V850="Active Zero Sales",U850,0)</x:f>
        <x:v>0</x:v>
      </x:c>
      <x:c r="X850" t="str">
        <x:f>IF(E850&lt;25,"Low &lt; 25",IF(E850&lt;100,"Medium 25-99",IF(E850&lt;300,"High 100-299","Premium 300+")))</x:f>
        <x:v>High 100-299</x:v>
      </x:c>
      <x:c r="Y850" t="n">
        <x:f>IF(C850="Active",1,0)</x:f>
        <x:v>1</x:v>
      </x:c>
    </x:row>
    <x:row r="851">
      <x:c r="A851" t="str">
        <x:v>SKU00850</x:v>
      </x:c>
      <x:c r="B851" t="str">
        <x:v>Sample Product 00850</x:v>
      </x:c>
      <x:c r="C851" t="str">
        <x:v>Active</x:v>
      </x:c>
      <x:c r="D851" t="str">
        <x:v>2026-02</x:v>
      </x:c>
      <x:c r="E851" s="12" t="n">
        <x:v>164.6</x:v>
      </x:c>
      <x:c r="F851" s="10" t="n">
        <x:v>0.233</x:v>
      </x:c>
      <x:c r="G851" t="str">
        <x:v>General Merchandise</x:v>
      </x:c>
      <x:c r="H851" t="str">
        <x:v>Seasonal Care</x:v>
      </x:c>
      <x:c r="I851" t="str">
        <x:v>MFG011</x:v>
      </x:c>
      <x:c r="J851" t="str">
        <x:v>Manufacturer 011</x:v>
      </x:c>
      <x:c r="K851" t="str">
        <x:v>SUP019</x:v>
      </x:c>
      <x:c r="L851" t="str">
        <x:v>Supplier 019</x:v>
      </x:c>
      <x:c r="M851" t="str">
        <x:v>REG-877658</x:v>
      </x:c>
      <x:c r="N851" t="str">
        <x:v>Generic Ingredient 030</x:v>
      </x:c>
      <x:c r="O851" t="str">
        <x:v>Pharmacy Only</x:v>
      </x:c>
      <x:c r="P851" t="n">
        <x:v>4</x:v>
      </x:c>
      <x:c r="Q851" t="n">
        <x:v>0</x:v>
      </x:c>
      <x:c r="R851" t="n">
        <x:v>1</x:v>
      </x:c>
      <x:c r="S851" s="12" t="n">
        <x:f>E851*Q851</x:f>
        <x:v>0</x:v>
      </x:c>
      <x:c r="T851" s="12" t="n">
        <x:f>ROUND(S851*F851+0.000000001,2)</x:f>
        <x:v>0</x:v>
      </x:c>
      <x:c r="U851" s="12" t="n">
        <x:f>E851*R851</x:f>
        <x:v>164.6</x:v>
      </x:c>
      <x:c r="V851" t="str">
        <x:f>IF(AND(C851="Active",Q851=0),"Active Zero Sales","Not Zero Sales")</x:f>
        <x:v>Active Zero Sales</x:v>
      </x:c>
      <x:c r="W851" s="12" t="n">
        <x:f>IF(V851="Active Zero Sales",U851,0)</x:f>
        <x:v>164.6</x:v>
      </x:c>
      <x:c r="X851" t="str">
        <x:f>IF(E851&lt;25,"Low &lt; 25",IF(E851&lt;100,"Medium 25-99",IF(E851&lt;300,"High 100-299","Premium 300+")))</x:f>
        <x:v>High 100-299</x:v>
      </x:c>
      <x:c r="Y851" t="n">
        <x:f>IF(C851="Active",1,0)</x:f>
        <x:v>1</x:v>
      </x:c>
    </x:row>
    <x:row r="852">
      <x:c r="A852" t="str">
        <x:v>SKU00851</x:v>
      </x:c>
      <x:c r="B852" t="str">
        <x:v>Sample Product 00851</x:v>
      </x:c>
      <x:c r="C852" t="str">
        <x:v>Active</x:v>
      </x:c>
      <x:c r="D852" t="str">
        <x:v>2026-06</x:v>
      </x:c>
      <x:c r="E852" s="12" t="n">
        <x:v>98.1</x:v>
      </x:c>
      <x:c r="F852" s="10" t="n">
        <x:v>0.4</x:v>
      </x:c>
      <x:c r="G852" t="str">
        <x:v>Nutrition</x:v>
      </x:c>
      <x:c r="H852" t="str">
        <x:v>Hydration</x:v>
      </x:c>
      <x:c r="I852" t="str">
        <x:v>MFG016</x:v>
      </x:c>
      <x:c r="J852" t="str">
        <x:v>Manufacturer 016</x:v>
      </x:c>
      <x:c r="K852" t="str">
        <x:v>SUP026</x:v>
      </x:c>
      <x:c r="L852" t="str">
        <x:v>Supplier 026</x:v>
      </x:c>
      <x:c r="M852" t="str">
        <x:v>REG-300904</x:v>
      </x:c>
      <x:c r="N852" t="str">
        <x:v>Generic Ingredient 137</x:v>
      </x:c>
      <x:c r="O852" t="str">
        <x:v>General Sale</x:v>
      </x:c>
      <x:c r="P852" t="n">
        <x:v>73</x:v>
      </x:c>
      <x:c r="Q852" t="n">
        <x:v>50</x:v>
      </x:c>
      <x:c r="R852" t="n">
        <x:v>20</x:v>
      </x:c>
      <x:c r="S852" s="12" t="n">
        <x:f>E852*Q852</x:f>
        <x:v>4905</x:v>
      </x:c>
      <x:c r="T852" s="12" t="n">
        <x:f>ROUND(S852*F852+0.000000001,2)</x:f>
        <x:v>1962</x:v>
      </x:c>
      <x:c r="U852" s="12" t="n">
        <x:f>E852*R852</x:f>
        <x:v>1962</x:v>
      </x:c>
      <x:c r="V852" t="str">
        <x:f>IF(AND(C852="Active",Q852=0),"Active Zero Sales","Not Zero Sales")</x:f>
        <x:v>Not Zero Sales</x:v>
      </x:c>
      <x:c r="W852" s="12" t="n">
        <x:f>IF(V852="Active Zero Sales",U852,0)</x:f>
        <x:v>0</x:v>
      </x:c>
      <x:c r="X852" t="str">
        <x:f>IF(E852&lt;25,"Low &lt; 25",IF(E852&lt;100,"Medium 25-99",IF(E852&lt;300,"High 100-299","Premium 300+")))</x:f>
        <x:v>Medium 25-99</x:v>
      </x:c>
      <x:c r="Y852" t="n">
        <x:f>IF(C852="Active",1,0)</x:f>
        <x:v>1</x:v>
      </x:c>
    </x:row>
    <x:row r="853">
      <x:c r="A853" t="str">
        <x:v>SKU00852</x:v>
      </x:c>
      <x:c r="B853" t="str">
        <x:v>Sample Product 00852</x:v>
      </x:c>
      <x:c r="C853" t="str">
        <x:v>Active</x:v>
      </x:c>
      <x:c r="D853" t="str">
        <x:v>2026-06</x:v>
      </x:c>
      <x:c r="E853" s="12" t="n">
        <x:v>51</x:v>
      </x:c>
      <x:c r="F853" s="10" t="n">
        <x:v>0.365</x:v>
      </x:c>
      <x:c r="G853" t="str">
        <x:v>General Merchandise</x:v>
      </x:c>
      <x:c r="H853" t="str">
        <x:v>Seasonal Care</x:v>
      </x:c>
      <x:c r="I853" t="str">
        <x:v>MFG003</x:v>
      </x:c>
      <x:c r="J853" t="str">
        <x:v>Manufacturer 003</x:v>
      </x:c>
      <x:c r="K853" t="str">
        <x:v>SUP013</x:v>
      </x:c>
      <x:c r="L853" t="str">
        <x:v>Supplier 013</x:v>
      </x:c>
      <x:c r="M853" t="str">
        <x:v>REG-480205</x:v>
      </x:c>
      <x:c r="N853" t="str">
        <x:v>Generic Ingredient 055</x:v>
      </x:c>
      <x:c r="O853" t="str">
        <x:v>Pharmacy Only</x:v>
      </x:c>
      <x:c r="P853" t="n">
        <x:v>26</x:v>
      </x:c>
      <x:c r="Q853" t="n">
        <x:v>14</x:v>
      </x:c>
      <x:c r="R853" t="n">
        <x:v>1</x:v>
      </x:c>
      <x:c r="S853" s="12" t="n">
        <x:f>E853*Q853</x:f>
        <x:v>714</x:v>
      </x:c>
      <x:c r="T853" s="12" t="n">
        <x:f>ROUND(S853*F853+0.000000001,2)</x:f>
        <x:v>260.61</x:v>
      </x:c>
      <x:c r="U853" s="12" t="n">
        <x:f>E853*R853</x:f>
        <x:v>51</x:v>
      </x:c>
      <x:c r="V853" t="str">
        <x:f>IF(AND(C853="Active",Q853=0),"Active Zero Sales","Not Zero Sales")</x:f>
        <x:v>Not Zero Sales</x:v>
      </x:c>
      <x:c r="W853" s="12" t="n">
        <x:f>IF(V853="Active Zero Sales",U853,0)</x:f>
        <x:v>0</x:v>
      </x:c>
      <x:c r="X853" t="str">
        <x:f>IF(E853&lt;25,"Low &lt; 25",IF(E853&lt;100,"Medium 25-99",IF(E853&lt;300,"High 100-299","Premium 300+")))</x:f>
        <x:v>Medium 25-99</x:v>
      </x:c>
      <x:c r="Y853" t="n">
        <x:f>IF(C853="Active",1,0)</x:f>
        <x:v>1</x:v>
      </x:c>
    </x:row>
    <x:row r="854">
      <x:c r="A854" t="str">
        <x:v>SKU00853</x:v>
      </x:c>
      <x:c r="B854" t="str">
        <x:v>Sample Product 00853</x:v>
      </x:c>
      <x:c r="C854" t="str">
        <x:v>Active</x:v>
      </x:c>
      <x:c r="D854" t="str">
        <x:v>2026-02</x:v>
      </x:c>
      <x:c r="E854" s="12" t="n">
        <x:v>8.45</x:v>
      </x:c>
      <x:c r="F854" s="10" t="n">
        <x:v>0.337</x:v>
      </x:c>
      <x:c r="G854" t="str">
        <x:v>Medical Devices</x:v>
      </x:c>
      <x:c r="H854" t="str">
        <x:v>Home Diagnostics</x:v>
      </x:c>
      <x:c r="I854" t="str">
        <x:v>MFG001</x:v>
      </x:c>
      <x:c r="J854" t="str">
        <x:v>Manufacturer 001</x:v>
      </x:c>
      <x:c r="K854" t="str">
        <x:v>SUP003</x:v>
      </x:c>
      <x:c r="L854" t="str">
        <x:v>Supplier 003</x:v>
      </x:c>
      <x:c r="M854" t="str">
        <x:v>REG-640544</x:v>
      </x:c>
      <x:c r="N854" t="str">
        <x:v>Generic Ingredient 115</x:v>
      </x:c>
      <x:c r="O854" t="str">
        <x:v>General Sale</x:v>
      </x:c>
      <x:c r="P854" t="n">
        <x:v>63</x:v>
      </x:c>
      <x:c r="Q854" t="n">
        <x:v>14</x:v>
      </x:c>
      <x:c r="R854" t="n">
        <x:v>47</x:v>
      </x:c>
      <x:c r="S854" s="12" t="n">
        <x:f>E854*Q854</x:f>
        <x:v>118.29999999999998</x:v>
      </x:c>
      <x:c r="T854" s="12" t="n">
        <x:f>ROUND(S854*F854+0.000000001,2)</x:f>
        <x:v>39.87</x:v>
      </x:c>
      <x:c r="U854" s="12" t="n">
        <x:f>E854*R854</x:f>
        <x:v>397.15</x:v>
      </x:c>
      <x:c r="V854" t="str">
        <x:f>IF(AND(C854="Active",Q854=0),"Active Zero Sales","Not Zero Sales")</x:f>
        <x:v>Not Zero Sales</x:v>
      </x:c>
      <x:c r="W854" s="12" t="n">
        <x:f>IF(V854="Active Zero Sales",U854,0)</x:f>
        <x:v>0</x:v>
      </x:c>
      <x:c r="X854" t="str">
        <x:f>IF(E854&lt;25,"Low &lt; 25",IF(E854&lt;100,"Medium 25-99",IF(E854&lt;300,"High 100-299","Premium 300+")))</x:f>
        <x:v>Low &lt; 25</x:v>
      </x:c>
      <x:c r="Y854" t="n">
        <x:f>IF(C854="Active",1,0)</x:f>
        <x:v>1</x:v>
      </x:c>
    </x:row>
    <x:row r="855">
      <x:c r="A855" t="str">
        <x:v>SKU00854</x:v>
      </x:c>
      <x:c r="B855" t="str">
        <x:v>Sample Product 00854</x:v>
      </x:c>
      <x:c r="C855" t="str">
        <x:v>Active</x:v>
      </x:c>
      <x:c r="D855" t="str">
        <x:v>2026-06</x:v>
      </x:c>
      <x:c r="E855" s="12" t="n">
        <x:v>22.96</x:v>
      </x:c>
      <x:c r="F855" s="10" t="n">
        <x:v>0.313</x:v>
      </x:c>
      <x:c r="G855" t="str">
        <x:v>OTC &amp; Wellness</x:v>
      </x:c>
      <x:c r="H855" t="str">
        <x:v>Vitamins</x:v>
      </x:c>
      <x:c r="I855" t="str">
        <x:v>MFG014</x:v>
      </x:c>
      <x:c r="J855" t="str">
        <x:v>Manufacturer 014</x:v>
      </x:c>
      <x:c r="K855" t="str">
        <x:v>SUP019</x:v>
      </x:c>
      <x:c r="L855" t="str">
        <x:v>Supplier 019</x:v>
      </x:c>
      <x:c r="M855" t="str">
        <x:v>REG-128091</x:v>
      </x:c>
      <x:c r="N855" t="str">
        <x:v>Generic Ingredient 099</x:v>
      </x:c>
      <x:c r="O855" t="str">
        <x:v>Pharmacy Only</x:v>
      </x:c>
      <x:c r="P855" t="n">
        <x:v>56</x:v>
      </x:c>
      <x:c r="Q855" t="n">
        <x:v>36</x:v>
      </x:c>
      <x:c r="R855" t="n">
        <x:v>6</x:v>
      </x:c>
      <x:c r="S855" s="12" t="n">
        <x:f>E855*Q855</x:f>
        <x:v>826.5600000000001</x:v>
      </x:c>
      <x:c r="T855" s="12" t="n">
        <x:f>ROUND(S855*F855+0.000000001,2)</x:f>
        <x:v>258.71</x:v>
      </x:c>
      <x:c r="U855" s="12" t="n">
        <x:f>E855*R855</x:f>
        <x:v>137.76</x:v>
      </x:c>
      <x:c r="V855" t="str">
        <x:f>IF(AND(C855="Active",Q855=0),"Active Zero Sales","Not Zero Sales")</x:f>
        <x:v>Not Zero Sales</x:v>
      </x:c>
      <x:c r="W855" s="12" t="n">
        <x:f>IF(V855="Active Zero Sales",U855,0)</x:f>
        <x:v>0</x:v>
      </x:c>
      <x:c r="X855" t="str">
        <x:f>IF(E855&lt;25,"Low &lt; 25",IF(E855&lt;100,"Medium 25-99",IF(E855&lt;300,"High 100-299","Premium 300+")))</x:f>
        <x:v>Low &lt; 25</x:v>
      </x:c>
      <x:c r="Y855" t="n">
        <x:f>IF(C855="Active",1,0)</x:f>
        <x:v>1</x:v>
      </x:c>
    </x:row>
    <x:row r="856">
      <x:c r="A856" t="str">
        <x:v>SKU00855</x:v>
      </x:c>
      <x:c r="B856" t="str">
        <x:v>Sample Product 00855</x:v>
      </x:c>
      <x:c r="C856" t="str">
        <x:v>Blocked</x:v>
      </x:c>
      <x:c r="D856" t="str">
        <x:v>2026-06</x:v>
      </x:c>
      <x:c r="E856" s="12" t="n">
        <x:v>89.03</x:v>
      </x:c>
      <x:c r="F856" s="10" t="n">
        <x:v>0.404</x:v>
      </x:c>
      <x:c r="G856" t="str">
        <x:v>Personal Care</x:v>
      </x:c>
      <x:c r="H856" t="str">
        <x:v>Skin Care</x:v>
      </x:c>
      <x:c r="I856" t="str">
        <x:v>MFG015</x:v>
      </x:c>
      <x:c r="J856" t="str">
        <x:v>Manufacturer 015</x:v>
      </x:c>
      <x:c r="K856" t="str">
        <x:v>SUP030</x:v>
      </x:c>
      <x:c r="L856" t="str">
        <x:v>Supplier 030</x:v>
      </x:c>
      <x:c r="M856" t="str">
        <x:v>REG-523884</x:v>
      </x:c>
      <x:c r="N856" t="str">
        <x:v>Generic Ingredient 049</x:v>
      </x:c>
      <x:c r="O856" t="str">
        <x:v>General Sale</x:v>
      </x:c>
      <x:c r="P856" t="n">
        <x:v>31</x:v>
      </x:c>
      <x:c r="Q856" t="n">
        <x:v>34</x:v>
      </x:c>
      <x:c r="R856" t="n">
        <x:v>0</x:v>
      </x:c>
      <x:c r="S856" s="12" t="n">
        <x:f>E856*Q856</x:f>
        <x:v>3027.02</x:v>
      </x:c>
      <x:c r="T856" s="12" t="n">
        <x:f>ROUND(S856*F856+0.000000001,2)</x:f>
        <x:v>1222.92</x:v>
      </x:c>
      <x:c r="U856" s="12" t="n">
        <x:f>E856*R856</x:f>
        <x:v>0</x:v>
      </x:c>
      <x:c r="V856" t="str">
        <x:f>IF(AND(C856="Active",Q856=0),"Active Zero Sales","Not Zero Sales")</x:f>
        <x:v>Not Zero Sales</x:v>
      </x:c>
      <x:c r="W856" s="12" t="n">
        <x:f>IF(V856="Active Zero Sales",U856,0)</x:f>
        <x:v>0</x:v>
      </x:c>
      <x:c r="X856" t="str">
        <x:f>IF(E856&lt;25,"Low &lt; 25",IF(E856&lt;100,"Medium 25-99",IF(E856&lt;300,"High 100-299","Premium 300+")))</x:f>
        <x:v>Medium 25-99</x:v>
      </x:c>
      <x:c r="Y856" t="n">
        <x:f>IF(C856="Active",1,0)</x:f>
        <x:v>0</x:v>
      </x:c>
    </x:row>
    <x:row r="857">
      <x:c r="A857" t="str">
        <x:v>SKU00856</x:v>
      </x:c>
      <x:c r="B857" t="str">
        <x:v>Sample Product 00856</x:v>
      </x:c>
      <x:c r="C857" t="str">
        <x:v>Blocked</x:v>
      </x:c>
      <x:c r="D857" t="str">
        <x:v>2026-06</x:v>
      </x:c>
      <x:c r="E857" s="12" t="n">
        <x:v>23.58</x:v>
      </x:c>
      <x:c r="F857" s="10" t="n">
        <x:v>0.294</x:v>
      </x:c>
      <x:c r="G857" t="str">
        <x:v>General Merchandise</x:v>
      </x:c>
      <x:c r="H857" t="str">
        <x:v>Seasonal Care</x:v>
      </x:c>
      <x:c r="I857" t="str">
        <x:v>MFG013</x:v>
      </x:c>
      <x:c r="J857" t="str">
        <x:v>Manufacturer 013</x:v>
      </x:c>
      <x:c r="K857" t="str">
        <x:v>SUP028</x:v>
      </x:c>
      <x:c r="L857" t="str">
        <x:v>Supplier 028</x:v>
      </x:c>
      <x:c r="M857" t="str">
        <x:v>REG-803827</x:v>
      </x:c>
      <x:c r="N857" t="str">
        <x:v>Generic Ingredient 087</x:v>
      </x:c>
      <x:c r="O857" t="str">
        <x:v>General Sale</x:v>
      </x:c>
      <x:c r="P857" t="n">
        <x:v>12</x:v>
      </x:c>
      <x:c r="Q857" t="n">
        <x:v>0</x:v>
      </x:c>
      <x:c r="R857" t="n">
        <x:v>0</x:v>
      </x:c>
      <x:c r="S857" s="12" t="n">
        <x:f>E857*Q857</x:f>
        <x:v>0</x:v>
      </x:c>
      <x:c r="T857" s="12" t="n">
        <x:f>ROUND(S857*F857+0.000000001,2)</x:f>
        <x:v>0</x:v>
      </x:c>
      <x:c r="U857" s="12" t="n">
        <x:f>E857*R857</x:f>
        <x:v>0</x:v>
      </x:c>
      <x:c r="V857" t="str">
        <x:f>IF(AND(C857="Active",Q857=0),"Active Zero Sales","Not Zero Sales")</x:f>
        <x:v>Not Zero Sales</x:v>
      </x:c>
      <x:c r="W857" s="12" t="n">
        <x:f>IF(V857="Active Zero Sales",U857,0)</x:f>
        <x:v>0</x:v>
      </x:c>
      <x:c r="X857" t="str">
        <x:f>IF(E857&lt;25,"Low &lt; 25",IF(E857&lt;100,"Medium 25-99",IF(E857&lt;300,"High 100-299","Premium 300+")))</x:f>
        <x:v>Low &lt; 25</x:v>
      </x:c>
      <x:c r="Y857" t="n">
        <x:f>IF(C857="Active",1,0)</x:f>
        <x:v>0</x:v>
      </x:c>
    </x:row>
    <x:row r="858">
      <x:c r="A858" t="str">
        <x:v>SKU00857</x:v>
      </x:c>
      <x:c r="B858" t="str">
        <x:v>Sample Product 00857</x:v>
      </x:c>
      <x:c r="C858" t="str">
        <x:v>Blocked</x:v>
      </x:c>
      <x:c r="D858" t="str">
        <x:v>2026-06</x:v>
      </x:c>
      <x:c r="E858" s="12" t="n">
        <x:v>57.79</x:v>
      </x:c>
      <x:c r="F858" s="10" t="n">
        <x:v>0.318</x:v>
      </x:c>
      <x:c r="G858" t="str">
        <x:v>OTC &amp; Wellness</x:v>
      </x:c>
      <x:c r="H858" t="str">
        <x:v>Digestive Care</x:v>
      </x:c>
      <x:c r="I858" t="str">
        <x:v>MFG016</x:v>
      </x:c>
      <x:c r="J858" t="str">
        <x:v>Manufacturer 016</x:v>
      </x:c>
      <x:c r="K858" t="str">
        <x:v>SUP001</x:v>
      </x:c>
      <x:c r="L858" t="str">
        <x:v>Supplier 001</x:v>
      </x:c>
      <x:c r="M858" t="str">
        <x:v>REG-189762</x:v>
      </x:c>
      <x:c r="N858" t="str">
        <x:v>Generic Ingredient 078</x:v>
      </x:c>
      <x:c r="O858" t="str">
        <x:v>General Sale</x:v>
      </x:c>
      <x:c r="P858" t="n">
        <x:v>42</x:v>
      </x:c>
      <x:c r="Q858" t="n">
        <x:v>32</x:v>
      </x:c>
      <x:c r="R858" t="n">
        <x:v>0</x:v>
      </x:c>
      <x:c r="S858" s="12" t="n">
        <x:f>E858*Q858</x:f>
        <x:v>1849.28</x:v>
      </x:c>
      <x:c r="T858" s="12" t="n">
        <x:f>ROUND(S858*F858+0.000000001,2)</x:f>
        <x:v>588.07</x:v>
      </x:c>
      <x:c r="U858" s="12" t="n">
        <x:f>E858*R858</x:f>
        <x:v>0</x:v>
      </x:c>
      <x:c r="V858" t="str">
        <x:f>IF(AND(C858="Active",Q858=0),"Active Zero Sales","Not Zero Sales")</x:f>
        <x:v>Not Zero Sales</x:v>
      </x:c>
      <x:c r="W858" s="12" t="n">
        <x:f>IF(V858="Active Zero Sales",U858,0)</x:f>
        <x:v>0</x:v>
      </x:c>
      <x:c r="X858" t="str">
        <x:f>IF(E858&lt;25,"Low &lt; 25",IF(E858&lt;100,"Medium 25-99",IF(E858&lt;300,"High 100-299","Premium 300+")))</x:f>
        <x:v>Medium 25-99</x:v>
      </x:c>
      <x:c r="Y858" t="n">
        <x:f>IF(C858="Active",1,0)</x:f>
        <x:v>0</x:v>
      </x:c>
    </x:row>
    <x:row r="859">
      <x:c r="A859" t="str">
        <x:v>SKU00858</x:v>
      </x:c>
      <x:c r="B859" t="str">
        <x:v>Sample Product 00858</x:v>
      </x:c>
      <x:c r="C859" t="str">
        <x:v>Active</x:v>
      </x:c>
      <x:c r="D859" t="str">
        <x:v>2026-06</x:v>
      </x:c>
      <x:c r="E859" s="12" t="n">
        <x:v>36.19</x:v>
      </x:c>
      <x:c r="F859" s="10" t="n">
        <x:v>0.371</x:v>
      </x:c>
      <x:c r="G859" t="str">
        <x:v>General Merchandise</x:v>
      </x:c>
      <x:c r="H859" t="str">
        <x:v>Seasonal Care</x:v>
      </x:c>
      <x:c r="I859" t="str">
        <x:v>MFG016</x:v>
      </x:c>
      <x:c r="J859" t="str">
        <x:v>Manufacturer 016</x:v>
      </x:c>
      <x:c r="K859" t="str">
        <x:v>SUP010</x:v>
      </x:c>
      <x:c r="L859" t="str">
        <x:v>Supplier 010</x:v>
      </x:c>
      <x:c r="M859" t="str">
        <x:v>REG-781448</x:v>
      </x:c>
      <x:c r="N859" t="str">
        <x:v>Generic Ingredient 032</x:v>
      </x:c>
      <x:c r="O859" t="str">
        <x:v>Pharmacy Only</x:v>
      </x:c>
      <x:c r="P859" t="n">
        <x:v>49</x:v>
      </x:c>
      <x:c r="Q859" t="n">
        <x:v>10</x:v>
      </x:c>
      <x:c r="R859" t="n">
        <x:v>1</x:v>
      </x:c>
      <x:c r="S859" s="12" t="n">
        <x:f>E859*Q859</x:f>
        <x:v>361.9</x:v>
      </x:c>
      <x:c r="T859" s="12" t="n">
        <x:f>ROUND(S859*F859+0.000000001,2)</x:f>
        <x:v>134.26</x:v>
      </x:c>
      <x:c r="U859" s="12" t="n">
        <x:f>E859*R859</x:f>
        <x:v>36.19</x:v>
      </x:c>
      <x:c r="V859" t="str">
        <x:f>IF(AND(C859="Active",Q859=0),"Active Zero Sales","Not Zero Sales")</x:f>
        <x:v>Not Zero Sales</x:v>
      </x:c>
      <x:c r="W859" s="12" t="n">
        <x:f>IF(V859="Active Zero Sales",U859,0)</x:f>
        <x:v>0</x:v>
      </x:c>
      <x:c r="X859" t="str">
        <x:f>IF(E859&lt;25,"Low &lt; 25",IF(E859&lt;100,"Medium 25-99",IF(E859&lt;300,"High 100-299","Premium 300+")))</x:f>
        <x:v>Medium 25-99</x:v>
      </x:c>
      <x:c r="Y859" t="n">
        <x:f>IF(C859="Active",1,0)</x:f>
        <x:v>1</x:v>
      </x:c>
    </x:row>
    <x:row r="860">
      <x:c r="A860" t="str">
        <x:v>SKU00859</x:v>
      </x:c>
      <x:c r="B860" t="str">
        <x:v>Sample Product 00859</x:v>
      </x:c>
      <x:c r="C860" t="str">
        <x:v>Active</x:v>
      </x:c>
      <x:c r="D860" t="str">
        <x:v>2026-06</x:v>
      </x:c>
      <x:c r="E860" s="12" t="n">
        <x:v>19.28</x:v>
      </x:c>
      <x:c r="F860" s="10" t="n">
        <x:v>0.268</x:v>
      </x:c>
      <x:c r="G860" t="str">
        <x:v>Nutrition</x:v>
      </x:c>
      <x:c r="H860" t="str">
        <x:v>Hydration</x:v>
      </x:c>
      <x:c r="I860" t="str">
        <x:v>MFG019</x:v>
      </x:c>
      <x:c r="J860" t="str">
        <x:v>Manufacturer 019</x:v>
      </x:c>
      <x:c r="K860" t="str">
        <x:v>SUP004</x:v>
      </x:c>
      <x:c r="L860" t="str">
        <x:v>Supplier 004</x:v>
      </x:c>
      <x:c r="M860" t="str">
        <x:v>REG-236956</x:v>
      </x:c>
      <x:c r="N860" t="str">
        <x:v>Generic Ingredient 004</x:v>
      </x:c>
      <x:c r="O860" t="str">
        <x:v>Pharmacy Only</x:v>
      </x:c>
      <x:c r="P860" t="n">
        <x:v>109</x:v>
      </x:c>
      <x:c r="Q860" t="n">
        <x:v>72</x:v>
      </x:c>
      <x:c r="R860" t="n">
        <x:v>16</x:v>
      </x:c>
      <x:c r="S860" s="12" t="n">
        <x:f>E860*Q860</x:f>
        <x:v>1388.16</x:v>
      </x:c>
      <x:c r="T860" s="12" t="n">
        <x:f>ROUND(S860*F860+0.000000001,2)</x:f>
        <x:v>372.03</x:v>
      </x:c>
      <x:c r="U860" s="12" t="n">
        <x:f>E860*R860</x:f>
        <x:v>308.48</x:v>
      </x:c>
      <x:c r="V860" t="str">
        <x:f>IF(AND(C860="Active",Q860=0),"Active Zero Sales","Not Zero Sales")</x:f>
        <x:v>Not Zero Sales</x:v>
      </x:c>
      <x:c r="W860" s="12" t="n">
        <x:f>IF(V860="Active Zero Sales",U860,0)</x:f>
        <x:v>0</x:v>
      </x:c>
      <x:c r="X860" t="str">
        <x:f>IF(E860&lt;25,"Low &lt; 25",IF(E860&lt;100,"Medium 25-99",IF(E860&lt;300,"High 100-299","Premium 300+")))</x:f>
        <x:v>Low &lt; 25</x:v>
      </x:c>
      <x:c r="Y860" t="n">
        <x:f>IF(C860="Active",1,0)</x:f>
        <x:v>1</x:v>
      </x:c>
    </x:row>
    <x:row r="861">
      <x:c r="A861" t="str">
        <x:v>SKU00860</x:v>
      </x:c>
      <x:c r="B861" t="str">
        <x:v>Sample Product 00860</x:v>
      </x:c>
      <x:c r="C861" t="str">
        <x:v>Active</x:v>
      </x:c>
      <x:c r="D861" t="str">
        <x:v>2026-06</x:v>
      </x:c>
      <x:c r="E861" s="12" t="n">
        <x:v>211.52</x:v>
      </x:c>
      <x:c r="F861" s="10" t="n">
        <x:v>0.329</x:v>
      </x:c>
      <x:c r="G861" t="str">
        <x:v>General Merchandise</x:v>
      </x:c>
      <x:c r="H861" t="str">
        <x:v>Accessories</x:v>
      </x:c>
      <x:c r="I861" t="str">
        <x:v>MFG010</x:v>
      </x:c>
      <x:c r="J861" t="str">
        <x:v>Manufacturer 010</x:v>
      </x:c>
      <x:c r="K861" t="str">
        <x:v>SUP021</x:v>
      </x:c>
      <x:c r="L861" t="str">
        <x:v>Supplier 021</x:v>
      </x:c>
      <x:c r="M861" t="str">
        <x:v>REG-385919</x:v>
      </x:c>
      <x:c r="N861" t="str">
        <x:v>Generic Ingredient 108</x:v>
      </x:c>
      <x:c r="O861" t="str">
        <x:v>General Sale</x:v>
      </x:c>
      <x:c r="P861" t="n">
        <x:v>43</x:v>
      </x:c>
      <x:c r="Q861" t="n">
        <x:v>14</x:v>
      </x:c>
      <x:c r="R861" t="n">
        <x:v>16</x:v>
      </x:c>
      <x:c r="S861" s="12" t="n">
        <x:f>E861*Q861</x:f>
        <x:v>2961.28</x:v>
      </x:c>
      <x:c r="T861" s="12" t="n">
        <x:f>ROUND(S861*F861+0.000000001,2)</x:f>
        <x:v>974.26</x:v>
      </x:c>
      <x:c r="U861" s="12" t="n">
        <x:f>E861*R861</x:f>
        <x:v>3384.32</x:v>
      </x:c>
      <x:c r="V861" t="str">
        <x:f>IF(AND(C861="Active",Q861=0),"Active Zero Sales","Not Zero Sales")</x:f>
        <x:v>Not Zero Sales</x:v>
      </x:c>
      <x:c r="W861" s="12" t="n">
        <x:f>IF(V861="Active Zero Sales",U861,0)</x:f>
        <x:v>0</x:v>
      </x:c>
      <x:c r="X861" t="str">
        <x:f>IF(E861&lt;25,"Low &lt; 25",IF(E861&lt;100,"Medium 25-99",IF(E861&lt;300,"High 100-299","Premium 300+")))</x:f>
        <x:v>High 100-299</x:v>
      </x:c>
      <x:c r="Y861" t="n">
        <x:f>IF(C861="Active",1,0)</x:f>
        <x:v>1</x:v>
      </x:c>
    </x:row>
    <x:row r="862">
      <x:c r="A862" t="str">
        <x:v>SKU00861</x:v>
      </x:c>
      <x:c r="B862" t="str">
        <x:v>Sample Product 00861</x:v>
      </x:c>
      <x:c r="C862" t="str">
        <x:v>Active</x:v>
      </x:c>
      <x:c r="D862" t="str">
        <x:v>2026-06</x:v>
      </x:c>
      <x:c r="E862" s="12" t="n">
        <x:v>93</x:v>
      </x:c>
      <x:c r="F862" s="10" t="n">
        <x:v>0.404</x:v>
      </x:c>
      <x:c r="G862" t="str">
        <x:v>Personal Care</x:v>
      </x:c>
      <x:c r="H862" t="str">
        <x:v>Skin Care</x:v>
      </x:c>
      <x:c r="I862" t="str">
        <x:v>MFG012</x:v>
      </x:c>
      <x:c r="J862" t="str">
        <x:v>Manufacturer 012</x:v>
      </x:c>
      <x:c r="K862" t="str">
        <x:v>SUP027</x:v>
      </x:c>
      <x:c r="L862" t="str">
        <x:v>Supplier 027</x:v>
      </x:c>
      <x:c r="M862" t="str">
        <x:v>REG-272460</x:v>
      </x:c>
      <x:c r="N862" t="str">
        <x:v>Generic Ingredient 006</x:v>
      </x:c>
      <x:c r="O862" t="str">
        <x:v>Pharmacy Only</x:v>
      </x:c>
      <x:c r="P862" t="n">
        <x:v>31</x:v>
      </x:c>
      <x:c r="Q862" t="n">
        <x:v>9</x:v>
      </x:c>
      <x:c r="R862" t="n">
        <x:v>5</x:v>
      </x:c>
      <x:c r="S862" s="12" t="n">
        <x:f>E862*Q862</x:f>
        <x:v>837</x:v>
      </x:c>
      <x:c r="T862" s="12" t="n">
        <x:f>ROUND(S862*F862+0.000000001,2)</x:f>
        <x:v>338.15</x:v>
      </x:c>
      <x:c r="U862" s="12" t="n">
        <x:f>E862*R862</x:f>
        <x:v>465</x:v>
      </x:c>
      <x:c r="V862" t="str">
        <x:f>IF(AND(C862="Active",Q862=0),"Active Zero Sales","Not Zero Sales")</x:f>
        <x:v>Not Zero Sales</x:v>
      </x:c>
      <x:c r="W862" s="12" t="n">
        <x:f>IF(V862="Active Zero Sales",U862,0)</x:f>
        <x:v>0</x:v>
      </x:c>
      <x:c r="X862" t="str">
        <x:f>IF(E862&lt;25,"Low &lt; 25",IF(E862&lt;100,"Medium 25-99",IF(E862&lt;300,"High 100-299","Premium 300+")))</x:f>
        <x:v>Medium 25-99</x:v>
      </x:c>
      <x:c r="Y862" t="n">
        <x:f>IF(C862="Active",1,0)</x:f>
        <x:v>1</x:v>
      </x:c>
    </x:row>
    <x:row r="863">
      <x:c r="A863" t="str">
        <x:v>SKU00862</x:v>
      </x:c>
      <x:c r="B863" t="str">
        <x:v>Sample Product 00862</x:v>
      </x:c>
      <x:c r="C863" t="str">
        <x:v>Active</x:v>
      </x:c>
      <x:c r="D863" t="str">
        <x:v>2026-05</x:v>
      </x:c>
      <x:c r="E863" s="12" t="n">
        <x:v>101.8</x:v>
      </x:c>
      <x:c r="F863" s="10" t="n">
        <x:v>0.235</x:v>
      </x:c>
      <x:c r="G863" t="str">
        <x:v>Medical Devices</x:v>
      </x:c>
      <x:c r="H863" t="str">
        <x:v>First Aid</x:v>
      </x:c>
      <x:c r="I863" t="str">
        <x:v>MFG007</x:v>
      </x:c>
      <x:c r="J863" t="str">
        <x:v>Manufacturer 007</x:v>
      </x:c>
      <x:c r="K863" t="str">
        <x:v>SUP023</x:v>
      </x:c>
      <x:c r="L863" t="str">
        <x:v>Supplier 023</x:v>
      </x:c>
      <x:c r="M863" t="str">
        <x:v>REG-811017</x:v>
      </x:c>
      <x:c r="N863" t="str">
        <x:v>Generic Ingredient 097</x:v>
      </x:c>
      <x:c r="O863" t="str">
        <x:v>General Sale</x:v>
      </x:c>
      <x:c r="P863" t="n">
        <x:v>95</x:v>
      </x:c>
      <x:c r="Q863" t="n">
        <x:v>55</x:v>
      </x:c>
      <x:c r="R863" t="n">
        <x:v>9</x:v>
      </x:c>
      <x:c r="S863" s="12" t="n">
        <x:f>E863*Q863</x:f>
        <x:v>5599</x:v>
      </x:c>
      <x:c r="T863" s="12" t="n">
        <x:f>ROUND(S863*F863+0.000000001,2)</x:f>
        <x:v>1315.77</x:v>
      </x:c>
      <x:c r="U863" s="12" t="n">
        <x:f>E863*R863</x:f>
        <x:v>916.1999999999999</x:v>
      </x:c>
      <x:c r="V863" t="str">
        <x:f>IF(AND(C863="Active",Q863=0),"Active Zero Sales","Not Zero Sales")</x:f>
        <x:v>Not Zero Sales</x:v>
      </x:c>
      <x:c r="W863" s="12" t="n">
        <x:f>IF(V863="Active Zero Sales",U863,0)</x:f>
        <x:v>0</x:v>
      </x:c>
      <x:c r="X863" t="str">
        <x:f>IF(E863&lt;25,"Low &lt; 25",IF(E863&lt;100,"Medium 25-99",IF(E863&lt;300,"High 100-299","Premium 300+")))</x:f>
        <x:v>High 100-299</x:v>
      </x:c>
      <x:c r="Y863" t="n">
        <x:f>IF(C863="Active",1,0)</x:f>
        <x:v>1</x:v>
      </x:c>
    </x:row>
    <x:row r="864">
      <x:c r="A864" t="str">
        <x:v>SKU00863</x:v>
      </x:c>
      <x:c r="B864" t="str">
        <x:v>Sample Product 00863</x:v>
      </x:c>
      <x:c r="C864" t="str">
        <x:v>Blocked</x:v>
      </x:c>
      <x:c r="D864" t="str">
        <x:v>2026-02</x:v>
      </x:c>
      <x:c r="E864" s="12" t="n">
        <x:v>66.08</x:v>
      </x:c>
      <x:c r="F864" s="10" t="n">
        <x:v>0.303</x:v>
      </x:c>
      <x:c r="G864" t="str">
        <x:v>OTC &amp; Wellness</x:v>
      </x:c>
      <x:c r="H864" t="str">
        <x:v>Pain Relief</x:v>
      </x:c>
      <x:c r="I864" t="str">
        <x:v>MFG007</x:v>
      </x:c>
      <x:c r="J864" t="str">
        <x:v>Manufacturer 007</x:v>
      </x:c>
      <x:c r="K864" t="str">
        <x:v>SUP013</x:v>
      </x:c>
      <x:c r="L864" t="str">
        <x:v>Supplier 013</x:v>
      </x:c>
      <x:c r="M864" t="str">
        <x:v>REG-774681</x:v>
      </x:c>
      <x:c r="N864" t="str">
        <x:v>Generic Ingredient 001</x:v>
      </x:c>
      <x:c r="O864" t="str">
        <x:v>Pharmacy Only</x:v>
      </x:c>
      <x:c r="P864" t="n">
        <x:v>20</x:v>
      </x:c>
      <x:c r="Q864" t="n">
        <x:v>0</x:v>
      </x:c>
      <x:c r="R864" t="n">
        <x:v>0</x:v>
      </x:c>
      <x:c r="S864" s="12" t="n">
        <x:f>E864*Q864</x:f>
        <x:v>0</x:v>
      </x:c>
      <x:c r="T864" s="12" t="n">
        <x:f>ROUND(S864*F864+0.000000001,2)</x:f>
        <x:v>0</x:v>
      </x:c>
      <x:c r="U864" s="12" t="n">
        <x:f>E864*R864</x:f>
        <x:v>0</x:v>
      </x:c>
      <x:c r="V864" t="str">
        <x:f>IF(AND(C864="Active",Q864=0),"Active Zero Sales","Not Zero Sales")</x:f>
        <x:v>Not Zero Sales</x:v>
      </x:c>
      <x:c r="W864" s="12" t="n">
        <x:f>IF(V864="Active Zero Sales",U864,0)</x:f>
        <x:v>0</x:v>
      </x:c>
      <x:c r="X864" t="str">
        <x:f>IF(E864&lt;25,"Low &lt; 25",IF(E864&lt;100,"Medium 25-99",IF(E864&lt;300,"High 100-299","Premium 300+")))</x:f>
        <x:v>Medium 25-99</x:v>
      </x:c>
      <x:c r="Y864" t="n">
        <x:f>IF(C864="Active",1,0)</x:f>
        <x:v>0</x:v>
      </x:c>
    </x:row>
    <x:row r="865">
      <x:c r="A865" t="str">
        <x:v>SKU00864</x:v>
      </x:c>
      <x:c r="B865" t="str">
        <x:v>Sample Product 00864</x:v>
      </x:c>
      <x:c r="C865" t="str">
        <x:v>Active</x:v>
      </x:c>
      <x:c r="D865" t="str">
        <x:v>2026-03</x:v>
      </x:c>
      <x:c r="E865" s="12" t="n">
        <x:v>43.9</x:v>
      </x:c>
      <x:c r="F865" s="10" t="n">
        <x:v>0.358</x:v>
      </x:c>
      <x:c r="G865" t="str">
        <x:v>General Merchandise</x:v>
      </x:c>
      <x:c r="H865" t="str">
        <x:v>Seasonal Care</x:v>
      </x:c>
      <x:c r="I865" t="str">
        <x:v>MFG014</x:v>
      </x:c>
      <x:c r="J865" t="str">
        <x:v>Manufacturer 014</x:v>
      </x:c>
      <x:c r="K865" t="str">
        <x:v>SUP008</x:v>
      </x:c>
      <x:c r="L865" t="str">
        <x:v>Supplier 008</x:v>
      </x:c>
      <x:c r="M865" t="str">
        <x:v>REG-568147</x:v>
      </x:c>
      <x:c r="N865" t="str">
        <x:v>Generic Ingredient 044</x:v>
      </x:c>
      <x:c r="O865" t="str">
        <x:v>General Sale</x:v>
      </x:c>
      <x:c r="P865" t="n">
        <x:v>105</x:v>
      </x:c>
      <x:c r="Q865" t="n">
        <x:v>62</x:v>
      </x:c>
      <x:c r="R865" t="n">
        <x:v>43</x:v>
      </x:c>
      <x:c r="S865" s="12" t="n">
        <x:f>E865*Q865</x:f>
        <x:v>2721.7999999999997</x:v>
      </x:c>
      <x:c r="T865" s="12" t="n">
        <x:f>ROUND(S865*F865+0.000000001,2)</x:f>
        <x:v>974.4</x:v>
      </x:c>
      <x:c r="U865" s="12" t="n">
        <x:f>E865*R865</x:f>
        <x:v>1887.7</x:v>
      </x:c>
      <x:c r="V865" t="str">
        <x:f>IF(AND(C865="Active",Q865=0),"Active Zero Sales","Not Zero Sales")</x:f>
        <x:v>Not Zero Sales</x:v>
      </x:c>
      <x:c r="W865" s="12" t="n">
        <x:f>IF(V865="Active Zero Sales",U865,0)</x:f>
        <x:v>0</x:v>
      </x:c>
      <x:c r="X865" t="str">
        <x:f>IF(E865&lt;25,"Low &lt; 25",IF(E865&lt;100,"Medium 25-99",IF(E865&lt;300,"High 100-299","Premium 300+")))</x:f>
        <x:v>Medium 25-99</x:v>
      </x:c>
      <x:c r="Y865" t="n">
        <x:f>IF(C865="Active",1,0)</x:f>
        <x:v>1</x:v>
      </x:c>
    </x:row>
    <x:row r="866">
      <x:c r="A866" t="str">
        <x:v>SKU00865</x:v>
      </x:c>
      <x:c r="B866" t="str">
        <x:v>Sample Product 00865</x:v>
      </x:c>
      <x:c r="C866" t="str">
        <x:v>Active</x:v>
      </x:c>
      <x:c r="D866" t="str">
        <x:v>2026-03</x:v>
      </x:c>
      <x:c r="E866" s="12" t="n">
        <x:v>20.18</x:v>
      </x:c>
      <x:c r="F866" s="10" t="n">
        <x:v>0.391</x:v>
      </x:c>
      <x:c r="G866" t="str">
        <x:v>General Merchandise</x:v>
      </x:c>
      <x:c r="H866" t="str">
        <x:v>Seasonal Care</x:v>
      </x:c>
      <x:c r="I866" t="str">
        <x:v>MFG011</x:v>
      </x:c>
      <x:c r="J866" t="str">
        <x:v>Manufacturer 011</x:v>
      </x:c>
      <x:c r="K866" t="str">
        <x:v>SUP011</x:v>
      </x:c>
      <x:c r="L866" t="str">
        <x:v>Supplier 011</x:v>
      </x:c>
      <x:c r="M866" t="str">
        <x:v>REG-860027</x:v>
      </x:c>
      <x:c r="N866" t="str">
        <x:v>Generic Ingredient 068</x:v>
      </x:c>
      <x:c r="O866" t="str">
        <x:v>Pharmacy Only</x:v>
      </x:c>
      <x:c r="P866" t="n">
        <x:v>17</x:v>
      </x:c>
      <x:c r="Q866" t="n">
        <x:v>13</x:v>
      </x:c>
      <x:c r="R866" t="n">
        <x:v>0</x:v>
      </x:c>
      <x:c r="S866" s="12" t="n">
        <x:f>E866*Q866</x:f>
        <x:v>262.34</x:v>
      </x:c>
      <x:c r="T866" s="12" t="n">
        <x:f>ROUND(S866*F866+0.000000001,2)</x:f>
        <x:v>102.57</x:v>
      </x:c>
      <x:c r="U866" s="12" t="n">
        <x:f>E866*R866</x:f>
        <x:v>0</x:v>
      </x:c>
      <x:c r="V866" t="str">
        <x:f>IF(AND(C866="Active",Q866=0),"Active Zero Sales","Not Zero Sales")</x:f>
        <x:v>Not Zero Sales</x:v>
      </x:c>
      <x:c r="W866" s="12" t="n">
        <x:f>IF(V866="Active Zero Sales",U866,0)</x:f>
        <x:v>0</x:v>
      </x:c>
      <x:c r="X866" t="str">
        <x:f>IF(E866&lt;25,"Low &lt; 25",IF(E866&lt;100,"Medium 25-99",IF(E866&lt;300,"High 100-299","Premium 300+")))</x:f>
        <x:v>Low &lt; 25</x:v>
      </x:c>
      <x:c r="Y866" t="n">
        <x:f>IF(C866="Active",1,0)</x:f>
        <x:v>1</x:v>
      </x:c>
    </x:row>
    <x:row r="867">
      <x:c r="A867" t="str">
        <x:v>SKU00866</x:v>
      </x:c>
      <x:c r="B867" t="str">
        <x:v>Sample Product 00866</x:v>
      </x:c>
      <x:c r="C867" t="str">
        <x:v>Active</x:v>
      </x:c>
      <x:c r="D867" t="str">
        <x:v>2026-03</x:v>
      </x:c>
      <x:c r="E867" s="12" t="n">
        <x:v>63.94</x:v>
      </x:c>
      <x:c r="F867" s="10" t="n">
        <x:v>0.248</x:v>
      </x:c>
      <x:c r="G867" t="str">
        <x:v>OTC &amp; Wellness</x:v>
      </x:c>
      <x:c r="H867" t="str">
        <x:v>Pain Relief</x:v>
      </x:c>
      <x:c r="I867" t="str">
        <x:v>MFG015</x:v>
      </x:c>
      <x:c r="J867" t="str">
        <x:v>Manufacturer 015</x:v>
      </x:c>
      <x:c r="K867" t="str">
        <x:v>SUP022</x:v>
      </x:c>
      <x:c r="L867" t="str">
        <x:v>Supplier 022</x:v>
      </x:c>
      <x:c r="M867" t="str">
        <x:v>REG-349636</x:v>
      </x:c>
      <x:c r="N867" t="str">
        <x:v>Generic Ingredient 075</x:v>
      </x:c>
      <x:c r="O867" t="str">
        <x:v>Pharmacy Only</x:v>
      </x:c>
      <x:c r="P867" t="n">
        <x:v>53</x:v>
      </x:c>
      <x:c r="Q867" t="n">
        <x:v>31</x:v>
      </x:c>
      <x:c r="R867" t="n">
        <x:v>3</x:v>
      </x:c>
      <x:c r="S867" s="12" t="n">
        <x:f>E867*Q867</x:f>
        <x:v>1982.1399999999999</x:v>
      </x:c>
      <x:c r="T867" s="12" t="n">
        <x:f>ROUND(S867*F867+0.000000001,2)</x:f>
        <x:v>491.57</x:v>
      </x:c>
      <x:c r="U867" s="12" t="n">
        <x:f>E867*R867</x:f>
        <x:v>191.82</x:v>
      </x:c>
      <x:c r="V867" t="str">
        <x:f>IF(AND(C867="Active",Q867=0),"Active Zero Sales","Not Zero Sales")</x:f>
        <x:v>Not Zero Sales</x:v>
      </x:c>
      <x:c r="W867" s="12" t="n">
        <x:f>IF(V867="Active Zero Sales",U867,0)</x:f>
        <x:v>0</x:v>
      </x:c>
      <x:c r="X867" t="str">
        <x:f>IF(E867&lt;25,"Low &lt; 25",IF(E867&lt;100,"Medium 25-99",IF(E867&lt;300,"High 100-299","Premium 300+")))</x:f>
        <x:v>Medium 25-99</x:v>
      </x:c>
      <x:c r="Y867" t="n">
        <x:f>IF(C867="Active",1,0)</x:f>
        <x:v>1</x:v>
      </x:c>
    </x:row>
    <x:row r="868">
      <x:c r="A868" t="str">
        <x:v>SKU00867</x:v>
      </x:c>
      <x:c r="B868" t="str">
        <x:v>Sample Product 00867</x:v>
      </x:c>
      <x:c r="C868" t="str">
        <x:v>Active</x:v>
      </x:c>
      <x:c r="D868" t="str">
        <x:v>2026-04</x:v>
      </x:c>
      <x:c r="E868" s="12" t="n">
        <x:v>225.99</x:v>
      </x:c>
      <x:c r="F868" s="10" t="n">
        <x:v>0.367</x:v>
      </x:c>
      <x:c r="G868" t="str">
        <x:v>Personal Care</x:v>
      </x:c>
      <x:c r="H868" t="str">
        <x:v>Hair Care</x:v>
      </x:c>
      <x:c r="I868" t="str">
        <x:v>MFG011</x:v>
      </x:c>
      <x:c r="J868" t="str">
        <x:v>Manufacturer 011</x:v>
      </x:c>
      <x:c r="K868" t="str">
        <x:v>SUP005</x:v>
      </x:c>
      <x:c r="L868" t="str">
        <x:v>Supplier 005</x:v>
      </x:c>
      <x:c r="M868" t="str">
        <x:v>REG-537078</x:v>
      </x:c>
      <x:c r="N868" t="str">
        <x:v>Generic Ingredient 055</x:v>
      </x:c>
      <x:c r="O868" t="str">
        <x:v>General Sale</x:v>
      </x:c>
      <x:c r="P868" t="n">
        <x:v>134</x:v>
      </x:c>
      <x:c r="Q868" t="n">
        <x:v>70</x:v>
      </x:c>
      <x:c r="R868" t="n">
        <x:v>51</x:v>
      </x:c>
      <x:c r="S868" s="12" t="n">
        <x:f>E868*Q868</x:f>
        <x:v>15819.300000000001</x:v>
      </x:c>
      <x:c r="T868" s="12" t="n">
        <x:f>ROUND(S868*F868+0.000000001,2)</x:f>
        <x:v>5805.68</x:v>
      </x:c>
      <x:c r="U868" s="12" t="n">
        <x:f>E868*R868</x:f>
        <x:v>11525.49</x:v>
      </x:c>
      <x:c r="V868" t="str">
        <x:f>IF(AND(C868="Active",Q868=0),"Active Zero Sales","Not Zero Sales")</x:f>
        <x:v>Not Zero Sales</x:v>
      </x:c>
      <x:c r="W868" s="12" t="n">
        <x:f>IF(V868="Active Zero Sales",U868,0)</x:f>
        <x:v>0</x:v>
      </x:c>
      <x:c r="X868" t="str">
        <x:f>IF(E868&lt;25,"Low &lt; 25",IF(E868&lt;100,"Medium 25-99",IF(E868&lt;300,"High 100-299","Premium 300+")))</x:f>
        <x:v>High 100-299</x:v>
      </x:c>
      <x:c r="Y868" t="n">
        <x:f>IF(C868="Active",1,0)</x:f>
        <x:v>1</x:v>
      </x:c>
    </x:row>
    <x:row r="869">
      <x:c r="A869" t="str">
        <x:v>SKU00868</x:v>
      </x:c>
      <x:c r="B869" t="str">
        <x:v>Sample Product 00868</x:v>
      </x:c>
      <x:c r="C869" t="str">
        <x:v>Blocked</x:v>
      </x:c>
      <x:c r="D869" t="str">
        <x:v>2026-03</x:v>
      </x:c>
      <x:c r="E869" s="12" t="n">
        <x:v>14.46</x:v>
      </x:c>
      <x:c r="F869" s="10" t="n">
        <x:v>0.498</x:v>
      </x:c>
      <x:c r="G869" t="str">
        <x:v>Personal Care</x:v>
      </x:c>
      <x:c r="H869" t="str">
        <x:v>Hair Care</x:v>
      </x:c>
      <x:c r="I869" t="str">
        <x:v>MFG018</x:v>
      </x:c>
      <x:c r="J869" t="str">
        <x:v>Manufacturer 018</x:v>
      </x:c>
      <x:c r="K869" t="str">
        <x:v>SUP005</x:v>
      </x:c>
      <x:c r="L869" t="str">
        <x:v>Supplier 005</x:v>
      </x:c>
      <x:c r="M869" t="str">
        <x:v>REG-763922</x:v>
      </x:c>
      <x:c r="N869" t="str">
        <x:v>Generic Ingredient 116</x:v>
      </x:c>
      <x:c r="O869" t="str">
        <x:v>General Sale</x:v>
      </x:c>
      <x:c r="P869" t="n">
        <x:v>28</x:v>
      </x:c>
      <x:c r="Q869" t="n">
        <x:v>15</x:v>
      </x:c>
      <x:c r="R869" t="n">
        <x:v>0</x:v>
      </x:c>
      <x:c r="S869" s="12" t="n">
        <x:f>E869*Q869</x:f>
        <x:v>216.9</x:v>
      </x:c>
      <x:c r="T869" s="12" t="n">
        <x:f>ROUND(S869*F869+0.000000001,2)</x:f>
        <x:v>108.02</x:v>
      </x:c>
      <x:c r="U869" s="12" t="n">
        <x:f>E869*R869</x:f>
        <x:v>0</x:v>
      </x:c>
      <x:c r="V869" t="str">
        <x:f>IF(AND(C869="Active",Q869=0),"Active Zero Sales","Not Zero Sales")</x:f>
        <x:v>Not Zero Sales</x:v>
      </x:c>
      <x:c r="W869" s="12" t="n">
        <x:f>IF(V869="Active Zero Sales",U869,0)</x:f>
        <x:v>0</x:v>
      </x:c>
      <x:c r="X869" t="str">
        <x:f>IF(E869&lt;25,"Low &lt; 25",IF(E869&lt;100,"Medium 25-99",IF(E869&lt;300,"High 100-299","Premium 300+")))</x:f>
        <x:v>Low &lt; 25</x:v>
      </x:c>
      <x:c r="Y869" t="n">
        <x:f>IF(C869="Active",1,0)</x:f>
        <x:v>0</x:v>
      </x:c>
    </x:row>
    <x:row r="870">
      <x:c r="A870" t="str">
        <x:v>SKU00869</x:v>
      </x:c>
      <x:c r="B870" t="str">
        <x:v>Sample Product 00869</x:v>
      </x:c>
      <x:c r="C870" t="str">
        <x:v>Active</x:v>
      </x:c>
      <x:c r="D870" t="str">
        <x:v>2026-03</x:v>
      </x:c>
      <x:c r="E870" s="12" t="n">
        <x:v>31.42</x:v>
      </x:c>
      <x:c r="F870" s="10" t="n">
        <x:v>0.442</x:v>
      </x:c>
      <x:c r="G870" t="str">
        <x:v>Nutrition</x:v>
      </x:c>
      <x:c r="H870" t="str">
        <x:v>Hydration</x:v>
      </x:c>
      <x:c r="I870" t="str">
        <x:v>MFG005</x:v>
      </x:c>
      <x:c r="J870" t="str">
        <x:v>Manufacturer 005</x:v>
      </x:c>
      <x:c r="K870" t="str">
        <x:v>SUP029</x:v>
      </x:c>
      <x:c r="L870" t="str">
        <x:v>Supplier 029</x:v>
      </x:c>
      <x:c r="M870" t="str">
        <x:v>REG-582012</x:v>
      </x:c>
      <x:c r="N870" t="str">
        <x:v>Generic Ingredient 161</x:v>
      </x:c>
      <x:c r="O870" t="str">
        <x:v>General Sale</x:v>
      </x:c>
      <x:c r="P870" t="n">
        <x:v>88</x:v>
      </x:c>
      <x:c r="Q870" t="n">
        <x:v>26</x:v>
      </x:c>
      <x:c r="R870" t="n">
        <x:v>23</x:v>
      </x:c>
      <x:c r="S870" s="12" t="n">
        <x:f>E870*Q870</x:f>
        <x:v>816.9200000000001</x:v>
      </x:c>
      <x:c r="T870" s="12" t="n">
        <x:f>ROUND(S870*F870+0.000000001,2)</x:f>
        <x:v>361.08</x:v>
      </x:c>
      <x:c r="U870" s="12" t="n">
        <x:f>E870*R870</x:f>
        <x:v>722.6600000000001</x:v>
      </x:c>
      <x:c r="V870" t="str">
        <x:f>IF(AND(C870="Active",Q870=0),"Active Zero Sales","Not Zero Sales")</x:f>
        <x:v>Not Zero Sales</x:v>
      </x:c>
      <x:c r="W870" s="12" t="n">
        <x:f>IF(V870="Active Zero Sales",U870,0)</x:f>
        <x:v>0</x:v>
      </x:c>
      <x:c r="X870" t="str">
        <x:f>IF(E870&lt;25,"Low &lt; 25",IF(E870&lt;100,"Medium 25-99",IF(E870&lt;300,"High 100-299","Premium 300+")))</x:f>
        <x:v>Medium 25-99</x:v>
      </x:c>
      <x:c r="Y870" t="n">
        <x:f>IF(C870="Active",1,0)</x:f>
        <x:v>1</x:v>
      </x:c>
    </x:row>
    <x:row r="871">
      <x:c r="A871" t="str">
        <x:v>SKU00870</x:v>
      </x:c>
      <x:c r="B871" t="str">
        <x:v>Sample Product 00870</x:v>
      </x:c>
      <x:c r="C871" t="str">
        <x:v>Active</x:v>
      </x:c>
      <x:c r="D871" t="str">
        <x:v>2026-03</x:v>
      </x:c>
      <x:c r="E871" s="12" t="n">
        <x:v>77.12</x:v>
      </x:c>
      <x:c r="F871" s="10" t="n">
        <x:v>0.288</x:v>
      </x:c>
      <x:c r="G871" t="str">
        <x:v>General Merchandise</x:v>
      </x:c>
      <x:c r="H871" t="str">
        <x:v>Baby Essentials</x:v>
      </x:c>
      <x:c r="I871" t="str">
        <x:v>MFG015</x:v>
      </x:c>
      <x:c r="J871" t="str">
        <x:v>Manufacturer 015</x:v>
      </x:c>
      <x:c r="K871" t="str">
        <x:v>SUP023</x:v>
      </x:c>
      <x:c r="L871" t="str">
        <x:v>Supplier 023</x:v>
      </x:c>
      <x:c r="M871" t="str">
        <x:v>REG-154411</x:v>
      </x:c>
      <x:c r="N871" t="str">
        <x:v>Generic Ingredient 153</x:v>
      </x:c>
      <x:c r="O871" t="str">
        <x:v>General Sale</x:v>
      </x:c>
      <x:c r="P871" t="n">
        <x:v>67</x:v>
      </x:c>
      <x:c r="Q871" t="n">
        <x:v>7</x:v>
      </x:c>
      <x:c r="R871" t="n">
        <x:v>22</x:v>
      </x:c>
      <x:c r="S871" s="12" t="n">
        <x:f>E871*Q871</x:f>
        <x:v>539.84</x:v>
      </x:c>
      <x:c r="T871" s="12" t="n">
        <x:f>ROUND(S871*F871+0.000000001,2)</x:f>
        <x:v>155.47</x:v>
      </x:c>
      <x:c r="U871" s="12" t="n">
        <x:f>E871*R871</x:f>
        <x:v>1696.64</x:v>
      </x:c>
      <x:c r="V871" t="str">
        <x:f>IF(AND(C871="Active",Q871=0),"Active Zero Sales","Not Zero Sales")</x:f>
        <x:v>Not Zero Sales</x:v>
      </x:c>
      <x:c r="W871" s="12" t="n">
        <x:f>IF(V871="Active Zero Sales",U871,0)</x:f>
        <x:v>0</x:v>
      </x:c>
      <x:c r="X871" t="str">
        <x:f>IF(E871&lt;25,"Low &lt; 25",IF(E871&lt;100,"Medium 25-99",IF(E871&lt;300,"High 100-299","Premium 300+")))</x:f>
        <x:v>Medium 25-99</x:v>
      </x:c>
      <x:c r="Y871" t="n">
        <x:f>IF(C871="Active",1,0)</x:f>
        <x:v>1</x:v>
      </x:c>
    </x:row>
    <x:row r="872">
      <x:c r="A872" t="str">
        <x:v>SKU00871</x:v>
      </x:c>
      <x:c r="B872" t="str">
        <x:v>Sample Product 00871</x:v>
      </x:c>
      <x:c r="C872" t="str">
        <x:v>Active</x:v>
      </x:c>
      <x:c r="D872" t="str">
        <x:v>2026-05</x:v>
      </x:c>
      <x:c r="E872" s="12" t="n">
        <x:v>18.89</x:v>
      </x:c>
      <x:c r="F872" s="10" t="n">
        <x:v>0.242</x:v>
      </x:c>
      <x:c r="G872" t="str">
        <x:v>General Merchandise</x:v>
      </x:c>
      <x:c r="H872" t="str">
        <x:v>Accessories</x:v>
      </x:c>
      <x:c r="I872" t="str">
        <x:v>MFG020</x:v>
      </x:c>
      <x:c r="J872" t="str">
        <x:v>Manufacturer 020</x:v>
      </x:c>
      <x:c r="K872" t="str">
        <x:v>SUP001</x:v>
      </x:c>
      <x:c r="L872" t="str">
        <x:v>Supplier 001</x:v>
      </x:c>
      <x:c r="M872" t="str">
        <x:v>REG-136128</x:v>
      </x:c>
      <x:c r="N872" t="str">
        <x:v>Generic Ingredient 132</x:v>
      </x:c>
      <x:c r="O872" t="str">
        <x:v>General Sale</x:v>
      </x:c>
      <x:c r="P872" t="n">
        <x:v>5</x:v>
      </x:c>
      <x:c r="Q872" t="n">
        <x:v>6</x:v>
      </x:c>
      <x:c r="R872" t="n">
        <x:v>0</x:v>
      </x:c>
      <x:c r="S872" s="12" t="n">
        <x:f>E872*Q872</x:f>
        <x:v>113.34</x:v>
      </x:c>
      <x:c r="T872" s="12" t="n">
        <x:f>ROUND(S872*F872+0.000000001,2)</x:f>
        <x:v>27.43</x:v>
      </x:c>
      <x:c r="U872" s="12" t="n">
        <x:f>E872*R872</x:f>
        <x:v>0</x:v>
      </x:c>
      <x:c r="V872" t="str">
        <x:f>IF(AND(C872="Active",Q872=0),"Active Zero Sales","Not Zero Sales")</x:f>
        <x:v>Not Zero Sales</x:v>
      </x:c>
      <x:c r="W872" s="12" t="n">
        <x:f>IF(V872="Active Zero Sales",U872,0)</x:f>
        <x:v>0</x:v>
      </x:c>
      <x:c r="X872" t="str">
        <x:f>IF(E872&lt;25,"Low &lt; 25",IF(E872&lt;100,"Medium 25-99",IF(E872&lt;300,"High 100-299","Premium 300+")))</x:f>
        <x:v>Low &lt; 25</x:v>
      </x:c>
      <x:c r="Y872" t="n">
        <x:f>IF(C872="Active",1,0)</x:f>
        <x:v>1</x:v>
      </x:c>
    </x:row>
    <x:row r="873">
      <x:c r="A873" t="str">
        <x:v>SKU00872</x:v>
      </x:c>
      <x:c r="B873" t="str">
        <x:v>Sample Product 00872</x:v>
      </x:c>
      <x:c r="C873" t="str">
        <x:v>Active</x:v>
      </x:c>
      <x:c r="D873" t="str">
        <x:v>2026-05</x:v>
      </x:c>
      <x:c r="E873" s="12" t="n">
        <x:v>98.08</x:v>
      </x:c>
      <x:c r="F873" s="10" t="n">
        <x:v>0.3</x:v>
      </x:c>
      <x:c r="G873" t="str">
        <x:v>General Merchandise</x:v>
      </x:c>
      <x:c r="H873" t="str">
        <x:v>Baby Essentials</x:v>
      </x:c>
      <x:c r="I873" t="str">
        <x:v>MFG012</x:v>
      </x:c>
      <x:c r="J873" t="str">
        <x:v>Manufacturer 012</x:v>
      </x:c>
      <x:c r="K873" t="str">
        <x:v>SUP027</x:v>
      </x:c>
      <x:c r="L873" t="str">
        <x:v>Supplier 027</x:v>
      </x:c>
      <x:c r="M873" t="str">
        <x:v>REG-250039</x:v>
      </x:c>
      <x:c r="N873" t="str">
        <x:v>Generic Ingredient 065</x:v>
      </x:c>
      <x:c r="O873" t="str">
        <x:v>Restricted Sale</x:v>
      </x:c>
      <x:c r="P873" t="n">
        <x:v>64</x:v>
      </x:c>
      <x:c r="Q873" t="n">
        <x:v>35</x:v>
      </x:c>
      <x:c r="R873" t="n">
        <x:v>13</x:v>
      </x:c>
      <x:c r="S873" s="12" t="n">
        <x:f>E873*Q873</x:f>
        <x:v>3432.7999999999997</x:v>
      </x:c>
      <x:c r="T873" s="12" t="n">
        <x:f>ROUND(S873*F873+0.000000001,2)</x:f>
        <x:v>1029.84</x:v>
      </x:c>
      <x:c r="U873" s="12" t="n">
        <x:f>E873*R873</x:f>
        <x:v>1275.04</x:v>
      </x:c>
      <x:c r="V873" t="str">
        <x:f>IF(AND(C873="Active",Q873=0),"Active Zero Sales","Not Zero Sales")</x:f>
        <x:v>Not Zero Sales</x:v>
      </x:c>
      <x:c r="W873" s="12" t="n">
        <x:f>IF(V873="Active Zero Sales",U873,0)</x:f>
        <x:v>0</x:v>
      </x:c>
      <x:c r="X873" t="str">
        <x:f>IF(E873&lt;25,"Low &lt; 25",IF(E873&lt;100,"Medium 25-99",IF(E873&lt;300,"High 100-299","Premium 300+")))</x:f>
        <x:v>Medium 25-99</x:v>
      </x:c>
      <x:c r="Y873" t="n">
        <x:f>IF(C873="Active",1,0)</x:f>
        <x:v>1</x:v>
      </x:c>
    </x:row>
    <x:row r="874">
      <x:c r="A874" t="str">
        <x:v>SKU00873</x:v>
      </x:c>
      <x:c r="B874" t="str">
        <x:v>Sample Product 00873</x:v>
      </x:c>
      <x:c r="C874" t="str">
        <x:v>Active</x:v>
      </x:c>
      <x:c r="D874" t="str">
        <x:v>2026-03</x:v>
      </x:c>
      <x:c r="E874" s="12" t="n">
        <x:v>216.04</x:v>
      </x:c>
      <x:c r="F874" s="10" t="n">
        <x:v>0.474</x:v>
      </x:c>
      <x:c r="G874" t="str">
        <x:v>OTC &amp; Wellness</x:v>
      </x:c>
      <x:c r="H874" t="str">
        <x:v>Vitamins</x:v>
      </x:c>
      <x:c r="I874" t="str">
        <x:v>MFG004</x:v>
      </x:c>
      <x:c r="J874" t="str">
        <x:v>Manufacturer 004</x:v>
      </x:c>
      <x:c r="K874" t="str">
        <x:v>SUP010</x:v>
      </x:c>
      <x:c r="L874" t="str">
        <x:v>Supplier 010</x:v>
      </x:c>
      <x:c r="M874" t="str">
        <x:v>REG-491567</x:v>
      </x:c>
      <x:c r="N874" t="str">
        <x:v>Generic Ingredient 091</x:v>
      </x:c>
      <x:c r="O874" t="str">
        <x:v>General Sale</x:v>
      </x:c>
      <x:c r="P874" t="n">
        <x:v>15</x:v>
      </x:c>
      <x:c r="Q874" t="n">
        <x:v>0</x:v>
      </x:c>
      <x:c r="R874" t="n">
        <x:v>23</x:v>
      </x:c>
      <x:c r="S874" s="12" t="n">
        <x:f>E874*Q874</x:f>
        <x:v>0</x:v>
      </x:c>
      <x:c r="T874" s="12" t="n">
        <x:f>ROUND(S874*F874+0.000000001,2)</x:f>
        <x:v>0</x:v>
      </x:c>
      <x:c r="U874" s="12" t="n">
        <x:f>E874*R874</x:f>
        <x:v>4968.92</x:v>
      </x:c>
      <x:c r="V874" t="str">
        <x:f>IF(AND(C874="Active",Q874=0),"Active Zero Sales","Not Zero Sales")</x:f>
        <x:v>Active Zero Sales</x:v>
      </x:c>
      <x:c r="W874" s="12" t="n">
        <x:f>IF(V874="Active Zero Sales",U874,0)</x:f>
        <x:v>4968.92</x:v>
      </x:c>
      <x:c r="X874" t="str">
        <x:f>IF(E874&lt;25,"Low &lt; 25",IF(E874&lt;100,"Medium 25-99",IF(E874&lt;300,"High 100-299","Premium 300+")))</x:f>
        <x:v>High 100-299</x:v>
      </x:c>
      <x:c r="Y874" t="n">
        <x:f>IF(C874="Active",1,0)</x:f>
        <x:v>1</x:v>
      </x:c>
    </x:row>
    <x:row r="875">
      <x:c r="A875" t="str">
        <x:v>SKU00874</x:v>
      </x:c>
      <x:c r="B875" t="str">
        <x:v>Sample Product 00874</x:v>
      </x:c>
      <x:c r="C875" t="str">
        <x:v>Active</x:v>
      </x:c>
      <x:c r="D875" t="str">
        <x:v>2026-04</x:v>
      </x:c>
      <x:c r="E875" s="12" t="n">
        <x:v>99.13</x:v>
      </x:c>
      <x:c r="F875" s="10" t="n">
        <x:v>0.521</x:v>
      </x:c>
      <x:c r="G875" t="str">
        <x:v>Nutrition</x:v>
      </x:c>
      <x:c r="H875" t="str">
        <x:v>Adult Nutrition</x:v>
      </x:c>
      <x:c r="I875" t="str">
        <x:v>MFG004</x:v>
      </x:c>
      <x:c r="J875" t="str">
        <x:v>Manufacturer 004</x:v>
      </x:c>
      <x:c r="K875" t="str">
        <x:v>SUP022</x:v>
      </x:c>
      <x:c r="L875" t="str">
        <x:v>Supplier 022</x:v>
      </x:c>
      <x:c r="M875" t="str">
        <x:v>REG-283180</x:v>
      </x:c>
      <x:c r="N875" t="str">
        <x:v>Generic Ingredient 060</x:v>
      </x:c>
      <x:c r="O875" t="str">
        <x:v>General Sale</x:v>
      </x:c>
      <x:c r="P875" t="n">
        <x:v>49</x:v>
      </x:c>
      <x:c r="Q875" t="n">
        <x:v>14</x:v>
      </x:c>
      <x:c r="R875" t="n">
        <x:v>33</x:v>
      </x:c>
      <x:c r="S875" s="12" t="n">
        <x:f>E875*Q875</x:f>
        <x:v>1387.82</x:v>
      </x:c>
      <x:c r="T875" s="12" t="n">
        <x:f>ROUND(S875*F875+0.000000001,2)</x:f>
        <x:v>723.05</x:v>
      </x:c>
      <x:c r="U875" s="12" t="n">
        <x:f>E875*R875</x:f>
        <x:v>3271.29</x:v>
      </x:c>
      <x:c r="V875" t="str">
        <x:f>IF(AND(C875="Active",Q875=0),"Active Zero Sales","Not Zero Sales")</x:f>
        <x:v>Not Zero Sales</x:v>
      </x:c>
      <x:c r="W875" s="12" t="n">
        <x:f>IF(V875="Active Zero Sales",U875,0)</x:f>
        <x:v>0</x:v>
      </x:c>
      <x:c r="X875" t="str">
        <x:f>IF(E875&lt;25,"Low &lt; 25",IF(E875&lt;100,"Medium 25-99",IF(E875&lt;300,"High 100-299","Premium 300+")))</x:f>
        <x:v>Medium 25-99</x:v>
      </x:c>
      <x:c r="Y875" t="n">
        <x:f>IF(C875="Active",1,0)</x:f>
        <x:v>1</x:v>
      </x:c>
    </x:row>
    <x:row r="876">
      <x:c r="A876" t="str">
        <x:v>SKU00875</x:v>
      </x:c>
      <x:c r="B876" t="str">
        <x:v>Sample Product 00875</x:v>
      </x:c>
      <x:c r="C876" t="str">
        <x:v>Blocked</x:v>
      </x:c>
      <x:c r="D876" t="str">
        <x:v>2026-01</x:v>
      </x:c>
      <x:c r="E876" s="12" t="n">
        <x:v>85.58</x:v>
      </x:c>
      <x:c r="F876" s="10" t="n">
        <x:v>0.202</x:v>
      </x:c>
      <x:c r="G876" t="str">
        <x:v>Medical Devices</x:v>
      </x:c>
      <x:c r="H876" t="str">
        <x:v>Mobility Aids</x:v>
      </x:c>
      <x:c r="I876" t="str">
        <x:v>MFG015</x:v>
      </x:c>
      <x:c r="J876" t="str">
        <x:v>Manufacturer 015</x:v>
      </x:c>
      <x:c r="K876" t="str">
        <x:v>SUP011</x:v>
      </x:c>
      <x:c r="L876" t="str">
        <x:v>Supplier 011</x:v>
      </x:c>
      <x:c r="M876" t="str">
        <x:v>REG-151019</x:v>
      </x:c>
      <x:c r="N876" t="str">
        <x:v>Generic Ingredient 043</x:v>
      </x:c>
      <x:c r="O876" t="str">
        <x:v>General Sale</x:v>
      </x:c>
      <x:c r="P876" t="n">
        <x:v>34</x:v>
      </x:c>
      <x:c r="Q876" t="n">
        <x:v>0</x:v>
      </x:c>
      <x:c r="R876" t="n">
        <x:v>0</x:v>
      </x:c>
      <x:c r="S876" s="12" t="n">
        <x:f>E876*Q876</x:f>
        <x:v>0</x:v>
      </x:c>
      <x:c r="T876" s="12" t="n">
        <x:f>ROUND(S876*F876+0.000000001,2)</x:f>
        <x:v>0</x:v>
      </x:c>
      <x:c r="U876" s="12" t="n">
        <x:f>E876*R876</x:f>
        <x:v>0</x:v>
      </x:c>
      <x:c r="V876" t="str">
        <x:f>IF(AND(C876="Active",Q876=0),"Active Zero Sales","Not Zero Sales")</x:f>
        <x:v>Not Zero Sales</x:v>
      </x:c>
      <x:c r="W876" s="12" t="n">
        <x:f>IF(V876="Active Zero Sales",U876,0)</x:f>
        <x:v>0</x:v>
      </x:c>
      <x:c r="X876" t="str">
        <x:f>IF(E876&lt;25,"Low &lt; 25",IF(E876&lt;100,"Medium 25-99",IF(E876&lt;300,"High 100-299","Premium 300+")))</x:f>
        <x:v>Medium 25-99</x:v>
      </x:c>
      <x:c r="Y876" t="n">
        <x:f>IF(C876="Active",1,0)</x:f>
        <x:v>0</x:v>
      </x:c>
    </x:row>
    <x:row r="877">
      <x:c r="A877" t="str">
        <x:v>SKU00876</x:v>
      </x:c>
      <x:c r="B877" t="str">
        <x:v>Sample Product 00876</x:v>
      </x:c>
      <x:c r="C877" t="str">
        <x:v>Active</x:v>
      </x:c>
      <x:c r="D877" t="str">
        <x:v>2026-05</x:v>
      </x:c>
      <x:c r="E877" s="12" t="n">
        <x:v>4.65</x:v>
      </x:c>
      <x:c r="F877" s="10" t="n">
        <x:v>0.173</x:v>
      </x:c>
      <x:c r="G877" t="str">
        <x:v>Medical Devices</x:v>
      </x:c>
      <x:c r="H877" t="str">
        <x:v>Mobility Aids</x:v>
      </x:c>
      <x:c r="I877" t="str">
        <x:v>MFG006</x:v>
      </x:c>
      <x:c r="J877" t="str">
        <x:v>Manufacturer 006</x:v>
      </x:c>
      <x:c r="K877" t="str">
        <x:v>SUP011</x:v>
      </x:c>
      <x:c r="L877" t="str">
        <x:v>Supplier 011</x:v>
      </x:c>
      <x:c r="M877" t="str">
        <x:v>REG-381307</x:v>
      </x:c>
      <x:c r="N877" t="str">
        <x:v>Generic Ingredient 011</x:v>
      </x:c>
      <x:c r="O877" t="str">
        <x:v>Pharmacy Only</x:v>
      </x:c>
      <x:c r="P877" t="n">
        <x:v>46</x:v>
      </x:c>
      <x:c r="Q877" t="n">
        <x:v>13</x:v>
      </x:c>
      <x:c r="R877" t="n">
        <x:v>0</x:v>
      </x:c>
      <x:c r="S877" s="12" t="n">
        <x:f>E877*Q877</x:f>
        <x:v>60.45</x:v>
      </x:c>
      <x:c r="T877" s="12" t="n">
        <x:f>ROUND(S877*F877+0.000000001,2)</x:f>
        <x:v>10.46</x:v>
      </x:c>
      <x:c r="U877" s="12" t="n">
        <x:f>E877*R877</x:f>
        <x:v>0</x:v>
      </x:c>
      <x:c r="V877" t="str">
        <x:f>IF(AND(C877="Active",Q877=0),"Active Zero Sales","Not Zero Sales")</x:f>
        <x:v>Not Zero Sales</x:v>
      </x:c>
      <x:c r="W877" s="12" t="n">
        <x:f>IF(V877="Active Zero Sales",U877,0)</x:f>
        <x:v>0</x:v>
      </x:c>
      <x:c r="X877" t="str">
        <x:f>IF(E877&lt;25,"Low &lt; 25",IF(E877&lt;100,"Medium 25-99",IF(E877&lt;300,"High 100-299","Premium 300+")))</x:f>
        <x:v>Low &lt; 25</x:v>
      </x:c>
      <x:c r="Y877" t="n">
        <x:f>IF(C877="Active",1,0)</x:f>
        <x:v>1</x:v>
      </x:c>
    </x:row>
    <x:row r="878">
      <x:c r="A878" t="str">
        <x:v>SKU00877</x:v>
      </x:c>
      <x:c r="B878" t="str">
        <x:v>Sample Product 00877</x:v>
      </x:c>
      <x:c r="C878" t="str">
        <x:v>Active</x:v>
      </x:c>
      <x:c r="D878" t="str">
        <x:v>2026-01</x:v>
      </x:c>
      <x:c r="E878" s="12" t="n">
        <x:v>12.03</x:v>
      </x:c>
      <x:c r="F878" s="10" t="n">
        <x:v>0.275</x:v>
      </x:c>
      <x:c r="G878" t="str">
        <x:v>Medical Devices</x:v>
      </x:c>
      <x:c r="H878" t="str">
        <x:v>Monitoring Supplies</x:v>
      </x:c>
      <x:c r="I878" t="str">
        <x:v>MFG004</x:v>
      </x:c>
      <x:c r="J878" t="str">
        <x:v>Manufacturer 004</x:v>
      </x:c>
      <x:c r="K878" t="str">
        <x:v>SUP030</x:v>
      </x:c>
      <x:c r="L878" t="str">
        <x:v>Supplier 030</x:v>
      </x:c>
      <x:c r="M878" t="str">
        <x:v>REG-851213</x:v>
      </x:c>
      <x:c r="N878" t="str">
        <x:v>Generic Ingredient 028</x:v>
      </x:c>
      <x:c r="O878" t="str">
        <x:v>General Sale</x:v>
      </x:c>
      <x:c r="P878" t="n">
        <x:v>118</x:v>
      </x:c>
      <x:c r="Q878" t="n">
        <x:v>52</x:v>
      </x:c>
      <x:c r="R878" t="n">
        <x:v>29</x:v>
      </x:c>
      <x:c r="S878" s="12" t="n">
        <x:f>E878*Q878</x:f>
        <x:v>625.56</x:v>
      </x:c>
      <x:c r="T878" s="12" t="n">
        <x:f>ROUND(S878*F878+0.000000001,2)</x:f>
        <x:v>172.03</x:v>
      </x:c>
      <x:c r="U878" s="12" t="n">
        <x:f>E878*R878</x:f>
        <x:v>348.87</x:v>
      </x:c>
      <x:c r="V878" t="str">
        <x:f>IF(AND(C878="Active",Q878=0),"Active Zero Sales","Not Zero Sales")</x:f>
        <x:v>Not Zero Sales</x:v>
      </x:c>
      <x:c r="W878" s="12" t="n">
        <x:f>IF(V878="Active Zero Sales",U878,0)</x:f>
        <x:v>0</x:v>
      </x:c>
      <x:c r="X878" t="str">
        <x:f>IF(E878&lt;25,"Low &lt; 25",IF(E878&lt;100,"Medium 25-99",IF(E878&lt;300,"High 100-299","Premium 300+")))</x:f>
        <x:v>Low &lt; 25</x:v>
      </x:c>
      <x:c r="Y878" t="n">
        <x:f>IF(C878="Active",1,0)</x:f>
        <x:v>1</x:v>
      </x:c>
    </x:row>
    <x:row r="879">
      <x:c r="A879" t="str">
        <x:v>SKU00878</x:v>
      </x:c>
      <x:c r="B879" t="str">
        <x:v>Sample Product 00878</x:v>
      </x:c>
      <x:c r="C879" t="str">
        <x:v>Active</x:v>
      </x:c>
      <x:c r="D879" t="str">
        <x:v>2026-06</x:v>
      </x:c>
      <x:c r="E879" s="12" t="n">
        <x:v>48.89</x:v>
      </x:c>
      <x:c r="F879" s="10" t="n">
        <x:v>0.38</x:v>
      </x:c>
      <x:c r="G879" t="str">
        <x:v>General Merchandise</x:v>
      </x:c>
      <x:c r="H879" t="str">
        <x:v>Accessories</x:v>
      </x:c>
      <x:c r="I879" t="str">
        <x:v>MFG016</x:v>
      </x:c>
      <x:c r="J879" t="str">
        <x:v>Manufacturer 016</x:v>
      </x:c>
      <x:c r="K879" t="str">
        <x:v>SUP007</x:v>
      </x:c>
      <x:c r="L879" t="str">
        <x:v>Supplier 007</x:v>
      </x:c>
      <x:c r="M879" t="str">
        <x:v>REG-483561</x:v>
      </x:c>
      <x:c r="N879" t="str">
        <x:v>Generic Ingredient 033</x:v>
      </x:c>
      <x:c r="O879" t="str">
        <x:v>General Sale</x:v>
      </x:c>
      <x:c r="P879" t="n">
        <x:v>38</x:v>
      </x:c>
      <x:c r="Q879" t="n">
        <x:v>0</x:v>
      </x:c>
      <x:c r="R879" t="n">
        <x:v>36</x:v>
      </x:c>
      <x:c r="S879" s="12" t="n">
        <x:f>E879*Q879</x:f>
        <x:v>0</x:v>
      </x:c>
      <x:c r="T879" s="12" t="n">
        <x:f>ROUND(S879*F879+0.000000001,2)</x:f>
        <x:v>0</x:v>
      </x:c>
      <x:c r="U879" s="12" t="n">
        <x:f>E879*R879</x:f>
        <x:v>1760.04</x:v>
      </x:c>
      <x:c r="V879" t="str">
        <x:f>IF(AND(C879="Active",Q879=0),"Active Zero Sales","Not Zero Sales")</x:f>
        <x:v>Active Zero Sales</x:v>
      </x:c>
      <x:c r="W879" s="12" t="n">
        <x:f>IF(V879="Active Zero Sales",U879,0)</x:f>
        <x:v>1760.04</x:v>
      </x:c>
      <x:c r="X879" t="str">
        <x:f>IF(E879&lt;25,"Low &lt; 25",IF(E879&lt;100,"Medium 25-99",IF(E879&lt;300,"High 100-299","Premium 300+")))</x:f>
        <x:v>Medium 25-99</x:v>
      </x:c>
      <x:c r="Y879" t="n">
        <x:f>IF(C879="Active",1,0)</x:f>
        <x:v>1</x:v>
      </x:c>
    </x:row>
    <x:row r="880">
      <x:c r="A880" t="str">
        <x:v>SKU00879</x:v>
      </x:c>
      <x:c r="B880" t="str">
        <x:v>Sample Product 00879</x:v>
      </x:c>
      <x:c r="C880" t="str">
        <x:v>Active</x:v>
      </x:c>
      <x:c r="D880" t="str">
        <x:v>2026-03</x:v>
      </x:c>
      <x:c r="E880" s="12" t="n">
        <x:v>59.48</x:v>
      </x:c>
      <x:c r="F880" s="10" t="n">
        <x:v>0.407</x:v>
      </x:c>
      <x:c r="G880" t="str">
        <x:v>Nutrition</x:v>
      </x:c>
      <x:c r="H880" t="str">
        <x:v>Sports Nutrition</x:v>
      </x:c>
      <x:c r="I880" t="str">
        <x:v>MFG006</x:v>
      </x:c>
      <x:c r="J880" t="str">
        <x:v>Manufacturer 006</x:v>
      </x:c>
      <x:c r="K880" t="str">
        <x:v>SUP005</x:v>
      </x:c>
      <x:c r="L880" t="str">
        <x:v>Supplier 005</x:v>
      </x:c>
      <x:c r="M880" t="str">
        <x:v>REG-301013</x:v>
      </x:c>
      <x:c r="N880" t="str">
        <x:v>Generic Ingredient 155</x:v>
      </x:c>
      <x:c r="O880" t="str">
        <x:v>General Sale</x:v>
      </x:c>
      <x:c r="P880" t="n">
        <x:v>30</x:v>
      </x:c>
      <x:c r="Q880" t="n">
        <x:v>11</x:v>
      </x:c>
      <x:c r="R880" t="n">
        <x:v>10</x:v>
      </x:c>
      <x:c r="S880" s="12" t="n">
        <x:f>E880*Q880</x:f>
        <x:v>654.28</x:v>
      </x:c>
      <x:c r="T880" s="12" t="n">
        <x:f>ROUND(S880*F880+0.000000001,2)</x:f>
        <x:v>266.29</x:v>
      </x:c>
      <x:c r="U880" s="12" t="n">
        <x:f>E880*R880</x:f>
        <x:v>594.8</x:v>
      </x:c>
      <x:c r="V880" t="str">
        <x:f>IF(AND(C880="Active",Q880=0),"Active Zero Sales","Not Zero Sales")</x:f>
        <x:v>Not Zero Sales</x:v>
      </x:c>
      <x:c r="W880" s="12" t="n">
        <x:f>IF(V880="Active Zero Sales",U880,0)</x:f>
        <x:v>0</x:v>
      </x:c>
      <x:c r="X880" t="str">
        <x:f>IF(E880&lt;25,"Low &lt; 25",IF(E880&lt;100,"Medium 25-99",IF(E880&lt;300,"High 100-299","Premium 300+")))</x:f>
        <x:v>Medium 25-99</x:v>
      </x:c>
      <x:c r="Y880" t="n">
        <x:f>IF(C880="Active",1,0)</x:f>
        <x:v>1</x:v>
      </x:c>
    </x:row>
    <x:row r="881">
      <x:c r="A881" t="str">
        <x:v>SKU00880</x:v>
      </x:c>
      <x:c r="B881" t="str">
        <x:v>Sample Product 00880</x:v>
      </x:c>
      <x:c r="C881" t="str">
        <x:v>Blocked</x:v>
      </x:c>
      <x:c r="D881" t="str">
        <x:v>2026-01</x:v>
      </x:c>
      <x:c r="E881" s="12" t="n">
        <x:v>279.81</x:v>
      </x:c>
      <x:c r="F881" s="10" t="n">
        <x:v>0.297</x:v>
      </x:c>
      <x:c r="G881" t="str">
        <x:v>Nutrition</x:v>
      </x:c>
      <x:c r="H881" t="str">
        <x:v>Healthy Snacks</x:v>
      </x:c>
      <x:c r="I881" t="str">
        <x:v>MFG011</x:v>
      </x:c>
      <x:c r="J881" t="str">
        <x:v>Manufacturer 011</x:v>
      </x:c>
      <x:c r="K881" t="str">
        <x:v>SUP007</x:v>
      </x:c>
      <x:c r="L881" t="str">
        <x:v>Supplier 007</x:v>
      </x:c>
      <x:c r="M881" t="str">
        <x:v>REG-593400</x:v>
      </x:c>
      <x:c r="N881" t="str">
        <x:v>Generic Ingredient 087</x:v>
      </x:c>
      <x:c r="O881" t="str">
        <x:v>General Sale</x:v>
      </x:c>
      <x:c r="P881" t="n">
        <x:v>21</x:v>
      </x:c>
      <x:c r="Q881" t="n">
        <x:v>0</x:v>
      </x:c>
      <x:c r="R881" t="n">
        <x:v>0</x:v>
      </x:c>
      <x:c r="S881" s="12" t="n">
        <x:f>E881*Q881</x:f>
        <x:v>0</x:v>
      </x:c>
      <x:c r="T881" s="12" t="n">
        <x:f>ROUND(S881*F881+0.000000001,2)</x:f>
        <x:v>0</x:v>
      </x:c>
      <x:c r="U881" s="12" t="n">
        <x:f>E881*R881</x:f>
        <x:v>0</x:v>
      </x:c>
      <x:c r="V881" t="str">
        <x:f>IF(AND(C881="Active",Q881=0),"Active Zero Sales","Not Zero Sales")</x:f>
        <x:v>Not Zero Sales</x:v>
      </x:c>
      <x:c r="W881" s="12" t="n">
        <x:f>IF(V881="Active Zero Sales",U881,0)</x:f>
        <x:v>0</x:v>
      </x:c>
      <x:c r="X881" t="str">
        <x:f>IF(E881&lt;25,"Low &lt; 25",IF(E881&lt;100,"Medium 25-99",IF(E881&lt;300,"High 100-299","Premium 300+")))</x:f>
        <x:v>High 100-299</x:v>
      </x:c>
      <x:c r="Y881" t="n">
        <x:f>IF(C881="Active",1,0)</x:f>
        <x:v>0</x:v>
      </x:c>
    </x:row>
    <x:row r="882">
      <x:c r="A882" t="str">
        <x:v>SKU00881</x:v>
      </x:c>
      <x:c r="B882" t="str">
        <x:v>Sample Product 00881</x:v>
      </x:c>
      <x:c r="C882" t="str">
        <x:v>Active</x:v>
      </x:c>
      <x:c r="D882" t="str">
        <x:v>2026-06</x:v>
      </x:c>
      <x:c r="E882" s="12" t="n">
        <x:v>18.33</x:v>
      </x:c>
      <x:c r="F882" s="10" t="n">
        <x:v>0.38</x:v>
      </x:c>
      <x:c r="G882" t="str">
        <x:v>Personal Care</x:v>
      </x:c>
      <x:c r="H882" t="str">
        <x:v>Oral Care</x:v>
      </x:c>
      <x:c r="I882" t="str">
        <x:v>MFG003</x:v>
      </x:c>
      <x:c r="J882" t="str">
        <x:v>Manufacturer 003</x:v>
      </x:c>
      <x:c r="K882" t="str">
        <x:v>SUP020</x:v>
      </x:c>
      <x:c r="L882" t="str">
        <x:v>Supplier 020</x:v>
      </x:c>
      <x:c r="M882" t="str">
        <x:v>REG-117136</x:v>
      </x:c>
      <x:c r="N882" t="str">
        <x:v>Generic Ingredient 038</x:v>
      </x:c>
      <x:c r="O882" t="str">
        <x:v>General Sale</x:v>
      </x:c>
      <x:c r="P882" t="n">
        <x:v>74</x:v>
      </x:c>
      <x:c r="Q882" t="n">
        <x:v>20</x:v>
      </x:c>
      <x:c r="R882" t="n">
        <x:v>27</x:v>
      </x:c>
      <x:c r="S882" s="12" t="n">
        <x:f>E882*Q882</x:f>
        <x:v>366.59999999999997</x:v>
      </x:c>
      <x:c r="T882" s="12" t="n">
        <x:f>ROUND(S882*F882+0.000000001,2)</x:f>
        <x:v>139.31</x:v>
      </x:c>
      <x:c r="U882" s="12" t="n">
        <x:f>E882*R882</x:f>
        <x:v>494.90999999999997</x:v>
      </x:c>
      <x:c r="V882" t="str">
        <x:f>IF(AND(C882="Active",Q882=0),"Active Zero Sales","Not Zero Sales")</x:f>
        <x:v>Not Zero Sales</x:v>
      </x:c>
      <x:c r="W882" s="12" t="n">
        <x:f>IF(V882="Active Zero Sales",U882,0)</x:f>
        <x:v>0</x:v>
      </x:c>
      <x:c r="X882" t="str">
        <x:f>IF(E882&lt;25,"Low &lt; 25",IF(E882&lt;100,"Medium 25-99",IF(E882&lt;300,"High 100-299","Premium 300+")))</x:f>
        <x:v>Low &lt; 25</x:v>
      </x:c>
      <x:c r="Y882" t="n">
        <x:f>IF(C882="Active",1,0)</x:f>
        <x:v>1</x:v>
      </x:c>
    </x:row>
    <x:row r="883">
      <x:c r="A883" t="str">
        <x:v>SKU00882</x:v>
      </x:c>
      <x:c r="B883" t="str">
        <x:v>Sample Product 00882</x:v>
      </x:c>
      <x:c r="C883" t="str">
        <x:v>Blocked</x:v>
      </x:c>
      <x:c r="D883" t="str">
        <x:v>2026-06</x:v>
      </x:c>
      <x:c r="E883" s="12" t="n">
        <x:v>78.44</x:v>
      </x:c>
      <x:c r="F883" s="10" t="n">
        <x:v>0.375</x:v>
      </x:c>
      <x:c r="G883" t="str">
        <x:v>Nutrition</x:v>
      </x:c>
      <x:c r="H883" t="str">
        <x:v>Healthy Snacks</x:v>
      </x:c>
      <x:c r="I883" t="str">
        <x:v>MFG008</x:v>
      </x:c>
      <x:c r="J883" t="str">
        <x:v>Manufacturer 008</x:v>
      </x:c>
      <x:c r="K883" t="str">
        <x:v>SUP006</x:v>
      </x:c>
      <x:c r="L883" t="str">
        <x:v>Supplier 006</x:v>
      </x:c>
      <x:c r="M883" t="str">
        <x:v>REG-473489</x:v>
      </x:c>
      <x:c r="N883" t="str">
        <x:v>Generic Ingredient 165</x:v>
      </x:c>
      <x:c r="O883" t="str">
        <x:v>General Sale</x:v>
      </x:c>
      <x:c r="P883" t="n">
        <x:v>14</x:v>
      </x:c>
      <x:c r="Q883" t="n">
        <x:v>0</x:v>
      </x:c>
      <x:c r="R883" t="n">
        <x:v>0</x:v>
      </x:c>
      <x:c r="S883" s="12" t="n">
        <x:f>E883*Q883</x:f>
        <x:v>0</x:v>
      </x:c>
      <x:c r="T883" s="12" t="n">
        <x:f>ROUND(S883*F883+0.000000001,2)</x:f>
        <x:v>0</x:v>
      </x:c>
      <x:c r="U883" s="12" t="n">
        <x:f>E883*R883</x:f>
        <x:v>0</x:v>
      </x:c>
      <x:c r="V883" t="str">
        <x:f>IF(AND(C883="Active",Q883=0),"Active Zero Sales","Not Zero Sales")</x:f>
        <x:v>Not Zero Sales</x:v>
      </x:c>
      <x:c r="W883" s="12" t="n">
        <x:f>IF(V883="Active Zero Sales",U883,0)</x:f>
        <x:v>0</x:v>
      </x:c>
      <x:c r="X883" t="str">
        <x:f>IF(E883&lt;25,"Low &lt; 25",IF(E883&lt;100,"Medium 25-99",IF(E883&lt;300,"High 100-299","Premium 300+")))</x:f>
        <x:v>Medium 25-99</x:v>
      </x:c>
      <x:c r="Y883" t="n">
        <x:f>IF(C883="Active",1,0)</x:f>
        <x:v>0</x:v>
      </x:c>
    </x:row>
    <x:row r="884">
      <x:c r="A884" t="str">
        <x:v>SKU00883</x:v>
      </x:c>
      <x:c r="B884" t="str">
        <x:v>Sample Product 00883</x:v>
      </x:c>
      <x:c r="C884" t="str">
        <x:v>Blocked</x:v>
      </x:c>
      <x:c r="D884" t="str">
        <x:v>2026-04</x:v>
      </x:c>
      <x:c r="E884" s="12" t="n">
        <x:v>21.65</x:v>
      </x:c>
      <x:c r="F884" s="10" t="n">
        <x:v>0.234</x:v>
      </x:c>
      <x:c r="G884" t="str">
        <x:v>Medical Devices</x:v>
      </x:c>
      <x:c r="H884" t="str">
        <x:v>Monitoring Supplies</x:v>
      </x:c>
      <x:c r="I884" t="str">
        <x:v>MFG011</x:v>
      </x:c>
      <x:c r="J884" t="str">
        <x:v>Manufacturer 011</x:v>
      </x:c>
      <x:c r="K884" t="str">
        <x:v>SUP004</x:v>
      </x:c>
      <x:c r="L884" t="str">
        <x:v>Supplier 004</x:v>
      </x:c>
      <x:c r="M884" t="str">
        <x:v>REG-277476</x:v>
      </x:c>
      <x:c r="N884" t="str">
        <x:v>Generic Ingredient 165</x:v>
      </x:c>
      <x:c r="O884" t="str">
        <x:v>General Sale</x:v>
      </x:c>
      <x:c r="P884" t="n">
        <x:v>0</x:v>
      </x:c>
      <x:c r="Q884" t="n">
        <x:v>0</x:v>
      </x:c>
      <x:c r="R884" t="n">
        <x:v>0</x:v>
      </x:c>
      <x:c r="S884" s="12" t="n">
        <x:f>E884*Q884</x:f>
        <x:v>0</x:v>
      </x:c>
      <x:c r="T884" s="12" t="n">
        <x:f>ROUND(S884*F884+0.000000001,2)</x:f>
        <x:v>0</x:v>
      </x:c>
      <x:c r="U884" s="12" t="n">
        <x:f>E884*R884</x:f>
        <x:v>0</x:v>
      </x:c>
      <x:c r="V884" t="str">
        <x:f>IF(AND(C884="Active",Q884=0),"Active Zero Sales","Not Zero Sales")</x:f>
        <x:v>Not Zero Sales</x:v>
      </x:c>
      <x:c r="W884" s="12" t="n">
        <x:f>IF(V884="Active Zero Sales",U884,0)</x:f>
        <x:v>0</x:v>
      </x:c>
      <x:c r="X884" t="str">
        <x:f>IF(E884&lt;25,"Low &lt; 25",IF(E884&lt;100,"Medium 25-99",IF(E884&lt;300,"High 100-299","Premium 300+")))</x:f>
        <x:v>Low &lt; 25</x:v>
      </x:c>
      <x:c r="Y884" t="n">
        <x:f>IF(C884="Active",1,0)</x:f>
        <x:v>0</x:v>
      </x:c>
    </x:row>
    <x:row r="885">
      <x:c r="A885" t="str">
        <x:v>SKU00884</x:v>
      </x:c>
      <x:c r="B885" t="str">
        <x:v>Sample Product 00884</x:v>
      </x:c>
      <x:c r="C885" t="str">
        <x:v>Blocked</x:v>
      </x:c>
      <x:c r="D885" t="str">
        <x:v>2026-04</x:v>
      </x:c>
      <x:c r="E885" s="12" t="n">
        <x:v>16.57</x:v>
      </x:c>
      <x:c r="F885" s="10" t="n">
        <x:v>0.519</x:v>
      </x:c>
      <x:c r="G885" t="str">
        <x:v>Personal Care</x:v>
      </x:c>
      <x:c r="H885" t="str">
        <x:v>Hair Care</x:v>
      </x:c>
      <x:c r="I885" t="str">
        <x:v>MFG011</x:v>
      </x:c>
      <x:c r="J885" t="str">
        <x:v>Manufacturer 011</x:v>
      </x:c>
      <x:c r="K885" t="str">
        <x:v>SUP004</x:v>
      </x:c>
      <x:c r="L885" t="str">
        <x:v>Supplier 004</x:v>
      </x:c>
      <x:c r="M885" t="str">
        <x:v>REG-243749</x:v>
      </x:c>
      <x:c r="N885" t="str">
        <x:v>Generic Ingredient 017</x:v>
      </x:c>
      <x:c r="O885" t="str">
        <x:v>Pharmacy Only</x:v>
      </x:c>
      <x:c r="P885" t="n">
        <x:v>21</x:v>
      </x:c>
      <x:c r="Q885" t="n">
        <x:v>0</x:v>
      </x:c>
      <x:c r="R885" t="n">
        <x:v>0</x:v>
      </x:c>
      <x:c r="S885" s="12" t="n">
        <x:f>E885*Q885</x:f>
        <x:v>0</x:v>
      </x:c>
      <x:c r="T885" s="12" t="n">
        <x:f>ROUND(S885*F885+0.000000001,2)</x:f>
        <x:v>0</x:v>
      </x:c>
      <x:c r="U885" s="12" t="n">
        <x:f>E885*R885</x:f>
        <x:v>0</x:v>
      </x:c>
      <x:c r="V885" t="str">
        <x:f>IF(AND(C885="Active",Q885=0),"Active Zero Sales","Not Zero Sales")</x:f>
        <x:v>Not Zero Sales</x:v>
      </x:c>
      <x:c r="W885" s="12" t="n">
        <x:f>IF(V885="Active Zero Sales",U885,0)</x:f>
        <x:v>0</x:v>
      </x:c>
      <x:c r="X885" t="str">
        <x:f>IF(E885&lt;25,"Low &lt; 25",IF(E885&lt;100,"Medium 25-99",IF(E885&lt;300,"High 100-299","Premium 300+")))</x:f>
        <x:v>Low &lt; 25</x:v>
      </x:c>
      <x:c r="Y885" t="n">
        <x:f>IF(C885="Active",1,0)</x:f>
        <x:v>0</x:v>
      </x:c>
    </x:row>
    <x:row r="886">
      <x:c r="A886" t="str">
        <x:v>SKU00885</x:v>
      </x:c>
      <x:c r="B886" t="str">
        <x:v>Sample Product 00885</x:v>
      </x:c>
      <x:c r="C886" t="str">
        <x:v>Active</x:v>
      </x:c>
      <x:c r="D886" t="str">
        <x:v>2026-05</x:v>
      </x:c>
      <x:c r="E886" s="12" t="n">
        <x:v>82.11</x:v>
      </x:c>
      <x:c r="F886" s="10" t="n">
        <x:v>0.489</x:v>
      </x:c>
      <x:c r="G886" t="str">
        <x:v>OTC &amp; Wellness</x:v>
      </x:c>
      <x:c r="H886" t="str">
        <x:v>Vitamins</x:v>
      </x:c>
      <x:c r="I886" t="str">
        <x:v>MFG017</x:v>
      </x:c>
      <x:c r="J886" t="str">
        <x:v>Manufacturer 017</x:v>
      </x:c>
      <x:c r="K886" t="str">
        <x:v>SUP010</x:v>
      </x:c>
      <x:c r="L886" t="str">
        <x:v>Supplier 010</x:v>
      </x:c>
      <x:c r="M886" t="str">
        <x:v>REG-992991</x:v>
      </x:c>
      <x:c r="N886" t="str">
        <x:v>Generic Ingredient 062</x:v>
      </x:c>
      <x:c r="O886" t="str">
        <x:v>Pharmacy Only</x:v>
      </x:c>
      <x:c r="P886" t="n">
        <x:v>32</x:v>
      </x:c>
      <x:c r="Q886" t="n">
        <x:v>9</x:v>
      </x:c>
      <x:c r="R886" t="n">
        <x:v>0</x:v>
      </x:c>
      <x:c r="S886" s="12" t="n">
        <x:f>E886*Q886</x:f>
        <x:v>738.99</x:v>
      </x:c>
      <x:c r="T886" s="12" t="n">
        <x:f>ROUND(S886*F886+0.000000001,2)</x:f>
        <x:v>361.37</x:v>
      </x:c>
      <x:c r="U886" s="12" t="n">
        <x:f>E886*R886</x:f>
        <x:v>0</x:v>
      </x:c>
      <x:c r="V886" t="str">
        <x:f>IF(AND(C886="Active",Q886=0),"Active Zero Sales","Not Zero Sales")</x:f>
        <x:v>Not Zero Sales</x:v>
      </x:c>
      <x:c r="W886" s="12" t="n">
        <x:f>IF(V886="Active Zero Sales",U886,0)</x:f>
        <x:v>0</x:v>
      </x:c>
      <x:c r="X886" t="str">
        <x:f>IF(E886&lt;25,"Low &lt; 25",IF(E886&lt;100,"Medium 25-99",IF(E886&lt;300,"High 100-299","Premium 300+")))</x:f>
        <x:v>Medium 25-99</x:v>
      </x:c>
      <x:c r="Y886" t="n">
        <x:f>IF(C886="Active",1,0)</x:f>
        <x:v>1</x:v>
      </x:c>
    </x:row>
    <x:row r="887">
      <x:c r="A887" t="str">
        <x:v>SKU00886</x:v>
      </x:c>
      <x:c r="B887" t="str">
        <x:v>Sample Product 00886</x:v>
      </x:c>
      <x:c r="C887" t="str">
        <x:v>Active</x:v>
      </x:c>
      <x:c r="D887" t="str">
        <x:v>2026-01</x:v>
      </x:c>
      <x:c r="E887" s="12" t="n">
        <x:v>86.85</x:v>
      </x:c>
      <x:c r="F887" s="10" t="n">
        <x:v>0.402</x:v>
      </x:c>
      <x:c r="G887" t="str">
        <x:v>Nutrition</x:v>
      </x:c>
      <x:c r="H887" t="str">
        <x:v>Sports Nutrition</x:v>
      </x:c>
      <x:c r="I887" t="str">
        <x:v>MFG011</x:v>
      </x:c>
      <x:c r="J887" t="str">
        <x:v>Manufacturer 011</x:v>
      </x:c>
      <x:c r="K887" t="str">
        <x:v>SUP022</x:v>
      </x:c>
      <x:c r="L887" t="str">
        <x:v>Supplier 022</x:v>
      </x:c>
      <x:c r="M887" t="str">
        <x:v>REG-326594</x:v>
      </x:c>
      <x:c r="N887" t="str">
        <x:v>Generic Ingredient 082</x:v>
      </x:c>
      <x:c r="O887" t="str">
        <x:v>General Sale</x:v>
      </x:c>
      <x:c r="P887" t="n">
        <x:v>63</x:v>
      </x:c>
      <x:c r="Q887" t="n">
        <x:v>17</x:v>
      </x:c>
      <x:c r="R887" t="n">
        <x:v>0</x:v>
      </x:c>
      <x:c r="S887" s="12" t="n">
        <x:f>E887*Q887</x:f>
        <x:v>1476.4499999999998</x:v>
      </x:c>
      <x:c r="T887" s="12" t="n">
        <x:f>ROUND(S887*F887+0.000000001,2)</x:f>
        <x:v>593.53</x:v>
      </x:c>
      <x:c r="U887" s="12" t="n">
        <x:f>E887*R887</x:f>
        <x:v>0</x:v>
      </x:c>
      <x:c r="V887" t="str">
        <x:f>IF(AND(C887="Active",Q887=0),"Active Zero Sales","Not Zero Sales")</x:f>
        <x:v>Not Zero Sales</x:v>
      </x:c>
      <x:c r="W887" s="12" t="n">
        <x:f>IF(V887="Active Zero Sales",U887,0)</x:f>
        <x:v>0</x:v>
      </x:c>
      <x:c r="X887" t="str">
        <x:f>IF(E887&lt;25,"Low &lt; 25",IF(E887&lt;100,"Medium 25-99",IF(E887&lt;300,"High 100-299","Premium 300+")))</x:f>
        <x:v>Medium 25-99</x:v>
      </x:c>
      <x:c r="Y887" t="n">
        <x:f>IF(C887="Active",1,0)</x:f>
        <x:v>1</x:v>
      </x:c>
    </x:row>
    <x:row r="888">
      <x:c r="A888" t="str">
        <x:v>SKU00887</x:v>
      </x:c>
      <x:c r="B888" t="str">
        <x:v>Sample Product 00887</x:v>
      </x:c>
      <x:c r="C888" t="str">
        <x:v>Active</x:v>
      </x:c>
      <x:c r="D888" t="str">
        <x:v>2026-01</x:v>
      </x:c>
      <x:c r="E888" s="12" t="n">
        <x:v>44.12</x:v>
      </x:c>
      <x:c r="F888" s="10" t="n">
        <x:v>0.336</x:v>
      </x:c>
      <x:c r="G888" t="str">
        <x:v>Personal Care</x:v>
      </x:c>
      <x:c r="H888" t="str">
        <x:v>Hair Care</x:v>
      </x:c>
      <x:c r="I888" t="str">
        <x:v>MFG001</x:v>
      </x:c>
      <x:c r="J888" t="str">
        <x:v>Manufacturer 001</x:v>
      </x:c>
      <x:c r="K888" t="str">
        <x:v>SUP026</x:v>
      </x:c>
      <x:c r="L888" t="str">
        <x:v>Supplier 026</x:v>
      </x:c>
      <x:c r="M888" t="str">
        <x:v>REG-352147</x:v>
      </x:c>
      <x:c r="N888" t="str">
        <x:v>Generic Ingredient 130</x:v>
      </x:c>
      <x:c r="O888" t="str">
        <x:v>Pharmacy Only</x:v>
      </x:c>
      <x:c r="P888" t="n">
        <x:v>34</x:v>
      </x:c>
      <x:c r="Q888" t="n">
        <x:v>41</x:v>
      </x:c>
      <x:c r="R888" t="n">
        <x:v>1</x:v>
      </x:c>
      <x:c r="S888" s="12" t="n">
        <x:f>E888*Q888</x:f>
        <x:v>1808.9199999999998</x:v>
      </x:c>
      <x:c r="T888" s="12" t="n">
        <x:f>ROUND(S888*F888+0.000000001,2)</x:f>
        <x:v>607.8</x:v>
      </x:c>
      <x:c r="U888" s="12" t="n">
        <x:f>E888*R888</x:f>
        <x:v>44.12</x:v>
      </x:c>
      <x:c r="V888" t="str">
        <x:f>IF(AND(C888="Active",Q888=0),"Active Zero Sales","Not Zero Sales")</x:f>
        <x:v>Not Zero Sales</x:v>
      </x:c>
      <x:c r="W888" s="12" t="n">
        <x:f>IF(V888="Active Zero Sales",U888,0)</x:f>
        <x:v>0</x:v>
      </x:c>
      <x:c r="X888" t="str">
        <x:f>IF(E888&lt;25,"Low &lt; 25",IF(E888&lt;100,"Medium 25-99",IF(E888&lt;300,"High 100-299","Premium 300+")))</x:f>
        <x:v>Medium 25-99</x:v>
      </x:c>
      <x:c r="Y888" t="n">
        <x:f>IF(C888="Active",1,0)</x:f>
        <x:v>1</x:v>
      </x:c>
    </x:row>
    <x:row r="889">
      <x:c r="A889" t="str">
        <x:v>SKU00888</x:v>
      </x:c>
      <x:c r="B889" t="str">
        <x:v>Sample Product 00888</x:v>
      </x:c>
      <x:c r="C889" t="str">
        <x:v>Active</x:v>
      </x:c>
      <x:c r="D889" t="str">
        <x:v>2026-03</x:v>
      </x:c>
      <x:c r="E889" s="12" t="n">
        <x:v>94.63</x:v>
      </x:c>
      <x:c r="F889" s="10" t="n">
        <x:v>0.504</x:v>
      </x:c>
      <x:c r="G889" t="str">
        <x:v>Personal Care</x:v>
      </x:c>
      <x:c r="H889" t="str">
        <x:v>Skin Care</x:v>
      </x:c>
      <x:c r="I889" t="str">
        <x:v>MFG001</x:v>
      </x:c>
      <x:c r="J889" t="str">
        <x:v>Manufacturer 001</x:v>
      </x:c>
      <x:c r="K889" t="str">
        <x:v>SUP016</x:v>
      </x:c>
      <x:c r="L889" t="str">
        <x:v>Supplier 016</x:v>
      </x:c>
      <x:c r="M889" t="str">
        <x:v>REG-537447</x:v>
      </x:c>
      <x:c r="N889" t="str">
        <x:v>Generic Ingredient 050</x:v>
      </x:c>
      <x:c r="O889" t="str">
        <x:v>General Sale</x:v>
      </x:c>
      <x:c r="P889" t="n">
        <x:v>100</x:v>
      </x:c>
      <x:c r="Q889" t="n">
        <x:v>29</x:v>
      </x:c>
      <x:c r="R889" t="n">
        <x:v>21</x:v>
      </x:c>
      <x:c r="S889" s="12" t="n">
        <x:f>E889*Q889</x:f>
        <x:v>2744.27</x:v>
      </x:c>
      <x:c r="T889" s="12" t="n">
        <x:f>ROUND(S889*F889+0.000000001,2)</x:f>
        <x:v>1383.11</x:v>
      </x:c>
      <x:c r="U889" s="12" t="n">
        <x:f>E889*R889</x:f>
        <x:v>1987.23</x:v>
      </x:c>
      <x:c r="V889" t="str">
        <x:f>IF(AND(C889="Active",Q889=0),"Active Zero Sales","Not Zero Sales")</x:f>
        <x:v>Not Zero Sales</x:v>
      </x:c>
      <x:c r="W889" s="12" t="n">
        <x:f>IF(V889="Active Zero Sales",U889,0)</x:f>
        <x:v>0</x:v>
      </x:c>
      <x:c r="X889" t="str">
        <x:f>IF(E889&lt;25,"Low &lt; 25",IF(E889&lt;100,"Medium 25-99",IF(E889&lt;300,"High 100-299","Premium 300+")))</x:f>
        <x:v>Medium 25-99</x:v>
      </x:c>
      <x:c r="Y889" t="n">
        <x:f>IF(C889="Active",1,0)</x:f>
        <x:v>1</x:v>
      </x:c>
    </x:row>
    <x:row r="890">
      <x:c r="A890" t="str">
        <x:v>SKU00889</x:v>
      </x:c>
      <x:c r="B890" t="str">
        <x:v>Sample Product 00889</x:v>
      </x:c>
      <x:c r="C890" t="str">
        <x:v>Active</x:v>
      </x:c>
      <x:c r="D890" t="str">
        <x:v>2026-05</x:v>
      </x:c>
      <x:c r="E890" s="12" t="n">
        <x:v>13.94</x:v>
      </x:c>
      <x:c r="F890" s="10" t="n">
        <x:v>0.36</x:v>
      </x:c>
      <x:c r="G890" t="str">
        <x:v>General Merchandise</x:v>
      </x:c>
      <x:c r="H890" t="str">
        <x:v>Baby Essentials</x:v>
      </x:c>
      <x:c r="I890" t="str">
        <x:v>MFG001</x:v>
      </x:c>
      <x:c r="J890" t="str">
        <x:v>Manufacturer 001</x:v>
      </x:c>
      <x:c r="K890" t="str">
        <x:v>SUP017</x:v>
      </x:c>
      <x:c r="L890" t="str">
        <x:v>Supplier 017</x:v>
      </x:c>
      <x:c r="M890" t="str">
        <x:v>REG-531395</x:v>
      </x:c>
      <x:c r="N890" t="str">
        <x:v>Generic Ingredient 007</x:v>
      </x:c>
      <x:c r="O890" t="str">
        <x:v>General Sale</x:v>
      </x:c>
      <x:c r="P890" t="n">
        <x:v>41</x:v>
      </x:c>
      <x:c r="Q890" t="n">
        <x:v>0</x:v>
      </x:c>
      <x:c r="R890" t="n">
        <x:v>11</x:v>
      </x:c>
      <x:c r="S890" s="12" t="n">
        <x:f>E890*Q890</x:f>
        <x:v>0</x:v>
      </x:c>
      <x:c r="T890" s="12" t="n">
        <x:f>ROUND(S890*F890+0.000000001,2)</x:f>
        <x:v>0</x:v>
      </x:c>
      <x:c r="U890" s="12" t="n">
        <x:f>E890*R890</x:f>
        <x:v>153.34</x:v>
      </x:c>
      <x:c r="V890" t="str">
        <x:f>IF(AND(C890="Active",Q890=0),"Active Zero Sales","Not Zero Sales")</x:f>
        <x:v>Active Zero Sales</x:v>
      </x:c>
      <x:c r="W890" s="12" t="n">
        <x:f>IF(V890="Active Zero Sales",U890,0)</x:f>
        <x:v>153.34</x:v>
      </x:c>
      <x:c r="X890" t="str">
        <x:f>IF(E890&lt;25,"Low &lt; 25",IF(E890&lt;100,"Medium 25-99",IF(E890&lt;300,"High 100-299","Premium 300+")))</x:f>
        <x:v>Low &lt; 25</x:v>
      </x:c>
      <x:c r="Y890" t="n">
        <x:f>IF(C890="Active",1,0)</x:f>
        <x:v>1</x:v>
      </x:c>
    </x:row>
    <x:row r="891">
      <x:c r="A891" t="str">
        <x:v>SKU00890</x:v>
      </x:c>
      <x:c r="B891" t="str">
        <x:v>Sample Product 00890</x:v>
      </x:c>
      <x:c r="C891" t="str">
        <x:v>Active</x:v>
      </x:c>
      <x:c r="D891" t="str">
        <x:v>2026-03</x:v>
      </x:c>
      <x:c r="E891" s="12" t="n">
        <x:v>65.38</x:v>
      </x:c>
      <x:c r="F891" s="10" t="n">
        <x:v>0.361</x:v>
      </x:c>
      <x:c r="G891" t="str">
        <x:v>Personal Care</x:v>
      </x:c>
      <x:c r="H891" t="str">
        <x:v>Hair Care</x:v>
      </x:c>
      <x:c r="I891" t="str">
        <x:v>MFG013</x:v>
      </x:c>
      <x:c r="J891" t="str">
        <x:v>Manufacturer 013</x:v>
      </x:c>
      <x:c r="K891" t="str">
        <x:v>SUP018</x:v>
      </x:c>
      <x:c r="L891" t="str">
        <x:v>Supplier 018</x:v>
      </x:c>
      <x:c r="M891" t="str">
        <x:v>REG-936373</x:v>
      </x:c>
      <x:c r="N891" t="str">
        <x:v>Generic Ingredient 099</x:v>
      </x:c>
      <x:c r="O891" t="str">
        <x:v>General Sale</x:v>
      </x:c>
      <x:c r="P891" t="n">
        <x:v>84</x:v>
      </x:c>
      <x:c r="Q891" t="n">
        <x:v>43</x:v>
      </x:c>
      <x:c r="R891" t="n">
        <x:v>16</x:v>
      </x:c>
      <x:c r="S891" s="12" t="n">
        <x:f>E891*Q891</x:f>
        <x:v>2811.3399999999997</x:v>
      </x:c>
      <x:c r="T891" s="12" t="n">
        <x:f>ROUND(S891*F891+0.000000001,2)</x:f>
        <x:v>1014.89</x:v>
      </x:c>
      <x:c r="U891" s="12" t="n">
        <x:f>E891*R891</x:f>
        <x:v>1046.08</x:v>
      </x:c>
      <x:c r="V891" t="str">
        <x:f>IF(AND(C891="Active",Q891=0),"Active Zero Sales","Not Zero Sales")</x:f>
        <x:v>Not Zero Sales</x:v>
      </x:c>
      <x:c r="W891" s="12" t="n">
        <x:f>IF(V891="Active Zero Sales",U891,0)</x:f>
        <x:v>0</x:v>
      </x:c>
      <x:c r="X891" t="str">
        <x:f>IF(E891&lt;25,"Low &lt; 25",IF(E891&lt;100,"Medium 25-99",IF(E891&lt;300,"High 100-299","Premium 300+")))</x:f>
        <x:v>Medium 25-99</x:v>
      </x:c>
      <x:c r="Y891" t="n">
        <x:f>IF(C891="Active",1,0)</x:f>
        <x:v>1</x:v>
      </x:c>
    </x:row>
    <x:row r="892">
      <x:c r="A892" t="str">
        <x:v>SKU00891</x:v>
      </x:c>
      <x:c r="B892" t="str">
        <x:v>Sample Product 00891</x:v>
      </x:c>
      <x:c r="C892" t="str">
        <x:v>Active</x:v>
      </x:c>
      <x:c r="D892" t="str">
        <x:v>2026-02</x:v>
      </x:c>
      <x:c r="E892" s="12" t="n">
        <x:v>79.62</x:v>
      </x:c>
      <x:c r="F892" s="10" t="n">
        <x:v>0.305</x:v>
      </x:c>
      <x:c r="G892" t="str">
        <x:v>Nutrition</x:v>
      </x:c>
      <x:c r="H892" t="str">
        <x:v>Healthy Snacks</x:v>
      </x:c>
      <x:c r="I892" t="str">
        <x:v>MFG013</x:v>
      </x:c>
      <x:c r="J892" t="str">
        <x:v>Manufacturer 013</x:v>
      </x:c>
      <x:c r="K892" t="str">
        <x:v>SUP018</x:v>
      </x:c>
      <x:c r="L892" t="str">
        <x:v>Supplier 018</x:v>
      </x:c>
      <x:c r="M892" t="str">
        <x:v>REG-749291</x:v>
      </x:c>
      <x:c r="N892" t="str">
        <x:v>Generic Ingredient 138</x:v>
      </x:c>
      <x:c r="O892" t="str">
        <x:v>General Sale</x:v>
      </x:c>
      <x:c r="P892" t="n">
        <x:v>35</x:v>
      </x:c>
      <x:c r="Q892" t="n">
        <x:v>5</x:v>
      </x:c>
      <x:c r="R892" t="n">
        <x:v>0</x:v>
      </x:c>
      <x:c r="S892" s="12" t="n">
        <x:f>E892*Q892</x:f>
        <x:v>398.1</x:v>
      </x:c>
      <x:c r="T892" s="12" t="n">
        <x:f>ROUND(S892*F892+0.000000001,2)</x:f>
        <x:v>121.42</x:v>
      </x:c>
      <x:c r="U892" s="12" t="n">
        <x:f>E892*R892</x:f>
        <x:v>0</x:v>
      </x:c>
      <x:c r="V892" t="str">
        <x:f>IF(AND(C892="Active",Q892=0),"Active Zero Sales","Not Zero Sales")</x:f>
        <x:v>Not Zero Sales</x:v>
      </x:c>
      <x:c r="W892" s="12" t="n">
        <x:f>IF(V892="Active Zero Sales",U892,0)</x:f>
        <x:v>0</x:v>
      </x:c>
      <x:c r="X892" t="str">
        <x:f>IF(E892&lt;25,"Low &lt; 25",IF(E892&lt;100,"Medium 25-99",IF(E892&lt;300,"High 100-299","Premium 300+")))</x:f>
        <x:v>Medium 25-99</x:v>
      </x:c>
      <x:c r="Y892" t="n">
        <x:f>IF(C892="Active",1,0)</x:f>
        <x:v>1</x:v>
      </x:c>
    </x:row>
    <x:row r="893">
      <x:c r="A893" t="str">
        <x:v>SKU00892</x:v>
      </x:c>
      <x:c r="B893" t="str">
        <x:v>Sample Product 00892</x:v>
      </x:c>
      <x:c r="C893" t="str">
        <x:v>Blocked</x:v>
      </x:c>
      <x:c r="D893" t="str">
        <x:v>2026-01</x:v>
      </x:c>
      <x:c r="E893" s="12" t="n">
        <x:v>33.76</x:v>
      </x:c>
      <x:c r="F893" s="10" t="n">
        <x:v>0.325</x:v>
      </x:c>
      <x:c r="G893" t="str">
        <x:v>General Merchandise</x:v>
      </x:c>
      <x:c r="H893" t="str">
        <x:v>Travel Health</x:v>
      </x:c>
      <x:c r="I893" t="str">
        <x:v>MFG007</x:v>
      </x:c>
      <x:c r="J893" t="str">
        <x:v>Manufacturer 007</x:v>
      </x:c>
      <x:c r="K893" t="str">
        <x:v>SUP019</x:v>
      </x:c>
      <x:c r="L893" t="str">
        <x:v>Supplier 019</x:v>
      </x:c>
      <x:c r="M893" t="str">
        <x:v>REG-613030</x:v>
      </x:c>
      <x:c r="N893" t="str">
        <x:v>Generic Ingredient 058</x:v>
      </x:c>
      <x:c r="O893" t="str">
        <x:v>General Sale</x:v>
      </x:c>
      <x:c r="P893" t="n">
        <x:v>11</x:v>
      </x:c>
      <x:c r="Q893" t="n">
        <x:v>0</x:v>
      </x:c>
      <x:c r="R893" t="n">
        <x:v>0</x:v>
      </x:c>
      <x:c r="S893" s="12" t="n">
        <x:f>E893*Q893</x:f>
        <x:v>0</x:v>
      </x:c>
      <x:c r="T893" s="12" t="n">
        <x:f>ROUND(S893*F893+0.000000001,2)</x:f>
        <x:v>0</x:v>
      </x:c>
      <x:c r="U893" s="12" t="n">
        <x:f>E893*R893</x:f>
        <x:v>0</x:v>
      </x:c>
      <x:c r="V893" t="str">
        <x:f>IF(AND(C893="Active",Q893=0),"Active Zero Sales","Not Zero Sales")</x:f>
        <x:v>Not Zero Sales</x:v>
      </x:c>
      <x:c r="W893" s="12" t="n">
        <x:f>IF(V893="Active Zero Sales",U893,0)</x:f>
        <x:v>0</x:v>
      </x:c>
      <x:c r="X893" t="str">
        <x:f>IF(E893&lt;25,"Low &lt; 25",IF(E893&lt;100,"Medium 25-99",IF(E893&lt;300,"High 100-299","Premium 300+")))</x:f>
        <x:v>Medium 25-99</x:v>
      </x:c>
      <x:c r="Y893" t="n">
        <x:f>IF(C893="Active",1,0)</x:f>
        <x:v>0</x:v>
      </x:c>
    </x:row>
    <x:row r="894">
      <x:c r="A894" t="str">
        <x:v>SKU00893</x:v>
      </x:c>
      <x:c r="B894" t="str">
        <x:v>Sample Product 00893</x:v>
      </x:c>
      <x:c r="C894" t="str">
        <x:v>Blocked</x:v>
      </x:c>
      <x:c r="D894" t="str">
        <x:v>2026-06</x:v>
      </x:c>
      <x:c r="E894" s="12" t="n">
        <x:v>82.62</x:v>
      </x:c>
      <x:c r="F894" s="10" t="n">
        <x:v>0.318</x:v>
      </x:c>
      <x:c r="G894" t="str">
        <x:v>Medical Devices</x:v>
      </x:c>
      <x:c r="H894" t="str">
        <x:v>Monitoring Supplies</x:v>
      </x:c>
      <x:c r="I894" t="str">
        <x:v>MFG005</x:v>
      </x:c>
      <x:c r="J894" t="str">
        <x:v>Manufacturer 005</x:v>
      </x:c>
      <x:c r="K894" t="str">
        <x:v>SUP013</x:v>
      </x:c>
      <x:c r="L894" t="str">
        <x:v>Supplier 013</x:v>
      </x:c>
      <x:c r="M894" t="str">
        <x:v>REG-399788</x:v>
      </x:c>
      <x:c r="N894" t="str">
        <x:v>Generic Ingredient 146</x:v>
      </x:c>
      <x:c r="O894" t="str">
        <x:v>General Sale</x:v>
      </x:c>
      <x:c r="P894" t="n">
        <x:v>12</x:v>
      </x:c>
      <x:c r="Q894" t="n">
        <x:v>0</x:v>
      </x:c>
      <x:c r="R894" t="n">
        <x:v>0</x:v>
      </x:c>
      <x:c r="S894" s="12" t="n">
        <x:f>E894*Q894</x:f>
        <x:v>0</x:v>
      </x:c>
      <x:c r="T894" s="12" t="n">
        <x:f>ROUND(S894*F894+0.000000001,2)</x:f>
        <x:v>0</x:v>
      </x:c>
      <x:c r="U894" s="12" t="n">
        <x:f>E894*R894</x:f>
        <x:v>0</x:v>
      </x:c>
      <x:c r="V894" t="str">
        <x:f>IF(AND(C894="Active",Q894=0),"Active Zero Sales","Not Zero Sales")</x:f>
        <x:v>Not Zero Sales</x:v>
      </x:c>
      <x:c r="W894" s="12" t="n">
        <x:f>IF(V894="Active Zero Sales",U894,0)</x:f>
        <x:v>0</x:v>
      </x:c>
      <x:c r="X894" t="str">
        <x:f>IF(E894&lt;25,"Low &lt; 25",IF(E894&lt;100,"Medium 25-99",IF(E894&lt;300,"High 100-299","Premium 300+")))</x:f>
        <x:v>Medium 25-99</x:v>
      </x:c>
      <x:c r="Y894" t="n">
        <x:f>IF(C894="Active",1,0)</x:f>
        <x:v>0</x:v>
      </x:c>
    </x:row>
    <x:row r="895">
      <x:c r="A895" t="str">
        <x:v>SKU00894</x:v>
      </x:c>
      <x:c r="B895" t="str">
        <x:v>Sample Product 00894</x:v>
      </x:c>
      <x:c r="C895" t="str">
        <x:v>Active</x:v>
      </x:c>
      <x:c r="D895" t="str">
        <x:v>2026-01</x:v>
      </x:c>
      <x:c r="E895" s="12" t="n">
        <x:v>84.62</x:v>
      </x:c>
      <x:c r="F895" s="10" t="n">
        <x:v>0.263</x:v>
      </x:c>
      <x:c r="G895" t="str">
        <x:v>Nutrition</x:v>
      </x:c>
      <x:c r="H895" t="str">
        <x:v>Adult Nutrition</x:v>
      </x:c>
      <x:c r="I895" t="str">
        <x:v>MFG011</x:v>
      </x:c>
      <x:c r="J895" t="str">
        <x:v>Manufacturer 011</x:v>
      </x:c>
      <x:c r="K895" t="str">
        <x:v>SUP008</x:v>
      </x:c>
      <x:c r="L895" t="str">
        <x:v>Supplier 008</x:v>
      </x:c>
      <x:c r="M895" t="str">
        <x:v>REG-561625</x:v>
      </x:c>
      <x:c r="N895" t="str">
        <x:v>Generic Ingredient 101</x:v>
      </x:c>
      <x:c r="O895" t="str">
        <x:v>General Sale</x:v>
      </x:c>
      <x:c r="P895" t="n">
        <x:v>62</x:v>
      </x:c>
      <x:c r="Q895" t="n">
        <x:v>0</x:v>
      </x:c>
      <x:c r="R895" t="n">
        <x:v>16</x:v>
      </x:c>
      <x:c r="S895" s="12" t="n">
        <x:f>E895*Q895</x:f>
        <x:v>0</x:v>
      </x:c>
      <x:c r="T895" s="12" t="n">
        <x:f>ROUND(S895*F895+0.000000001,2)</x:f>
        <x:v>0</x:v>
      </x:c>
      <x:c r="U895" s="12" t="n">
        <x:f>E895*R895</x:f>
        <x:v>1353.92</x:v>
      </x:c>
      <x:c r="V895" t="str">
        <x:f>IF(AND(C895="Active",Q895=0),"Active Zero Sales","Not Zero Sales")</x:f>
        <x:v>Active Zero Sales</x:v>
      </x:c>
      <x:c r="W895" s="12" t="n">
        <x:f>IF(V895="Active Zero Sales",U895,0)</x:f>
        <x:v>1353.92</x:v>
      </x:c>
      <x:c r="X895" t="str">
        <x:f>IF(E895&lt;25,"Low &lt; 25",IF(E895&lt;100,"Medium 25-99",IF(E895&lt;300,"High 100-299","Premium 300+")))</x:f>
        <x:v>Medium 25-99</x:v>
      </x:c>
      <x:c r="Y895" t="n">
        <x:f>IF(C895="Active",1,0)</x:f>
        <x:v>1</x:v>
      </x:c>
    </x:row>
    <x:row r="896">
      <x:c r="A896" t="str">
        <x:v>SKU00895</x:v>
      </x:c>
      <x:c r="B896" t="str">
        <x:v>Sample Product 00895</x:v>
      </x:c>
      <x:c r="C896" t="str">
        <x:v>Blocked</x:v>
      </x:c>
      <x:c r="D896" t="str">
        <x:v>2026-04</x:v>
      </x:c>
      <x:c r="E896" s="12" t="n">
        <x:v>161.51</x:v>
      </x:c>
      <x:c r="F896" s="10" t="n">
        <x:v>0.41</x:v>
      </x:c>
      <x:c r="G896" t="str">
        <x:v>General Merchandise</x:v>
      </x:c>
      <x:c r="H896" t="str">
        <x:v>Accessories</x:v>
      </x:c>
      <x:c r="I896" t="str">
        <x:v>MFG014</x:v>
      </x:c>
      <x:c r="J896" t="str">
        <x:v>Manufacturer 014</x:v>
      </x:c>
      <x:c r="K896" t="str">
        <x:v>SUP004</x:v>
      </x:c>
      <x:c r="L896" t="str">
        <x:v>Supplier 004</x:v>
      </x:c>
      <x:c r="M896" t="str">
        <x:v>REG-883399</x:v>
      </x:c>
      <x:c r="N896" t="str">
        <x:v>Generic Ingredient 035</x:v>
      </x:c>
      <x:c r="O896" t="str">
        <x:v>General Sale</x:v>
      </x:c>
      <x:c r="P896" t="n">
        <x:v>10</x:v>
      </x:c>
      <x:c r="Q896" t="n">
        <x:v>0</x:v>
      </x:c>
      <x:c r="R896" t="n">
        <x:v>0</x:v>
      </x:c>
      <x:c r="S896" s="12" t="n">
        <x:f>E896*Q896</x:f>
        <x:v>0</x:v>
      </x:c>
      <x:c r="T896" s="12" t="n">
        <x:f>ROUND(S896*F896+0.000000001,2)</x:f>
        <x:v>0</x:v>
      </x:c>
      <x:c r="U896" s="12" t="n">
        <x:f>E896*R896</x:f>
        <x:v>0</x:v>
      </x:c>
      <x:c r="V896" t="str">
        <x:f>IF(AND(C896="Active",Q896=0),"Active Zero Sales","Not Zero Sales")</x:f>
        <x:v>Not Zero Sales</x:v>
      </x:c>
      <x:c r="W896" s="12" t="n">
        <x:f>IF(V896="Active Zero Sales",U896,0)</x:f>
        <x:v>0</x:v>
      </x:c>
      <x:c r="X896" t="str">
        <x:f>IF(E896&lt;25,"Low &lt; 25",IF(E896&lt;100,"Medium 25-99",IF(E896&lt;300,"High 100-299","Premium 300+")))</x:f>
        <x:v>High 100-299</x:v>
      </x:c>
      <x:c r="Y896" t="n">
        <x:f>IF(C896="Active",1,0)</x:f>
        <x:v>0</x:v>
      </x:c>
    </x:row>
    <x:row r="897">
      <x:c r="A897" t="str">
        <x:v>SKU00896</x:v>
      </x:c>
      <x:c r="B897" t="str">
        <x:v>Sample Product 00896</x:v>
      </x:c>
      <x:c r="C897" t="str">
        <x:v>Active</x:v>
      </x:c>
      <x:c r="D897" t="str">
        <x:v>2026-04</x:v>
      </x:c>
      <x:c r="E897" s="12" t="n">
        <x:v>7.7</x:v>
      </x:c>
      <x:c r="F897" s="10" t="n">
        <x:v>0.218</x:v>
      </x:c>
      <x:c r="G897" t="str">
        <x:v>Medical Devices</x:v>
      </x:c>
      <x:c r="H897" t="str">
        <x:v>Mobility Aids</x:v>
      </x:c>
      <x:c r="I897" t="str">
        <x:v>MFG013</x:v>
      </x:c>
      <x:c r="J897" t="str">
        <x:v>Manufacturer 013</x:v>
      </x:c>
      <x:c r="K897" t="str">
        <x:v>SUP011</x:v>
      </x:c>
      <x:c r="L897" t="str">
        <x:v>Supplier 011</x:v>
      </x:c>
      <x:c r="M897" t="str">
        <x:v>REG-121004</x:v>
      </x:c>
      <x:c r="N897" t="str">
        <x:v>Generic Ingredient 052</x:v>
      </x:c>
      <x:c r="O897" t="str">
        <x:v>General Sale</x:v>
      </x:c>
      <x:c r="P897" t="n">
        <x:v>36</x:v>
      </x:c>
      <x:c r="Q897" t="n">
        <x:v>15</x:v>
      </x:c>
      <x:c r="R897" t="n">
        <x:v>27</x:v>
      </x:c>
      <x:c r="S897" s="12" t="n">
        <x:f>E897*Q897</x:f>
        <x:v>115.5</x:v>
      </x:c>
      <x:c r="T897" s="12" t="n">
        <x:f>ROUND(S897*F897+0.000000001,2)</x:f>
        <x:v>25.18</x:v>
      </x:c>
      <x:c r="U897" s="12" t="n">
        <x:f>E897*R897</x:f>
        <x:v>207.9</x:v>
      </x:c>
      <x:c r="V897" t="str">
        <x:f>IF(AND(C897="Active",Q897=0),"Active Zero Sales","Not Zero Sales")</x:f>
        <x:v>Not Zero Sales</x:v>
      </x:c>
      <x:c r="W897" s="12" t="n">
        <x:f>IF(V897="Active Zero Sales",U897,0)</x:f>
        <x:v>0</x:v>
      </x:c>
      <x:c r="X897" t="str">
        <x:f>IF(E897&lt;25,"Low &lt; 25",IF(E897&lt;100,"Medium 25-99",IF(E897&lt;300,"High 100-299","Premium 300+")))</x:f>
        <x:v>Low &lt; 25</x:v>
      </x:c>
      <x:c r="Y897" t="n">
        <x:f>IF(C897="Active",1,0)</x:f>
        <x:v>1</x:v>
      </x:c>
    </x:row>
    <x:row r="898">
      <x:c r="A898" t="str">
        <x:v>SKU00897</x:v>
      </x:c>
      <x:c r="B898" t="str">
        <x:v>Sample Product 00897</x:v>
      </x:c>
      <x:c r="C898" t="str">
        <x:v>Active</x:v>
      </x:c>
      <x:c r="D898" t="str">
        <x:v>2026-05</x:v>
      </x:c>
      <x:c r="E898" s="12" t="n">
        <x:v>263.37</x:v>
      </x:c>
      <x:c r="F898" s="10" t="n">
        <x:v>0.346</x:v>
      </x:c>
      <x:c r="G898" t="str">
        <x:v>Nutrition</x:v>
      </x:c>
      <x:c r="H898" t="str">
        <x:v>Sports Nutrition</x:v>
      </x:c>
      <x:c r="I898" t="str">
        <x:v>MFG008</x:v>
      </x:c>
      <x:c r="J898" t="str">
        <x:v>Manufacturer 008</x:v>
      </x:c>
      <x:c r="K898" t="str">
        <x:v>SUP025</x:v>
      </x:c>
      <x:c r="L898" t="str">
        <x:v>Supplier 025</x:v>
      </x:c>
      <x:c r="M898" t="str">
        <x:v>REG-320424</x:v>
      </x:c>
      <x:c r="N898" t="str">
        <x:v>Generic Ingredient 143</x:v>
      </x:c>
      <x:c r="O898" t="str">
        <x:v>General Sale</x:v>
      </x:c>
      <x:c r="P898" t="n">
        <x:v>56</x:v>
      </x:c>
      <x:c r="Q898" t="n">
        <x:v>38</x:v>
      </x:c>
      <x:c r="R898" t="n">
        <x:v>22</x:v>
      </x:c>
      <x:c r="S898" s="12" t="n">
        <x:f>E898*Q898</x:f>
        <x:v>10008.06</x:v>
      </x:c>
      <x:c r="T898" s="12" t="n">
        <x:f>ROUND(S898*F898+0.000000001,2)</x:f>
        <x:v>3462.79</x:v>
      </x:c>
      <x:c r="U898" s="12" t="n">
        <x:f>E898*R898</x:f>
        <x:v>5794.14</x:v>
      </x:c>
      <x:c r="V898" t="str">
        <x:f>IF(AND(C898="Active",Q898=0),"Active Zero Sales","Not Zero Sales")</x:f>
        <x:v>Not Zero Sales</x:v>
      </x:c>
      <x:c r="W898" s="12" t="n">
        <x:f>IF(V898="Active Zero Sales",U898,0)</x:f>
        <x:v>0</x:v>
      </x:c>
      <x:c r="X898" t="str">
        <x:f>IF(E898&lt;25,"Low &lt; 25",IF(E898&lt;100,"Medium 25-99",IF(E898&lt;300,"High 100-299","Premium 300+")))</x:f>
        <x:v>High 100-299</x:v>
      </x:c>
      <x:c r="Y898" t="n">
        <x:f>IF(C898="Active",1,0)</x:f>
        <x:v>1</x:v>
      </x:c>
    </x:row>
    <x:row r="899">
      <x:c r="A899" t="str">
        <x:v>SKU00898</x:v>
      </x:c>
      <x:c r="B899" t="str">
        <x:v>Sample Product 00898</x:v>
      </x:c>
      <x:c r="C899" t="str">
        <x:v>Active</x:v>
      </x:c>
      <x:c r="D899" t="str">
        <x:v>2026-04</x:v>
      </x:c>
      <x:c r="E899" s="12" t="n">
        <x:v>20.3</x:v>
      </x:c>
      <x:c r="F899" s="10" t="n">
        <x:v>0.243</x:v>
      </x:c>
      <x:c r="G899" t="str">
        <x:v>Nutrition</x:v>
      </x:c>
      <x:c r="H899" t="str">
        <x:v>Adult Nutrition</x:v>
      </x:c>
      <x:c r="I899" t="str">
        <x:v>MFG011</x:v>
      </x:c>
      <x:c r="J899" t="str">
        <x:v>Manufacturer 011</x:v>
      </x:c>
      <x:c r="K899" t="str">
        <x:v>SUP009</x:v>
      </x:c>
      <x:c r="L899" t="str">
        <x:v>Supplier 009</x:v>
      </x:c>
      <x:c r="M899" t="str">
        <x:v>REG-215161</x:v>
      </x:c>
      <x:c r="N899" t="str">
        <x:v>Generic Ingredient 142</x:v>
      </x:c>
      <x:c r="O899" t="str">
        <x:v>General Sale</x:v>
      </x:c>
      <x:c r="P899" t="n">
        <x:v>30</x:v>
      </x:c>
      <x:c r="Q899" t="n">
        <x:v>28</x:v>
      </x:c>
      <x:c r="R899" t="n">
        <x:v>1</x:v>
      </x:c>
      <x:c r="S899" s="12" t="n">
        <x:f>E899*Q899</x:f>
        <x:v>568.4</x:v>
      </x:c>
      <x:c r="T899" s="12" t="n">
        <x:f>ROUND(S899*F899+0.000000001,2)</x:f>
        <x:v>138.12</x:v>
      </x:c>
      <x:c r="U899" s="12" t="n">
        <x:f>E899*R899</x:f>
        <x:v>20.3</x:v>
      </x:c>
      <x:c r="V899" t="str">
        <x:f>IF(AND(C899="Active",Q899=0),"Active Zero Sales","Not Zero Sales")</x:f>
        <x:v>Not Zero Sales</x:v>
      </x:c>
      <x:c r="W899" s="12" t="n">
        <x:f>IF(V899="Active Zero Sales",U899,0)</x:f>
        <x:v>0</x:v>
      </x:c>
      <x:c r="X899" t="str">
        <x:f>IF(E899&lt;25,"Low &lt; 25",IF(E899&lt;100,"Medium 25-99",IF(E899&lt;300,"High 100-299","Premium 300+")))</x:f>
        <x:v>Low &lt; 25</x:v>
      </x:c>
      <x:c r="Y899" t="n">
        <x:f>IF(C899="Active",1,0)</x:f>
        <x:v>1</x:v>
      </x:c>
    </x:row>
    <x:row r="900">
      <x:c r="A900" t="str">
        <x:v>SKU00899</x:v>
      </x:c>
      <x:c r="B900" t="str">
        <x:v>Sample Product 00899</x:v>
      </x:c>
      <x:c r="C900" t="str">
        <x:v>Blocked</x:v>
      </x:c>
      <x:c r="D900" t="str">
        <x:v>2026-06</x:v>
      </x:c>
      <x:c r="E900" s="12" t="n">
        <x:v>31.41</x:v>
      </x:c>
      <x:c r="F900" s="10" t="n">
        <x:v>0.277</x:v>
      </x:c>
      <x:c r="G900" t="str">
        <x:v>Medical Devices</x:v>
      </x:c>
      <x:c r="H900" t="str">
        <x:v>Monitoring Supplies</x:v>
      </x:c>
      <x:c r="I900" t="str">
        <x:v>MFG019</x:v>
      </x:c>
      <x:c r="J900" t="str">
        <x:v>Manufacturer 019</x:v>
      </x:c>
      <x:c r="K900" t="str">
        <x:v>SUP011</x:v>
      </x:c>
      <x:c r="L900" t="str">
        <x:v>Supplier 011</x:v>
      </x:c>
      <x:c r="M900" t="str">
        <x:v>REG-240753</x:v>
      </x:c>
      <x:c r="N900" t="str">
        <x:v>Generic Ingredient 039</x:v>
      </x:c>
      <x:c r="O900" t="str">
        <x:v>General Sale</x:v>
      </x:c>
      <x:c r="P900" t="n">
        <x:v>63</x:v>
      </x:c>
      <x:c r="Q900" t="n">
        <x:v>33</x:v>
      </x:c>
      <x:c r="R900" t="n">
        <x:v>18</x:v>
      </x:c>
      <x:c r="S900" s="12" t="n">
        <x:f>E900*Q900</x:f>
        <x:v>1036.53</x:v>
      </x:c>
      <x:c r="T900" s="12" t="n">
        <x:f>ROUND(S900*F900+0.000000001,2)</x:f>
        <x:v>287.12</x:v>
      </x:c>
      <x:c r="U900" s="12" t="n">
        <x:f>E900*R900</x:f>
        <x:v>565.38</x:v>
      </x:c>
      <x:c r="V900" t="str">
        <x:f>IF(AND(C900="Active",Q900=0),"Active Zero Sales","Not Zero Sales")</x:f>
        <x:v>Not Zero Sales</x:v>
      </x:c>
      <x:c r="W900" s="12" t="n">
        <x:f>IF(V900="Active Zero Sales",U900,0)</x:f>
        <x:v>0</x:v>
      </x:c>
      <x:c r="X900" t="str">
        <x:f>IF(E900&lt;25,"Low &lt; 25",IF(E900&lt;100,"Medium 25-99",IF(E900&lt;300,"High 100-299","Premium 300+")))</x:f>
        <x:v>Medium 25-99</x:v>
      </x:c>
      <x:c r="Y900" t="n">
        <x:f>IF(C900="Active",1,0)</x:f>
        <x:v>0</x:v>
      </x:c>
    </x:row>
    <x:row r="901">
      <x:c r="A901" t="str">
        <x:v>SKU00900</x:v>
      </x:c>
      <x:c r="B901" t="str">
        <x:v>Sample Product 00900</x:v>
      </x:c>
      <x:c r="C901" t="str">
        <x:v>Active</x:v>
      </x:c>
      <x:c r="D901" t="str">
        <x:v>2026-01</x:v>
      </x:c>
      <x:c r="E901" s="12" t="n">
        <x:v>6.67</x:v>
      </x:c>
      <x:c r="F901" s="10" t="n">
        <x:v>0.384</x:v>
      </x:c>
      <x:c r="G901" t="str">
        <x:v>Medical Devices</x:v>
      </x:c>
      <x:c r="H901" t="str">
        <x:v>Monitoring Supplies</x:v>
      </x:c>
      <x:c r="I901" t="str">
        <x:v>MFG015</x:v>
      </x:c>
      <x:c r="J901" t="str">
        <x:v>Manufacturer 015</x:v>
      </x:c>
      <x:c r="K901" t="str">
        <x:v>SUP022</x:v>
      </x:c>
      <x:c r="L901" t="str">
        <x:v>Supplier 022</x:v>
      </x:c>
      <x:c r="M901" t="str">
        <x:v>REG-297824</x:v>
      </x:c>
      <x:c r="N901" t="str">
        <x:v>Generic Ingredient 111</x:v>
      </x:c>
      <x:c r="O901" t="str">
        <x:v>General Sale</x:v>
      </x:c>
      <x:c r="P901" t="n">
        <x:v>130</x:v>
      </x:c>
      <x:c r="Q901" t="n">
        <x:v>64</x:v>
      </x:c>
      <x:c r="R901" t="n">
        <x:v>29</x:v>
      </x:c>
      <x:c r="S901" s="12" t="n">
        <x:f>E901*Q901</x:f>
        <x:v>426.88</x:v>
      </x:c>
      <x:c r="T901" s="12" t="n">
        <x:f>ROUND(S901*F901+0.000000001,2)</x:f>
        <x:v>163.92</x:v>
      </x:c>
      <x:c r="U901" s="12" t="n">
        <x:f>E901*R901</x:f>
        <x:v>193.43</x:v>
      </x:c>
      <x:c r="V901" t="str">
        <x:f>IF(AND(C901="Active",Q901=0),"Active Zero Sales","Not Zero Sales")</x:f>
        <x:v>Not Zero Sales</x:v>
      </x:c>
      <x:c r="W901" s="12" t="n">
        <x:f>IF(V901="Active Zero Sales",U901,0)</x:f>
        <x:v>0</x:v>
      </x:c>
      <x:c r="X901" t="str">
        <x:f>IF(E901&lt;25,"Low &lt; 25",IF(E901&lt;100,"Medium 25-99",IF(E901&lt;300,"High 100-299","Premium 300+")))</x:f>
        <x:v>Low &lt; 25</x:v>
      </x:c>
      <x:c r="Y901" t="n">
        <x:f>IF(C901="Active",1,0)</x:f>
        <x:v>1</x:v>
      </x:c>
    </x:row>
    <x:row r="902">
      <x:c r="A902" t="str">
        <x:v>SKU00901</x:v>
      </x:c>
      <x:c r="B902" t="str">
        <x:v>Sample Product 00901</x:v>
      </x:c>
      <x:c r="C902" t="str">
        <x:v>Active</x:v>
      </x:c>
      <x:c r="D902" t="str">
        <x:v>2026-04</x:v>
      </x:c>
      <x:c r="E902" s="12" t="n">
        <x:v>106.94</x:v>
      </x:c>
      <x:c r="F902" s="10" t="n">
        <x:v>0.32</x:v>
      </x:c>
      <x:c r="G902" t="str">
        <x:v>Medical Devices</x:v>
      </x:c>
      <x:c r="H902" t="str">
        <x:v>First Aid</x:v>
      </x:c>
      <x:c r="I902" t="str">
        <x:v>MFG004</x:v>
      </x:c>
      <x:c r="J902" t="str">
        <x:v>Manufacturer 004</x:v>
      </x:c>
      <x:c r="K902" t="str">
        <x:v>SUP008</x:v>
      </x:c>
      <x:c r="L902" t="str">
        <x:v>Supplier 008</x:v>
      </x:c>
      <x:c r="M902" t="str">
        <x:v>REG-694417</x:v>
      </x:c>
      <x:c r="N902" t="str">
        <x:v>Generic Ingredient 158</x:v>
      </x:c>
      <x:c r="O902" t="str">
        <x:v>General Sale</x:v>
      </x:c>
      <x:c r="P902" t="n">
        <x:v>238</x:v>
      </x:c>
      <x:c r="Q902" t="n">
        <x:v>141</x:v>
      </x:c>
      <x:c r="R902" t="n">
        <x:v>57</x:v>
      </x:c>
      <x:c r="S902" s="12" t="n">
        <x:f>E902*Q902</x:f>
        <x:v>15078.539999999999</x:v>
      </x:c>
      <x:c r="T902" s="12" t="n">
        <x:f>ROUND(S902*F902+0.000000001,2)</x:f>
        <x:v>4825.13</x:v>
      </x:c>
      <x:c r="U902" s="12" t="n">
        <x:f>E902*R902</x:f>
        <x:v>6095.58</x:v>
      </x:c>
      <x:c r="V902" t="str">
        <x:f>IF(AND(C902="Active",Q902=0),"Active Zero Sales","Not Zero Sales")</x:f>
        <x:v>Not Zero Sales</x:v>
      </x:c>
      <x:c r="W902" s="12" t="n">
        <x:f>IF(V902="Active Zero Sales",U902,0)</x:f>
        <x:v>0</x:v>
      </x:c>
      <x:c r="X902" t="str">
        <x:f>IF(E902&lt;25,"Low &lt; 25",IF(E902&lt;100,"Medium 25-99",IF(E902&lt;300,"High 100-299","Premium 300+")))</x:f>
        <x:v>High 100-299</x:v>
      </x:c>
      <x:c r="Y902" t="n">
        <x:f>IF(C902="Active",1,0)</x:f>
        <x:v>1</x:v>
      </x:c>
    </x:row>
    <x:row r="903">
      <x:c r="A903" t="str">
        <x:v>SKU00902</x:v>
      </x:c>
      <x:c r="B903" t="str">
        <x:v>Sample Product 00902</x:v>
      </x:c>
      <x:c r="C903" t="str">
        <x:v>Active</x:v>
      </x:c>
      <x:c r="D903" t="str">
        <x:v>2026-04</x:v>
      </x:c>
      <x:c r="E903" s="12" t="n">
        <x:v>5.8</x:v>
      </x:c>
      <x:c r="F903" s="10" t="n">
        <x:v>0.456</x:v>
      </x:c>
      <x:c r="G903" t="str">
        <x:v>Personal Care</x:v>
      </x:c>
      <x:c r="H903" t="str">
        <x:v>Skin Care</x:v>
      </x:c>
      <x:c r="I903" t="str">
        <x:v>MFG011</x:v>
      </x:c>
      <x:c r="J903" t="str">
        <x:v>Manufacturer 011</x:v>
      </x:c>
      <x:c r="K903" t="str">
        <x:v>SUP023</x:v>
      </x:c>
      <x:c r="L903" t="str">
        <x:v>Supplier 023</x:v>
      </x:c>
      <x:c r="M903" t="str">
        <x:v>REG-603054</x:v>
      </x:c>
      <x:c r="N903" t="str">
        <x:v>Generic Ingredient 121</x:v>
      </x:c>
      <x:c r="O903" t="str">
        <x:v>General Sale</x:v>
      </x:c>
      <x:c r="P903" t="n">
        <x:v>278</x:v>
      </x:c>
      <x:c r="Q903" t="n">
        <x:v>203</x:v>
      </x:c>
      <x:c r="R903" t="n">
        <x:v>65</x:v>
      </x:c>
      <x:c r="S903" s="12" t="n">
        <x:f>E903*Q903</x:f>
        <x:v>1177.3999999999999</x:v>
      </x:c>
      <x:c r="T903" s="12" t="n">
        <x:f>ROUND(S903*F903+0.000000001,2)</x:f>
        <x:v>536.89</x:v>
      </x:c>
      <x:c r="U903" s="12" t="n">
        <x:f>E903*R903</x:f>
        <x:v>377</x:v>
      </x:c>
      <x:c r="V903" t="str">
        <x:f>IF(AND(C903="Active",Q903=0),"Active Zero Sales","Not Zero Sales")</x:f>
        <x:v>Not Zero Sales</x:v>
      </x:c>
      <x:c r="W903" s="12" t="n">
        <x:f>IF(V903="Active Zero Sales",U903,0)</x:f>
        <x:v>0</x:v>
      </x:c>
      <x:c r="X903" t="str">
        <x:f>IF(E903&lt;25,"Low &lt; 25",IF(E903&lt;100,"Medium 25-99",IF(E903&lt;300,"High 100-299","Premium 300+")))</x:f>
        <x:v>Low &lt; 25</x:v>
      </x:c>
      <x:c r="Y903" t="n">
        <x:f>IF(C903="Active",1,0)</x:f>
        <x:v>1</x:v>
      </x:c>
    </x:row>
    <x:row r="904">
      <x:c r="A904" t="str">
        <x:v>SKU00903</x:v>
      </x:c>
      <x:c r="B904" t="str">
        <x:v>Sample Product 00903</x:v>
      </x:c>
      <x:c r="C904" t="str">
        <x:v>Active</x:v>
      </x:c>
      <x:c r="D904" t="str">
        <x:v>2026-06</x:v>
      </x:c>
      <x:c r="E904" s="12" t="n">
        <x:v>67.62</x:v>
      </x:c>
      <x:c r="F904" s="10" t="n">
        <x:v>0.313</x:v>
      </x:c>
      <x:c r="G904" t="str">
        <x:v>General Merchandise</x:v>
      </x:c>
      <x:c r="H904" t="str">
        <x:v>Baby Essentials</x:v>
      </x:c>
      <x:c r="I904" t="str">
        <x:v>MFG004</x:v>
      </x:c>
      <x:c r="J904" t="str">
        <x:v>Manufacturer 004</x:v>
      </x:c>
      <x:c r="K904" t="str">
        <x:v>SUP022</x:v>
      </x:c>
      <x:c r="L904" t="str">
        <x:v>Supplier 022</x:v>
      </x:c>
      <x:c r="M904" t="str">
        <x:v>REG-482192</x:v>
      </x:c>
      <x:c r="N904" t="str">
        <x:v>Generic Ingredient 037</x:v>
      </x:c>
      <x:c r="O904" t="str">
        <x:v>General Sale</x:v>
      </x:c>
      <x:c r="P904" t="n">
        <x:v>29</x:v>
      </x:c>
      <x:c r="Q904" t="n">
        <x:v>20</x:v>
      </x:c>
      <x:c r="R904" t="n">
        <x:v>4</x:v>
      </x:c>
      <x:c r="S904" s="12" t="n">
        <x:f>E904*Q904</x:f>
        <x:v>1352.4</x:v>
      </x:c>
      <x:c r="T904" s="12" t="n">
        <x:f>ROUND(S904*F904+0.000000001,2)</x:f>
        <x:v>423.3</x:v>
      </x:c>
      <x:c r="U904" s="12" t="n">
        <x:f>E904*R904</x:f>
        <x:v>270.48</x:v>
      </x:c>
      <x:c r="V904" t="str">
        <x:f>IF(AND(C904="Active",Q904=0),"Active Zero Sales","Not Zero Sales")</x:f>
        <x:v>Not Zero Sales</x:v>
      </x:c>
      <x:c r="W904" s="12" t="n">
        <x:f>IF(V904="Active Zero Sales",U904,0)</x:f>
        <x:v>0</x:v>
      </x:c>
      <x:c r="X904" t="str">
        <x:f>IF(E904&lt;25,"Low &lt; 25",IF(E904&lt;100,"Medium 25-99",IF(E904&lt;300,"High 100-299","Premium 300+")))</x:f>
        <x:v>Medium 25-99</x:v>
      </x:c>
      <x:c r="Y904" t="n">
        <x:f>IF(C904="Active",1,0)</x:f>
        <x:v>1</x:v>
      </x:c>
    </x:row>
    <x:row r="905">
      <x:c r="A905" t="str">
        <x:v>SKU00904</x:v>
      </x:c>
      <x:c r="B905" t="str">
        <x:v>Sample Product 00904</x:v>
      </x:c>
      <x:c r="C905" t="str">
        <x:v>Active</x:v>
      </x:c>
      <x:c r="D905" t="str">
        <x:v>2026-02</x:v>
      </x:c>
      <x:c r="E905" s="12" t="n">
        <x:v>67.01</x:v>
      </x:c>
      <x:c r="F905" s="10" t="n">
        <x:v>0.387</x:v>
      </x:c>
      <x:c r="G905" t="str">
        <x:v>Personal Care</x:v>
      </x:c>
      <x:c r="H905" t="str">
        <x:v>Hygiene</x:v>
      </x:c>
      <x:c r="I905" t="str">
        <x:v>MFG013</x:v>
      </x:c>
      <x:c r="J905" t="str">
        <x:v>Manufacturer 013</x:v>
      </x:c>
      <x:c r="K905" t="str">
        <x:v>SUP020</x:v>
      </x:c>
      <x:c r="L905" t="str">
        <x:v>Supplier 020</x:v>
      </x:c>
      <x:c r="M905" t="str">
        <x:v>REG-229887</x:v>
      </x:c>
      <x:c r="N905" t="str">
        <x:v>Generic Ingredient 078</x:v>
      </x:c>
      <x:c r="O905" t="str">
        <x:v>General Sale</x:v>
      </x:c>
      <x:c r="P905" t="n">
        <x:v>82</x:v>
      </x:c>
      <x:c r="Q905" t="n">
        <x:v>35</x:v>
      </x:c>
      <x:c r="R905" t="n">
        <x:v>4</x:v>
      </x:c>
      <x:c r="S905" s="12" t="n">
        <x:f>E905*Q905</x:f>
        <x:v>2345.3500000000004</x:v>
      </x:c>
      <x:c r="T905" s="12" t="n">
        <x:f>ROUND(S905*F905+0.000000001,2)</x:f>
        <x:v>907.65</x:v>
      </x:c>
      <x:c r="U905" s="12" t="n">
        <x:f>E905*R905</x:f>
        <x:v>268.04</x:v>
      </x:c>
      <x:c r="V905" t="str">
        <x:f>IF(AND(C905="Active",Q905=0),"Active Zero Sales","Not Zero Sales")</x:f>
        <x:v>Not Zero Sales</x:v>
      </x:c>
      <x:c r="W905" s="12" t="n">
        <x:f>IF(V905="Active Zero Sales",U905,0)</x:f>
        <x:v>0</x:v>
      </x:c>
      <x:c r="X905" t="str">
        <x:f>IF(E905&lt;25,"Low &lt; 25",IF(E905&lt;100,"Medium 25-99",IF(E905&lt;300,"High 100-299","Premium 300+")))</x:f>
        <x:v>Medium 25-99</x:v>
      </x:c>
      <x:c r="Y905" t="n">
        <x:f>IF(C905="Active",1,0)</x:f>
        <x:v>1</x:v>
      </x:c>
    </x:row>
    <x:row r="906">
      <x:c r="A906" t="str">
        <x:v>SKU00905</x:v>
      </x:c>
      <x:c r="B906" t="str">
        <x:v>Sample Product 00905</x:v>
      </x:c>
      <x:c r="C906" t="str">
        <x:v>Active</x:v>
      </x:c>
      <x:c r="D906" t="str">
        <x:v>2026-06</x:v>
      </x:c>
      <x:c r="E906" s="12" t="n">
        <x:v>36.36</x:v>
      </x:c>
      <x:c r="F906" s="10" t="n">
        <x:v>0.274</x:v>
      </x:c>
      <x:c r="G906" t="str">
        <x:v>Medical Devices</x:v>
      </x:c>
      <x:c r="H906" t="str">
        <x:v>Mobility Aids</x:v>
      </x:c>
      <x:c r="I906" t="str">
        <x:v>MFG005</x:v>
      </x:c>
      <x:c r="J906" t="str">
        <x:v>Manufacturer 005</x:v>
      </x:c>
      <x:c r="K906" t="str">
        <x:v>SUP011</x:v>
      </x:c>
      <x:c r="L906" t="str">
        <x:v>Supplier 011</x:v>
      </x:c>
      <x:c r="M906" t="str">
        <x:v>REG-739531</x:v>
      </x:c>
      <x:c r="N906" t="str">
        <x:v>Generic Ingredient 075</x:v>
      </x:c>
      <x:c r="O906" t="str">
        <x:v>General Sale</x:v>
      </x:c>
      <x:c r="P906" t="n">
        <x:v>55</x:v>
      </x:c>
      <x:c r="Q906" t="n">
        <x:v>15</x:v>
      </x:c>
      <x:c r="R906" t="n">
        <x:v>1</x:v>
      </x:c>
      <x:c r="S906" s="12" t="n">
        <x:f>E906*Q906</x:f>
        <x:v>545.4</x:v>
      </x:c>
      <x:c r="T906" s="12" t="n">
        <x:f>ROUND(S906*F906+0.000000001,2)</x:f>
        <x:v>149.44</x:v>
      </x:c>
      <x:c r="U906" s="12" t="n">
        <x:f>E906*R906</x:f>
        <x:v>36.36</x:v>
      </x:c>
      <x:c r="V906" t="str">
        <x:f>IF(AND(C906="Active",Q906=0),"Active Zero Sales","Not Zero Sales")</x:f>
        <x:v>Not Zero Sales</x:v>
      </x:c>
      <x:c r="W906" s="12" t="n">
        <x:f>IF(V906="Active Zero Sales",U906,0)</x:f>
        <x:v>0</x:v>
      </x:c>
      <x:c r="X906" t="str">
        <x:f>IF(E906&lt;25,"Low &lt; 25",IF(E906&lt;100,"Medium 25-99",IF(E906&lt;300,"High 100-299","Premium 300+")))</x:f>
        <x:v>Medium 25-99</x:v>
      </x:c>
      <x:c r="Y906" t="n">
        <x:f>IF(C906="Active",1,0)</x:f>
        <x:v>1</x:v>
      </x:c>
    </x:row>
    <x:row r="907">
      <x:c r="A907" t="str">
        <x:v>SKU00906</x:v>
      </x:c>
      <x:c r="B907" t="str">
        <x:v>Sample Product 00906</x:v>
      </x:c>
      <x:c r="C907" t="str">
        <x:v>Active</x:v>
      </x:c>
      <x:c r="D907" t="str">
        <x:v>2026-04</x:v>
      </x:c>
      <x:c r="E907" s="12" t="n">
        <x:v>4.19</x:v>
      </x:c>
      <x:c r="F907" s="10" t="n">
        <x:v>0.424</x:v>
      </x:c>
      <x:c r="G907" t="str">
        <x:v>General Merchandise</x:v>
      </x:c>
      <x:c r="H907" t="str">
        <x:v>Accessories</x:v>
      </x:c>
      <x:c r="I907" t="str">
        <x:v>MFG008</x:v>
      </x:c>
      <x:c r="J907" t="str">
        <x:v>Manufacturer 008</x:v>
      </x:c>
      <x:c r="K907" t="str">
        <x:v>SUP015</x:v>
      </x:c>
      <x:c r="L907" t="str">
        <x:v>Supplier 015</x:v>
      </x:c>
      <x:c r="M907" t="str">
        <x:v>REG-979151</x:v>
      </x:c>
      <x:c r="N907" t="str">
        <x:v>Generic Ingredient 096</x:v>
      </x:c>
      <x:c r="O907" t="str">
        <x:v>General Sale</x:v>
      </x:c>
      <x:c r="P907" t="n">
        <x:v>83</x:v>
      </x:c>
      <x:c r="Q907" t="n">
        <x:v>47</x:v>
      </x:c>
      <x:c r="R907" t="n">
        <x:v>1</x:v>
      </x:c>
      <x:c r="S907" s="12" t="n">
        <x:f>E907*Q907</x:f>
        <x:v>196.93</x:v>
      </x:c>
      <x:c r="T907" s="12" t="n">
        <x:f>ROUND(S907*F907+0.000000001,2)</x:f>
        <x:v>83.5</x:v>
      </x:c>
      <x:c r="U907" s="12" t="n">
        <x:f>E907*R907</x:f>
        <x:v>4.19</x:v>
      </x:c>
      <x:c r="V907" t="str">
        <x:f>IF(AND(C907="Active",Q907=0),"Active Zero Sales","Not Zero Sales")</x:f>
        <x:v>Not Zero Sales</x:v>
      </x:c>
      <x:c r="W907" s="12" t="n">
        <x:f>IF(V907="Active Zero Sales",U907,0)</x:f>
        <x:v>0</x:v>
      </x:c>
      <x:c r="X907" t="str">
        <x:f>IF(E907&lt;25,"Low &lt; 25",IF(E907&lt;100,"Medium 25-99",IF(E907&lt;300,"High 100-299","Premium 300+")))</x:f>
        <x:v>Low &lt; 25</x:v>
      </x:c>
      <x:c r="Y907" t="n">
        <x:f>IF(C907="Active",1,0)</x:f>
        <x:v>1</x:v>
      </x:c>
    </x:row>
    <x:row r="908">
      <x:c r="A908" t="str">
        <x:v>SKU00907</x:v>
      </x:c>
      <x:c r="B908" t="str">
        <x:v>Sample Product 00907</x:v>
      </x:c>
      <x:c r="C908" t="str">
        <x:v>Blocked</x:v>
      </x:c>
      <x:c r="D908" t="str">
        <x:v>2026-04</x:v>
      </x:c>
      <x:c r="E908" s="12" t="n">
        <x:v>68.69</x:v>
      </x:c>
      <x:c r="F908" s="10" t="n">
        <x:v>0.427</x:v>
      </x:c>
      <x:c r="G908" t="str">
        <x:v>Medical Devices</x:v>
      </x:c>
      <x:c r="H908" t="str">
        <x:v>Home Diagnostics</x:v>
      </x:c>
      <x:c r="I908" t="str">
        <x:v>MFG002</x:v>
      </x:c>
      <x:c r="J908" t="str">
        <x:v>Manufacturer 002</x:v>
      </x:c>
      <x:c r="K908" t="str">
        <x:v>SUP003</x:v>
      </x:c>
      <x:c r="L908" t="str">
        <x:v>Supplier 003</x:v>
      </x:c>
      <x:c r="M908" t="str">
        <x:v>REG-236058</x:v>
      </x:c>
      <x:c r="N908" t="str">
        <x:v>Generic Ingredient 140</x:v>
      </x:c>
      <x:c r="O908" t="str">
        <x:v>Pharmacy Only</x:v>
      </x:c>
      <x:c r="P908" t="n">
        <x:v>20</x:v>
      </x:c>
      <x:c r="Q908" t="n">
        <x:v>0</x:v>
      </x:c>
      <x:c r="R908" t="n">
        <x:v>0</x:v>
      </x:c>
      <x:c r="S908" s="12" t="n">
        <x:f>E908*Q908</x:f>
        <x:v>0</x:v>
      </x:c>
      <x:c r="T908" s="12" t="n">
        <x:f>ROUND(S908*F908+0.000000001,2)</x:f>
        <x:v>0</x:v>
      </x:c>
      <x:c r="U908" s="12" t="n">
        <x:f>E908*R908</x:f>
        <x:v>0</x:v>
      </x:c>
      <x:c r="V908" t="str">
        <x:f>IF(AND(C908="Active",Q908=0),"Active Zero Sales","Not Zero Sales")</x:f>
        <x:v>Not Zero Sales</x:v>
      </x:c>
      <x:c r="W908" s="12" t="n">
        <x:f>IF(V908="Active Zero Sales",U908,0)</x:f>
        <x:v>0</x:v>
      </x:c>
      <x:c r="X908" t="str">
        <x:f>IF(E908&lt;25,"Low &lt; 25",IF(E908&lt;100,"Medium 25-99",IF(E908&lt;300,"High 100-299","Premium 300+")))</x:f>
        <x:v>Medium 25-99</x:v>
      </x:c>
      <x:c r="Y908" t="n">
        <x:f>IF(C908="Active",1,0)</x:f>
        <x:v>0</x:v>
      </x:c>
    </x:row>
    <x:row r="909">
      <x:c r="A909" t="str">
        <x:v>SKU00908</x:v>
      </x:c>
      <x:c r="B909" t="str">
        <x:v>Sample Product 00908</x:v>
      </x:c>
      <x:c r="C909" t="str">
        <x:v>Active</x:v>
      </x:c>
      <x:c r="D909" t="str">
        <x:v>2026-04</x:v>
      </x:c>
      <x:c r="E909" s="12" t="n">
        <x:v>49.95</x:v>
      </x:c>
      <x:c r="F909" s="10" t="n">
        <x:v>0.258</x:v>
      </x:c>
      <x:c r="G909" t="str">
        <x:v>General Merchandise</x:v>
      </x:c>
      <x:c r="H909" t="str">
        <x:v>Baby Essentials</x:v>
      </x:c>
      <x:c r="I909" t="str">
        <x:v>MFG001</x:v>
      </x:c>
      <x:c r="J909" t="str">
        <x:v>Manufacturer 001</x:v>
      </x:c>
      <x:c r="K909" t="str">
        <x:v>SUP023</x:v>
      </x:c>
      <x:c r="L909" t="str">
        <x:v>Supplier 023</x:v>
      </x:c>
      <x:c r="M909" t="str">
        <x:v>REG-228983</x:v>
      </x:c>
      <x:c r="N909" t="str">
        <x:v>Generic Ingredient 066</x:v>
      </x:c>
      <x:c r="O909" t="str">
        <x:v>General Sale</x:v>
      </x:c>
      <x:c r="P909" t="n">
        <x:v>11</x:v>
      </x:c>
      <x:c r="Q909" t="n">
        <x:v>10</x:v>
      </x:c>
      <x:c r="R909" t="n">
        <x:v>9</x:v>
      </x:c>
      <x:c r="S909" s="12" t="n">
        <x:f>E909*Q909</x:f>
        <x:v>499.5</x:v>
      </x:c>
      <x:c r="T909" s="12" t="n">
        <x:f>ROUND(S909*F909+0.000000001,2)</x:f>
        <x:v>128.87</x:v>
      </x:c>
      <x:c r="U909" s="12" t="n">
        <x:f>E909*R909</x:f>
        <x:v>449.55</x:v>
      </x:c>
      <x:c r="V909" t="str">
        <x:f>IF(AND(C909="Active",Q909=0),"Active Zero Sales","Not Zero Sales")</x:f>
        <x:v>Not Zero Sales</x:v>
      </x:c>
      <x:c r="W909" s="12" t="n">
        <x:f>IF(V909="Active Zero Sales",U909,0)</x:f>
        <x:v>0</x:v>
      </x:c>
      <x:c r="X909" t="str">
        <x:f>IF(E909&lt;25,"Low &lt; 25",IF(E909&lt;100,"Medium 25-99",IF(E909&lt;300,"High 100-299","Premium 300+")))</x:f>
        <x:v>Medium 25-99</x:v>
      </x:c>
      <x:c r="Y909" t="n">
        <x:f>IF(C909="Active",1,0)</x:f>
        <x:v>1</x:v>
      </x:c>
    </x:row>
    <x:row r="910">
      <x:c r="A910" t="str">
        <x:v>SKU00909</x:v>
      </x:c>
      <x:c r="B910" t="str">
        <x:v>Sample Product 00909</x:v>
      </x:c>
      <x:c r="C910" t="str">
        <x:v>Active</x:v>
      </x:c>
      <x:c r="D910" t="str">
        <x:v>2026-04</x:v>
      </x:c>
      <x:c r="E910" s="12" t="n">
        <x:v>210.38</x:v>
      </x:c>
      <x:c r="F910" s="10" t="n">
        <x:v>0.343</x:v>
      </x:c>
      <x:c r="G910" t="str">
        <x:v>OTC &amp; Wellness</x:v>
      </x:c>
      <x:c r="H910" t="str">
        <x:v>Pain Relief</x:v>
      </x:c>
      <x:c r="I910" t="str">
        <x:v>MFG001</x:v>
      </x:c>
      <x:c r="J910" t="str">
        <x:v>Manufacturer 001</x:v>
      </x:c>
      <x:c r="K910" t="str">
        <x:v>SUP021</x:v>
      </x:c>
      <x:c r="L910" t="str">
        <x:v>Supplier 021</x:v>
      </x:c>
      <x:c r="M910" t="str">
        <x:v>REG-604079</x:v>
      </x:c>
      <x:c r="N910" t="str">
        <x:v>Generic Ingredient 102</x:v>
      </x:c>
      <x:c r="O910" t="str">
        <x:v>Pharmacy Only</x:v>
      </x:c>
      <x:c r="P910" t="n">
        <x:v>61</x:v>
      </x:c>
      <x:c r="Q910" t="n">
        <x:v>30</x:v>
      </x:c>
      <x:c r="R910" t="n">
        <x:v>16</x:v>
      </x:c>
      <x:c r="S910" s="12" t="n">
        <x:f>E910*Q910</x:f>
        <x:v>6311.4</x:v>
      </x:c>
      <x:c r="T910" s="12" t="n">
        <x:f>ROUND(S910*F910+0.000000001,2)</x:f>
        <x:v>2164.81</x:v>
      </x:c>
      <x:c r="U910" s="12" t="n">
        <x:f>E910*R910</x:f>
        <x:v>3366.08</x:v>
      </x:c>
      <x:c r="V910" t="str">
        <x:f>IF(AND(C910="Active",Q910=0),"Active Zero Sales","Not Zero Sales")</x:f>
        <x:v>Not Zero Sales</x:v>
      </x:c>
      <x:c r="W910" s="12" t="n">
        <x:f>IF(V910="Active Zero Sales",U910,0)</x:f>
        <x:v>0</x:v>
      </x:c>
      <x:c r="X910" t="str">
        <x:f>IF(E910&lt;25,"Low &lt; 25",IF(E910&lt;100,"Medium 25-99",IF(E910&lt;300,"High 100-299","Premium 300+")))</x:f>
        <x:v>High 100-299</x:v>
      </x:c>
      <x:c r="Y910" t="n">
        <x:f>IF(C910="Active",1,0)</x:f>
        <x:v>1</x:v>
      </x:c>
    </x:row>
    <x:row r="911">
      <x:c r="A911" t="str">
        <x:v>SKU00910</x:v>
      </x:c>
      <x:c r="B911" t="str">
        <x:v>Sample Product 00910</x:v>
      </x:c>
      <x:c r="C911" t="str">
        <x:v>Active</x:v>
      </x:c>
      <x:c r="D911" t="str">
        <x:v>2026-01</x:v>
      </x:c>
      <x:c r="E911" s="12" t="n">
        <x:v>21.07</x:v>
      </x:c>
      <x:c r="F911" s="10" t="n">
        <x:v>0.34</x:v>
      </x:c>
      <x:c r="G911" t="str">
        <x:v>General Merchandise</x:v>
      </x:c>
      <x:c r="H911" t="str">
        <x:v>Seasonal Care</x:v>
      </x:c>
      <x:c r="I911" t="str">
        <x:v>MFG011</x:v>
      </x:c>
      <x:c r="J911" t="str">
        <x:v>Manufacturer 011</x:v>
      </x:c>
      <x:c r="K911" t="str">
        <x:v>SUP027</x:v>
      </x:c>
      <x:c r="L911" t="str">
        <x:v>Supplier 027</x:v>
      </x:c>
      <x:c r="M911" t="str">
        <x:v>REG-286539</x:v>
      </x:c>
      <x:c r="N911" t="str">
        <x:v>Generic Ingredient 034</x:v>
      </x:c>
      <x:c r="O911" t="str">
        <x:v>General Sale</x:v>
      </x:c>
      <x:c r="P911" t="n">
        <x:v>25</x:v>
      </x:c>
      <x:c r="Q911" t="n">
        <x:v>0</x:v>
      </x:c>
      <x:c r="R911" t="n">
        <x:v>0</x:v>
      </x:c>
      <x:c r="S911" s="12" t="n">
        <x:f>E911*Q911</x:f>
        <x:v>0</x:v>
      </x:c>
      <x:c r="T911" s="12" t="n">
        <x:f>ROUND(S911*F911+0.000000001,2)</x:f>
        <x:v>0</x:v>
      </x:c>
      <x:c r="U911" s="12" t="n">
        <x:f>E911*R911</x:f>
        <x:v>0</x:v>
      </x:c>
      <x:c r="V911" t="str">
        <x:f>IF(AND(C911="Active",Q911=0),"Active Zero Sales","Not Zero Sales")</x:f>
        <x:v>Active Zero Sales</x:v>
      </x:c>
      <x:c r="W911" s="12" t="n">
        <x:f>IF(V911="Active Zero Sales",U911,0)</x:f>
        <x:v>0</x:v>
      </x:c>
      <x:c r="X911" t="str">
        <x:f>IF(E911&lt;25,"Low &lt; 25",IF(E911&lt;100,"Medium 25-99",IF(E911&lt;300,"High 100-299","Premium 300+")))</x:f>
        <x:v>Low &lt; 25</x:v>
      </x:c>
      <x:c r="Y911" t="n">
        <x:f>IF(C911="Active",1,0)</x:f>
        <x:v>1</x:v>
      </x:c>
    </x:row>
    <x:row r="912">
      <x:c r="A912" t="str">
        <x:v>SKU00911</x:v>
      </x:c>
      <x:c r="B912" t="str">
        <x:v>Sample Product 00911</x:v>
      </x:c>
      <x:c r="C912" t="str">
        <x:v>Active</x:v>
      </x:c>
      <x:c r="D912" t="str">
        <x:v>2026-01</x:v>
      </x:c>
      <x:c r="E912" s="12" t="n">
        <x:v>18.05</x:v>
      </x:c>
      <x:c r="F912" s="10" t="n">
        <x:v>0.246</x:v>
      </x:c>
      <x:c r="G912" t="str">
        <x:v>Nutrition</x:v>
      </x:c>
      <x:c r="H912" t="str">
        <x:v>Hydration</x:v>
      </x:c>
      <x:c r="I912" t="str">
        <x:v>MFG004</x:v>
      </x:c>
      <x:c r="J912" t="str">
        <x:v>Manufacturer 004</x:v>
      </x:c>
      <x:c r="K912" t="str">
        <x:v>SUP011</x:v>
      </x:c>
      <x:c r="L912" t="str">
        <x:v>Supplier 011</x:v>
      </x:c>
      <x:c r="M912" t="str">
        <x:v>REG-285438</x:v>
      </x:c>
      <x:c r="N912" t="str">
        <x:v>Generic Ingredient 153</x:v>
      </x:c>
      <x:c r="O912" t="str">
        <x:v>General Sale</x:v>
      </x:c>
      <x:c r="P912" t="n">
        <x:v>67</x:v>
      </x:c>
      <x:c r="Q912" t="n">
        <x:v>52</x:v>
      </x:c>
      <x:c r="R912" t="n">
        <x:v>12</x:v>
      </x:c>
      <x:c r="S912" s="12" t="n">
        <x:f>E912*Q912</x:f>
        <x:v>938.6</x:v>
      </x:c>
      <x:c r="T912" s="12" t="n">
        <x:f>ROUND(S912*F912+0.000000001,2)</x:f>
        <x:v>230.9</x:v>
      </x:c>
      <x:c r="U912" s="12" t="n">
        <x:f>E912*R912</x:f>
        <x:v>216.60000000000002</x:v>
      </x:c>
      <x:c r="V912" t="str">
        <x:f>IF(AND(C912="Active",Q912=0),"Active Zero Sales","Not Zero Sales")</x:f>
        <x:v>Not Zero Sales</x:v>
      </x:c>
      <x:c r="W912" s="12" t="n">
        <x:f>IF(V912="Active Zero Sales",U912,0)</x:f>
        <x:v>0</x:v>
      </x:c>
      <x:c r="X912" t="str">
        <x:f>IF(E912&lt;25,"Low &lt; 25",IF(E912&lt;100,"Medium 25-99",IF(E912&lt;300,"High 100-299","Premium 300+")))</x:f>
        <x:v>Low &lt; 25</x:v>
      </x:c>
      <x:c r="Y912" t="n">
        <x:f>IF(C912="Active",1,0)</x:f>
        <x:v>1</x:v>
      </x:c>
    </x:row>
    <x:row r="913">
      <x:c r="A913" t="str">
        <x:v>SKU00912</x:v>
      </x:c>
      <x:c r="B913" t="str">
        <x:v>Sample Product 00912</x:v>
      </x:c>
      <x:c r="C913" t="str">
        <x:v>Blocked</x:v>
      </x:c>
      <x:c r="D913" t="str">
        <x:v>2026-02</x:v>
      </x:c>
      <x:c r="E913" s="12" t="n">
        <x:v>250.35</x:v>
      </x:c>
      <x:c r="F913" s="10" t="n">
        <x:v>0.343</x:v>
      </x:c>
      <x:c r="G913" t="str">
        <x:v>OTC &amp; Wellness</x:v>
      </x:c>
      <x:c r="H913" t="str">
        <x:v>Digestive Care</x:v>
      </x:c>
      <x:c r="I913" t="str">
        <x:v>MFG001</x:v>
      </x:c>
      <x:c r="J913" t="str">
        <x:v>Manufacturer 001</x:v>
      </x:c>
      <x:c r="K913" t="str">
        <x:v>SUP006</x:v>
      </x:c>
      <x:c r="L913" t="str">
        <x:v>Supplier 006</x:v>
      </x:c>
      <x:c r="M913" t="str">
        <x:v>REG-966006</x:v>
      </x:c>
      <x:c r="N913" t="str">
        <x:v>Generic Ingredient 021</x:v>
      </x:c>
      <x:c r="O913" t="str">
        <x:v>General Sale</x:v>
      </x:c>
      <x:c r="P913" t="n">
        <x:v>18</x:v>
      </x:c>
      <x:c r="Q913" t="n">
        <x:v>0</x:v>
      </x:c>
      <x:c r="R913" t="n">
        <x:v>0</x:v>
      </x:c>
      <x:c r="S913" s="12" t="n">
        <x:f>E913*Q913</x:f>
        <x:v>0</x:v>
      </x:c>
      <x:c r="T913" s="12" t="n">
        <x:f>ROUND(S913*F913+0.000000001,2)</x:f>
        <x:v>0</x:v>
      </x:c>
      <x:c r="U913" s="12" t="n">
        <x:f>E913*R913</x:f>
        <x:v>0</x:v>
      </x:c>
      <x:c r="V913" t="str">
        <x:f>IF(AND(C913="Active",Q913=0),"Active Zero Sales","Not Zero Sales")</x:f>
        <x:v>Not Zero Sales</x:v>
      </x:c>
      <x:c r="W913" s="12" t="n">
        <x:f>IF(V913="Active Zero Sales",U913,0)</x:f>
        <x:v>0</x:v>
      </x:c>
      <x:c r="X913" t="str">
        <x:f>IF(E913&lt;25,"Low &lt; 25",IF(E913&lt;100,"Medium 25-99",IF(E913&lt;300,"High 100-299","Premium 300+")))</x:f>
        <x:v>High 100-299</x:v>
      </x:c>
      <x:c r="Y913" t="n">
        <x:f>IF(C913="Active",1,0)</x:f>
        <x:v>0</x:v>
      </x:c>
    </x:row>
    <x:row r="914">
      <x:c r="A914" t="str">
        <x:v>SKU00913</x:v>
      </x:c>
      <x:c r="B914" t="str">
        <x:v>Sample Product 00913</x:v>
      </x:c>
      <x:c r="C914" t="str">
        <x:v>Blocked</x:v>
      </x:c>
      <x:c r="D914" t="str">
        <x:v>2026-03</x:v>
      </x:c>
      <x:c r="E914" s="12" t="n">
        <x:v>83.38</x:v>
      </x:c>
      <x:c r="F914" s="10" t="n">
        <x:v>0.356</x:v>
      </x:c>
      <x:c r="G914" t="str">
        <x:v>General Merchandise</x:v>
      </x:c>
      <x:c r="H914" t="str">
        <x:v>Baby Essentials</x:v>
      </x:c>
      <x:c r="I914" t="str">
        <x:v>MFG015</x:v>
      </x:c>
      <x:c r="J914" t="str">
        <x:v>Manufacturer 015</x:v>
      </x:c>
      <x:c r="K914" t="str">
        <x:v>SUP020</x:v>
      </x:c>
      <x:c r="L914" t="str">
        <x:v>Supplier 020</x:v>
      </x:c>
      <x:c r="M914" t="str">
        <x:v>REG-423338</x:v>
      </x:c>
      <x:c r="N914" t="str">
        <x:v>Generic Ingredient 107</x:v>
      </x:c>
      <x:c r="O914" t="str">
        <x:v>Pharmacy Only</x:v>
      </x:c>
      <x:c r="P914" t="n">
        <x:v>0</x:v>
      </x:c>
      <x:c r="Q914" t="n">
        <x:v>0</x:v>
      </x:c>
      <x:c r="R914" t="n">
        <x:v>0</x:v>
      </x:c>
      <x:c r="S914" s="12" t="n">
        <x:f>E914*Q914</x:f>
        <x:v>0</x:v>
      </x:c>
      <x:c r="T914" s="12" t="n">
        <x:f>ROUND(S914*F914+0.000000001,2)</x:f>
        <x:v>0</x:v>
      </x:c>
      <x:c r="U914" s="12" t="n">
        <x:f>E914*R914</x:f>
        <x:v>0</x:v>
      </x:c>
      <x:c r="V914" t="str">
        <x:f>IF(AND(C914="Active",Q914=0),"Active Zero Sales","Not Zero Sales")</x:f>
        <x:v>Not Zero Sales</x:v>
      </x:c>
      <x:c r="W914" s="12" t="n">
        <x:f>IF(V914="Active Zero Sales",U914,0)</x:f>
        <x:v>0</x:v>
      </x:c>
      <x:c r="X914" t="str">
        <x:f>IF(E914&lt;25,"Low &lt; 25",IF(E914&lt;100,"Medium 25-99",IF(E914&lt;300,"High 100-299","Premium 300+")))</x:f>
        <x:v>Medium 25-99</x:v>
      </x:c>
      <x:c r="Y914" t="n">
        <x:f>IF(C914="Active",1,0)</x:f>
        <x:v>0</x:v>
      </x:c>
    </x:row>
    <x:row r="915">
      <x:c r="A915" t="str">
        <x:v>SKU00914</x:v>
      </x:c>
      <x:c r="B915" t="str">
        <x:v>Sample Product 00914</x:v>
      </x:c>
      <x:c r="C915" t="str">
        <x:v>Blocked</x:v>
      </x:c>
      <x:c r="D915" t="str">
        <x:v>2026-02</x:v>
      </x:c>
      <x:c r="E915" s="12" t="n">
        <x:v>62.56</x:v>
      </x:c>
      <x:c r="F915" s="10" t="n">
        <x:v>0.353</x:v>
      </x:c>
      <x:c r="G915" t="str">
        <x:v>Personal Care</x:v>
      </x:c>
      <x:c r="H915" t="str">
        <x:v>Hygiene</x:v>
      </x:c>
      <x:c r="I915" t="str">
        <x:v>MFG015</x:v>
      </x:c>
      <x:c r="J915" t="str">
        <x:v>Manufacturer 015</x:v>
      </x:c>
      <x:c r="K915" t="str">
        <x:v>SUP009</x:v>
      </x:c>
      <x:c r="L915" t="str">
        <x:v>Supplier 009</x:v>
      </x:c>
      <x:c r="M915" t="str">
        <x:v>REG-434813</x:v>
      </x:c>
      <x:c r="N915" t="str">
        <x:v>Generic Ingredient 148</x:v>
      </x:c>
      <x:c r="O915" t="str">
        <x:v>General Sale</x:v>
      </x:c>
      <x:c r="P915" t="n">
        <x:v>59</x:v>
      </x:c>
      <x:c r="Q915" t="n">
        <x:v>17</x:v>
      </x:c>
      <x:c r="R915" t="n">
        <x:v>0</x:v>
      </x:c>
      <x:c r="S915" s="12" t="n">
        <x:f>E915*Q915</x:f>
        <x:v>1063.52</x:v>
      </x:c>
      <x:c r="T915" s="12" t="n">
        <x:f>ROUND(S915*F915+0.000000001,2)</x:f>
        <x:v>375.42</x:v>
      </x:c>
      <x:c r="U915" s="12" t="n">
        <x:f>E915*R915</x:f>
        <x:v>0</x:v>
      </x:c>
      <x:c r="V915" t="str">
        <x:f>IF(AND(C915="Active",Q915=0),"Active Zero Sales","Not Zero Sales")</x:f>
        <x:v>Not Zero Sales</x:v>
      </x:c>
      <x:c r="W915" s="12" t="n">
        <x:f>IF(V915="Active Zero Sales",U915,0)</x:f>
        <x:v>0</x:v>
      </x:c>
      <x:c r="X915" t="str">
        <x:f>IF(E915&lt;25,"Low &lt; 25",IF(E915&lt;100,"Medium 25-99",IF(E915&lt;300,"High 100-299","Premium 300+")))</x:f>
        <x:v>Medium 25-99</x:v>
      </x:c>
      <x:c r="Y915" t="n">
        <x:f>IF(C915="Active",1,0)</x:f>
        <x:v>0</x:v>
      </x:c>
    </x:row>
    <x:row r="916">
      <x:c r="A916" t="str">
        <x:v>SKU00915</x:v>
      </x:c>
      <x:c r="B916" t="str">
        <x:v>Sample Product 00915</x:v>
      </x:c>
      <x:c r="C916" t="str">
        <x:v>Active</x:v>
      </x:c>
      <x:c r="D916" t="str">
        <x:v>2026-05</x:v>
      </x:c>
      <x:c r="E916" s="12" t="n">
        <x:v>8.65</x:v>
      </x:c>
      <x:c r="F916" s="10" t="n">
        <x:v>0.262</x:v>
      </x:c>
      <x:c r="G916" t="str">
        <x:v>Nutrition</x:v>
      </x:c>
      <x:c r="H916" t="str">
        <x:v>Adult Nutrition</x:v>
      </x:c>
      <x:c r="I916" t="str">
        <x:v>MFG012</x:v>
      </x:c>
      <x:c r="J916" t="str">
        <x:v>Manufacturer 012</x:v>
      </x:c>
      <x:c r="K916" t="str">
        <x:v>SUP023</x:v>
      </x:c>
      <x:c r="L916" t="str">
        <x:v>Supplier 023</x:v>
      </x:c>
      <x:c r="M916" t="str">
        <x:v>REG-706718</x:v>
      </x:c>
      <x:c r="N916" t="str">
        <x:v>Generic Ingredient 146</x:v>
      </x:c>
      <x:c r="O916" t="str">
        <x:v>General Sale</x:v>
      </x:c>
      <x:c r="P916" t="n">
        <x:v>20</x:v>
      </x:c>
      <x:c r="Q916" t="n">
        <x:v>22</x:v>
      </x:c>
      <x:c r="R916" t="n">
        <x:v>2</x:v>
      </x:c>
      <x:c r="S916" s="12" t="n">
        <x:f>E916*Q916</x:f>
        <x:v>190.3</x:v>
      </x:c>
      <x:c r="T916" s="12" t="n">
        <x:f>ROUND(S916*F916+0.000000001,2)</x:f>
        <x:v>49.86</x:v>
      </x:c>
      <x:c r="U916" s="12" t="n">
        <x:f>E916*R916</x:f>
        <x:v>17.3</x:v>
      </x:c>
      <x:c r="V916" t="str">
        <x:f>IF(AND(C916="Active",Q916=0),"Active Zero Sales","Not Zero Sales")</x:f>
        <x:v>Not Zero Sales</x:v>
      </x:c>
      <x:c r="W916" s="12" t="n">
        <x:f>IF(V916="Active Zero Sales",U916,0)</x:f>
        <x:v>0</x:v>
      </x:c>
      <x:c r="X916" t="str">
        <x:f>IF(E916&lt;25,"Low &lt; 25",IF(E916&lt;100,"Medium 25-99",IF(E916&lt;300,"High 100-299","Premium 300+")))</x:f>
        <x:v>Low &lt; 25</x:v>
      </x:c>
      <x:c r="Y916" t="n">
        <x:f>IF(C916="Active",1,0)</x:f>
        <x:v>1</x:v>
      </x:c>
    </x:row>
    <x:row r="917">
      <x:c r="A917" t="str">
        <x:v>SKU00916</x:v>
      </x:c>
      <x:c r="B917" t="str">
        <x:v>Sample Product 00916</x:v>
      </x:c>
      <x:c r="C917" t="str">
        <x:v>Active</x:v>
      </x:c>
      <x:c r="D917" t="str">
        <x:v>2026-03</x:v>
      </x:c>
      <x:c r="E917" s="12" t="n">
        <x:v>54.67</x:v>
      </x:c>
      <x:c r="F917" s="10" t="n">
        <x:v>0.388</x:v>
      </x:c>
      <x:c r="G917" t="str">
        <x:v>General Merchandise</x:v>
      </x:c>
      <x:c r="H917" t="str">
        <x:v>Travel Health</x:v>
      </x:c>
      <x:c r="I917" t="str">
        <x:v>MFG011</x:v>
      </x:c>
      <x:c r="J917" t="str">
        <x:v>Manufacturer 011</x:v>
      </x:c>
      <x:c r="K917" t="str">
        <x:v>SUP019</x:v>
      </x:c>
      <x:c r="L917" t="str">
        <x:v>Supplier 019</x:v>
      </x:c>
      <x:c r="M917" t="str">
        <x:v>REG-686081</x:v>
      </x:c>
      <x:c r="N917" t="str">
        <x:v>Generic Ingredient 126</x:v>
      </x:c>
      <x:c r="O917" t="str">
        <x:v>General Sale</x:v>
      </x:c>
      <x:c r="P917" t="n">
        <x:v>35</x:v>
      </x:c>
      <x:c r="Q917" t="n">
        <x:v>7</x:v>
      </x:c>
      <x:c r="R917" t="n">
        <x:v>0</x:v>
      </x:c>
      <x:c r="S917" s="12" t="n">
        <x:f>E917*Q917</x:f>
        <x:v>382.69</x:v>
      </x:c>
      <x:c r="T917" s="12" t="n">
        <x:f>ROUND(S917*F917+0.000000001,2)</x:f>
        <x:v>148.48</x:v>
      </x:c>
      <x:c r="U917" s="12" t="n">
        <x:f>E917*R917</x:f>
        <x:v>0</x:v>
      </x:c>
      <x:c r="V917" t="str">
        <x:f>IF(AND(C917="Active",Q917=0),"Active Zero Sales","Not Zero Sales")</x:f>
        <x:v>Not Zero Sales</x:v>
      </x:c>
      <x:c r="W917" s="12" t="n">
        <x:f>IF(V917="Active Zero Sales",U917,0)</x:f>
        <x:v>0</x:v>
      </x:c>
      <x:c r="X917" t="str">
        <x:f>IF(E917&lt;25,"Low &lt; 25",IF(E917&lt;100,"Medium 25-99",IF(E917&lt;300,"High 100-299","Premium 300+")))</x:f>
        <x:v>Medium 25-99</x:v>
      </x:c>
      <x:c r="Y917" t="n">
        <x:f>IF(C917="Active",1,0)</x:f>
        <x:v>1</x:v>
      </x:c>
    </x:row>
    <x:row r="918">
      <x:c r="A918" t="str">
        <x:v>SKU00917</x:v>
      </x:c>
      <x:c r="B918" t="str">
        <x:v>Sample Product 00917</x:v>
      </x:c>
      <x:c r="C918" t="str">
        <x:v>Active</x:v>
      </x:c>
      <x:c r="D918" t="str">
        <x:v>2026-01</x:v>
      </x:c>
      <x:c r="E918" s="12" t="n">
        <x:v>75.86</x:v>
      </x:c>
      <x:c r="F918" s="10" t="n">
        <x:v>0.309</x:v>
      </x:c>
      <x:c r="G918" t="str">
        <x:v>OTC &amp; Wellness</x:v>
      </x:c>
      <x:c r="H918" t="str">
        <x:v>Vitamins</x:v>
      </x:c>
      <x:c r="I918" t="str">
        <x:v>MFG015</x:v>
      </x:c>
      <x:c r="J918" t="str">
        <x:v>Manufacturer 015</x:v>
      </x:c>
      <x:c r="K918" t="str">
        <x:v>SUP019</x:v>
      </x:c>
      <x:c r="L918" t="str">
        <x:v>Supplier 019</x:v>
      </x:c>
      <x:c r="M918" t="str">
        <x:v>REG-308453</x:v>
      </x:c>
      <x:c r="N918" t="str">
        <x:v>Generic Ingredient 115</x:v>
      </x:c>
      <x:c r="O918" t="str">
        <x:v>General Sale</x:v>
      </x:c>
      <x:c r="P918" t="n">
        <x:v>46</x:v>
      </x:c>
      <x:c r="Q918" t="n">
        <x:v>30</x:v>
      </x:c>
      <x:c r="R918" t="n">
        <x:v>17</x:v>
      </x:c>
      <x:c r="S918" s="12" t="n">
        <x:f>E918*Q918</x:f>
        <x:v>2275.8</x:v>
      </x:c>
      <x:c r="T918" s="12" t="n">
        <x:f>ROUND(S918*F918+0.000000001,2)</x:f>
        <x:v>703.22</x:v>
      </x:c>
      <x:c r="U918" s="12" t="n">
        <x:f>E918*R918</x:f>
        <x:v>1289.62</x:v>
      </x:c>
      <x:c r="V918" t="str">
        <x:f>IF(AND(C918="Active",Q918=0),"Active Zero Sales","Not Zero Sales")</x:f>
        <x:v>Not Zero Sales</x:v>
      </x:c>
      <x:c r="W918" s="12" t="n">
        <x:f>IF(V918="Active Zero Sales",U918,0)</x:f>
        <x:v>0</x:v>
      </x:c>
      <x:c r="X918" t="str">
        <x:f>IF(E918&lt;25,"Low &lt; 25",IF(E918&lt;100,"Medium 25-99",IF(E918&lt;300,"High 100-299","Premium 300+")))</x:f>
        <x:v>Medium 25-99</x:v>
      </x:c>
      <x:c r="Y918" t="n">
        <x:f>IF(C918="Active",1,0)</x:f>
        <x:v>1</x:v>
      </x:c>
    </x:row>
    <x:row r="919">
      <x:c r="A919" t="str">
        <x:v>SKU00918</x:v>
      </x:c>
      <x:c r="B919" t="str">
        <x:v>Sample Product 00918</x:v>
      </x:c>
      <x:c r="C919" t="str">
        <x:v>Active</x:v>
      </x:c>
      <x:c r="D919" t="str">
        <x:v>2026-01</x:v>
      </x:c>
      <x:c r="E919" s="12" t="n">
        <x:v>282.94</x:v>
      </x:c>
      <x:c r="F919" s="10" t="n">
        <x:v>0.227</x:v>
      </x:c>
      <x:c r="G919" t="str">
        <x:v>Nutrition</x:v>
      </x:c>
      <x:c r="H919" t="str">
        <x:v>Adult Nutrition</x:v>
      </x:c>
      <x:c r="I919" t="str">
        <x:v>MFG016</x:v>
      </x:c>
      <x:c r="J919" t="str">
        <x:v>Manufacturer 016</x:v>
      </x:c>
      <x:c r="K919" t="str">
        <x:v>SUP013</x:v>
      </x:c>
      <x:c r="L919" t="str">
        <x:v>Supplier 013</x:v>
      </x:c>
      <x:c r="M919" t="str">
        <x:v>REG-615442</x:v>
      </x:c>
      <x:c r="N919" t="str">
        <x:v>Generic Ingredient 122</x:v>
      </x:c>
      <x:c r="O919" t="str">
        <x:v>General Sale</x:v>
      </x:c>
      <x:c r="P919" t="n">
        <x:v>97</x:v>
      </x:c>
      <x:c r="Q919" t="n">
        <x:v>0</x:v>
      </x:c>
      <x:c r="R919" t="n">
        <x:v>56</x:v>
      </x:c>
      <x:c r="S919" s="12" t="n">
        <x:f>E919*Q919</x:f>
        <x:v>0</x:v>
      </x:c>
      <x:c r="T919" s="12" t="n">
        <x:f>ROUND(S919*F919+0.000000001,2)</x:f>
        <x:v>0</x:v>
      </x:c>
      <x:c r="U919" s="12" t="n">
        <x:f>E919*R919</x:f>
        <x:v>15844.64</x:v>
      </x:c>
      <x:c r="V919" t="str">
        <x:f>IF(AND(C919="Active",Q919=0),"Active Zero Sales","Not Zero Sales")</x:f>
        <x:v>Active Zero Sales</x:v>
      </x:c>
      <x:c r="W919" s="12" t="n">
        <x:f>IF(V919="Active Zero Sales",U919,0)</x:f>
        <x:v>15844.64</x:v>
      </x:c>
      <x:c r="X919" t="str">
        <x:f>IF(E919&lt;25,"Low &lt; 25",IF(E919&lt;100,"Medium 25-99",IF(E919&lt;300,"High 100-299","Premium 300+")))</x:f>
        <x:v>High 100-299</x:v>
      </x:c>
      <x:c r="Y919" t="n">
        <x:f>IF(C919="Active",1,0)</x:f>
        <x:v>1</x:v>
      </x:c>
    </x:row>
    <x:row r="920">
      <x:c r="A920" t="str">
        <x:v>SKU00919</x:v>
      </x:c>
      <x:c r="B920" t="str">
        <x:v>Sample Product 00919</x:v>
      </x:c>
      <x:c r="C920" t="str">
        <x:v>Active</x:v>
      </x:c>
      <x:c r="D920" t="str">
        <x:v>2026-05</x:v>
      </x:c>
      <x:c r="E920" s="12" t="n">
        <x:v>22.29</x:v>
      </x:c>
      <x:c r="F920" s="10" t="n">
        <x:v>0.361</x:v>
      </x:c>
      <x:c r="G920" t="str">
        <x:v>Medical Devices</x:v>
      </x:c>
      <x:c r="H920" t="str">
        <x:v>Home Diagnostics</x:v>
      </x:c>
      <x:c r="I920" t="str">
        <x:v>MFG010</x:v>
      </x:c>
      <x:c r="J920" t="str">
        <x:v>Manufacturer 010</x:v>
      </x:c>
      <x:c r="K920" t="str">
        <x:v>SUP003</x:v>
      </x:c>
      <x:c r="L920" t="str">
        <x:v>Supplier 003</x:v>
      </x:c>
      <x:c r="M920" t="str">
        <x:v>REG-708083</x:v>
      </x:c>
      <x:c r="N920" t="str">
        <x:v>Generic Ingredient 086</x:v>
      </x:c>
      <x:c r="O920" t="str">
        <x:v>General Sale</x:v>
      </x:c>
      <x:c r="P920" t="n">
        <x:v>72</x:v>
      </x:c>
      <x:c r="Q920" t="n">
        <x:v>15</x:v>
      </x:c>
      <x:c r="R920" t="n">
        <x:v>22</x:v>
      </x:c>
      <x:c r="S920" s="12" t="n">
        <x:f>E920*Q920</x:f>
        <x:v>334.34999999999997</x:v>
      </x:c>
      <x:c r="T920" s="12" t="n">
        <x:f>ROUND(S920*F920+0.000000001,2)</x:f>
        <x:v>120.7</x:v>
      </x:c>
      <x:c r="U920" s="12" t="n">
        <x:f>E920*R920</x:f>
        <x:v>490.38</x:v>
      </x:c>
      <x:c r="V920" t="str">
        <x:f>IF(AND(C920="Active",Q920=0),"Active Zero Sales","Not Zero Sales")</x:f>
        <x:v>Not Zero Sales</x:v>
      </x:c>
      <x:c r="W920" s="12" t="n">
        <x:f>IF(V920="Active Zero Sales",U920,0)</x:f>
        <x:v>0</x:v>
      </x:c>
      <x:c r="X920" t="str">
        <x:f>IF(E920&lt;25,"Low &lt; 25",IF(E920&lt;100,"Medium 25-99",IF(E920&lt;300,"High 100-299","Premium 300+")))</x:f>
        <x:v>Low &lt; 25</x:v>
      </x:c>
      <x:c r="Y920" t="n">
        <x:f>IF(C920="Active",1,0)</x:f>
        <x:v>1</x:v>
      </x:c>
    </x:row>
    <x:row r="921">
      <x:c r="A921" t="str">
        <x:v>SKU00920</x:v>
      </x:c>
      <x:c r="B921" t="str">
        <x:v>Sample Product 00920</x:v>
      </x:c>
      <x:c r="C921" t="str">
        <x:v>Blocked</x:v>
      </x:c>
      <x:c r="D921" t="str">
        <x:v>2026-05</x:v>
      </x:c>
      <x:c r="E921" s="12" t="n">
        <x:v>4.04</x:v>
      </x:c>
      <x:c r="F921" s="10" t="n">
        <x:v>0.302</x:v>
      </x:c>
      <x:c r="G921" t="str">
        <x:v>Personal Care</x:v>
      </x:c>
      <x:c r="H921" t="str">
        <x:v>Oral Care</x:v>
      </x:c>
      <x:c r="I921" t="str">
        <x:v>MFG014</x:v>
      </x:c>
      <x:c r="J921" t="str">
        <x:v>Manufacturer 014</x:v>
      </x:c>
      <x:c r="K921" t="str">
        <x:v>SUP001</x:v>
      </x:c>
      <x:c r="L921" t="str">
        <x:v>Supplier 001</x:v>
      </x:c>
      <x:c r="M921" t="str">
        <x:v>REG-948265</x:v>
      </x:c>
      <x:c r="N921" t="str">
        <x:v>Generic Ingredient 076</x:v>
      </x:c>
      <x:c r="O921" t="str">
        <x:v>Pharmacy Only</x:v>
      </x:c>
      <x:c r="P921" t="n">
        <x:v>20</x:v>
      </x:c>
      <x:c r="Q921" t="n">
        <x:v>21</x:v>
      </x:c>
      <x:c r="R921" t="n">
        <x:v>5</x:v>
      </x:c>
      <x:c r="S921" s="12" t="n">
        <x:f>E921*Q921</x:f>
        <x:v>84.84</x:v>
      </x:c>
      <x:c r="T921" s="12" t="n">
        <x:f>ROUND(S921*F921+0.000000001,2)</x:f>
        <x:v>25.62</x:v>
      </x:c>
      <x:c r="U921" s="12" t="n">
        <x:f>E921*R921</x:f>
        <x:v>20.2</x:v>
      </x:c>
      <x:c r="V921" t="str">
        <x:f>IF(AND(C921="Active",Q921=0),"Active Zero Sales","Not Zero Sales")</x:f>
        <x:v>Not Zero Sales</x:v>
      </x:c>
      <x:c r="W921" s="12" t="n">
        <x:f>IF(V921="Active Zero Sales",U921,0)</x:f>
        <x:v>0</x:v>
      </x:c>
      <x:c r="X921" t="str">
        <x:f>IF(E921&lt;25,"Low &lt; 25",IF(E921&lt;100,"Medium 25-99",IF(E921&lt;300,"High 100-299","Premium 300+")))</x:f>
        <x:v>Low &lt; 25</x:v>
      </x:c>
      <x:c r="Y921" t="n">
        <x:f>IF(C921="Active",1,0)</x:f>
        <x:v>0</x:v>
      </x:c>
    </x:row>
    <x:row r="922">
      <x:c r="A922" t="str">
        <x:v>SKU00921</x:v>
      </x:c>
      <x:c r="B922" t="str">
        <x:v>Sample Product 00921</x:v>
      </x:c>
      <x:c r="C922" t="str">
        <x:v>Active</x:v>
      </x:c>
      <x:c r="D922" t="str">
        <x:v>2026-05</x:v>
      </x:c>
      <x:c r="E922" s="12" t="n">
        <x:v>23.43</x:v>
      </x:c>
      <x:c r="F922" s="10" t="n">
        <x:v>0.349</x:v>
      </x:c>
      <x:c r="G922" t="str">
        <x:v>General Merchandise</x:v>
      </x:c>
      <x:c r="H922" t="str">
        <x:v>Travel Health</x:v>
      </x:c>
      <x:c r="I922" t="str">
        <x:v>MFG001</x:v>
      </x:c>
      <x:c r="J922" t="str">
        <x:v>Manufacturer 001</x:v>
      </x:c>
      <x:c r="K922" t="str">
        <x:v>SUP019</x:v>
      </x:c>
      <x:c r="L922" t="str">
        <x:v>Supplier 019</x:v>
      </x:c>
      <x:c r="M922" t="str">
        <x:v>REG-380223</x:v>
      </x:c>
      <x:c r="N922" t="str">
        <x:v>Generic Ingredient 121</x:v>
      </x:c>
      <x:c r="O922" t="str">
        <x:v>Pharmacy Only</x:v>
      </x:c>
      <x:c r="P922" t="n">
        <x:v>71</x:v>
      </x:c>
      <x:c r="Q922" t="n">
        <x:v>35</x:v>
      </x:c>
      <x:c r="R922" t="n">
        <x:v>37</x:v>
      </x:c>
      <x:c r="S922" s="12" t="n">
        <x:f>E922*Q922</x:f>
        <x:v>820.05</x:v>
      </x:c>
      <x:c r="T922" s="12" t="n">
        <x:f>ROUND(S922*F922+0.000000001,2)</x:f>
        <x:v>286.2</x:v>
      </x:c>
      <x:c r="U922" s="12" t="n">
        <x:f>E922*R922</x:f>
        <x:v>866.91</x:v>
      </x:c>
      <x:c r="V922" t="str">
        <x:f>IF(AND(C922="Active",Q922=0),"Active Zero Sales","Not Zero Sales")</x:f>
        <x:v>Not Zero Sales</x:v>
      </x:c>
      <x:c r="W922" s="12" t="n">
        <x:f>IF(V922="Active Zero Sales",U922,0)</x:f>
        <x:v>0</x:v>
      </x:c>
      <x:c r="X922" t="str">
        <x:f>IF(E922&lt;25,"Low &lt; 25",IF(E922&lt;100,"Medium 25-99",IF(E922&lt;300,"High 100-299","Premium 300+")))</x:f>
        <x:v>Low &lt; 25</x:v>
      </x:c>
      <x:c r="Y922" t="n">
        <x:f>IF(C922="Active",1,0)</x:f>
        <x:v>1</x:v>
      </x:c>
    </x:row>
    <x:row r="923">
      <x:c r="A923" t="str">
        <x:v>SKU00922</x:v>
      </x:c>
      <x:c r="B923" t="str">
        <x:v>Sample Product 00922</x:v>
      </x:c>
      <x:c r="C923" t="str">
        <x:v>Active</x:v>
      </x:c>
      <x:c r="D923" t="str">
        <x:v>2026-04</x:v>
      </x:c>
      <x:c r="E923" s="12" t="n">
        <x:v>29.73</x:v>
      </x:c>
      <x:c r="F923" s="10" t="n">
        <x:v>0.236</x:v>
      </x:c>
      <x:c r="G923" t="str">
        <x:v>General Merchandise</x:v>
      </x:c>
      <x:c r="H923" t="str">
        <x:v>Seasonal Care</x:v>
      </x:c>
      <x:c r="I923" t="str">
        <x:v>MFG019</x:v>
      </x:c>
      <x:c r="J923" t="str">
        <x:v>Manufacturer 019</x:v>
      </x:c>
      <x:c r="K923" t="str">
        <x:v>SUP014</x:v>
      </x:c>
      <x:c r="L923" t="str">
        <x:v>Supplier 014</x:v>
      </x:c>
      <x:c r="M923" t="str">
        <x:v>REG-977866</x:v>
      </x:c>
      <x:c r="N923" t="str">
        <x:v>Generic Ingredient 034</x:v>
      </x:c>
      <x:c r="O923" t="str">
        <x:v>General Sale</x:v>
      </x:c>
      <x:c r="P923" t="n">
        <x:v>26</x:v>
      </x:c>
      <x:c r="Q923" t="n">
        <x:v>29</x:v>
      </x:c>
      <x:c r="R923" t="n">
        <x:v>4</x:v>
      </x:c>
      <x:c r="S923" s="12" t="n">
        <x:f>E923*Q923</x:f>
        <x:v>862.17</x:v>
      </x:c>
      <x:c r="T923" s="12" t="n">
        <x:f>ROUND(S923*F923+0.000000001,2)</x:f>
        <x:v>203.47</x:v>
      </x:c>
      <x:c r="U923" s="12" t="n">
        <x:f>E923*R923</x:f>
        <x:v>118.92</x:v>
      </x:c>
      <x:c r="V923" t="str">
        <x:f>IF(AND(C923="Active",Q923=0),"Active Zero Sales","Not Zero Sales")</x:f>
        <x:v>Not Zero Sales</x:v>
      </x:c>
      <x:c r="W923" s="12" t="n">
        <x:f>IF(V923="Active Zero Sales",U923,0)</x:f>
        <x:v>0</x:v>
      </x:c>
      <x:c r="X923" t="str">
        <x:f>IF(E923&lt;25,"Low &lt; 25",IF(E923&lt;100,"Medium 25-99",IF(E923&lt;300,"High 100-299","Premium 300+")))</x:f>
        <x:v>Medium 25-99</x:v>
      </x:c>
      <x:c r="Y923" t="n">
        <x:f>IF(C923="Active",1,0)</x:f>
        <x:v>1</x:v>
      </x:c>
    </x:row>
    <x:row r="924">
      <x:c r="A924" t="str">
        <x:v>SKU00923</x:v>
      </x:c>
      <x:c r="B924" t="str">
        <x:v>Sample Product 00923</x:v>
      </x:c>
      <x:c r="C924" t="str">
        <x:v>Active</x:v>
      </x:c>
      <x:c r="D924" t="str">
        <x:v>2026-01</x:v>
      </x:c>
      <x:c r="E924" s="12" t="n">
        <x:v>46.17</x:v>
      </x:c>
      <x:c r="F924" s="10" t="n">
        <x:v>0.338</x:v>
      </x:c>
      <x:c r="G924" t="str">
        <x:v>OTC &amp; Wellness</x:v>
      </x:c>
      <x:c r="H924" t="str">
        <x:v>Cold &amp; Allergy</x:v>
      </x:c>
      <x:c r="I924" t="str">
        <x:v>MFG005</x:v>
      </x:c>
      <x:c r="J924" t="str">
        <x:v>Manufacturer 005</x:v>
      </x:c>
      <x:c r="K924" t="str">
        <x:v>SUP008</x:v>
      </x:c>
      <x:c r="L924" t="str">
        <x:v>Supplier 008</x:v>
      </x:c>
      <x:c r="M924" t="str">
        <x:v>REG-524317</x:v>
      </x:c>
      <x:c r="N924" t="str">
        <x:v>Generic Ingredient 147</x:v>
      </x:c>
      <x:c r="O924" t="str">
        <x:v>General Sale</x:v>
      </x:c>
      <x:c r="P924" t="n">
        <x:v>84</x:v>
      </x:c>
      <x:c r="Q924" t="n">
        <x:v>39</x:v>
      </x:c>
      <x:c r="R924" t="n">
        <x:v>10</x:v>
      </x:c>
      <x:c r="S924" s="12" t="n">
        <x:f>E924*Q924</x:f>
        <x:v>1800.63</x:v>
      </x:c>
      <x:c r="T924" s="12" t="n">
        <x:f>ROUND(S924*F924+0.000000001,2)</x:f>
        <x:v>608.61</x:v>
      </x:c>
      <x:c r="U924" s="12" t="n">
        <x:f>E924*R924</x:f>
        <x:v>461.70000000000005</x:v>
      </x:c>
      <x:c r="V924" t="str">
        <x:f>IF(AND(C924="Active",Q924=0),"Active Zero Sales","Not Zero Sales")</x:f>
        <x:v>Not Zero Sales</x:v>
      </x:c>
      <x:c r="W924" s="12" t="n">
        <x:f>IF(V924="Active Zero Sales",U924,0)</x:f>
        <x:v>0</x:v>
      </x:c>
      <x:c r="X924" t="str">
        <x:f>IF(E924&lt;25,"Low &lt; 25",IF(E924&lt;100,"Medium 25-99",IF(E924&lt;300,"High 100-299","Premium 300+")))</x:f>
        <x:v>Medium 25-99</x:v>
      </x:c>
      <x:c r="Y924" t="n">
        <x:f>IF(C924="Active",1,0)</x:f>
        <x:v>1</x:v>
      </x:c>
    </x:row>
    <x:row r="925">
      <x:c r="A925" t="str">
        <x:v>SKU00924</x:v>
      </x:c>
      <x:c r="B925" t="str">
        <x:v>Sample Product 00924</x:v>
      </x:c>
      <x:c r="C925" t="str">
        <x:v>Active</x:v>
      </x:c>
      <x:c r="D925" t="str">
        <x:v>2026-01</x:v>
      </x:c>
      <x:c r="E925" s="12" t="n">
        <x:v>50.18</x:v>
      </x:c>
      <x:c r="F925" s="10" t="n">
        <x:v>0.393</x:v>
      </x:c>
      <x:c r="G925" t="str">
        <x:v>General Merchandise</x:v>
      </x:c>
      <x:c r="H925" t="str">
        <x:v>Travel Health</x:v>
      </x:c>
      <x:c r="I925" t="str">
        <x:v>MFG020</x:v>
      </x:c>
      <x:c r="J925" t="str">
        <x:v>Manufacturer 020</x:v>
      </x:c>
      <x:c r="K925" t="str">
        <x:v>SUP019</x:v>
      </x:c>
      <x:c r="L925" t="str">
        <x:v>Supplier 019</x:v>
      </x:c>
      <x:c r="M925" t="str">
        <x:v>REG-518953</x:v>
      </x:c>
      <x:c r="N925" t="str">
        <x:v>Generic Ingredient 159</x:v>
      </x:c>
      <x:c r="O925" t="str">
        <x:v>Pharmacy Only</x:v>
      </x:c>
      <x:c r="P925" t="n">
        <x:v>46</x:v>
      </x:c>
      <x:c r="Q925" t="n">
        <x:v>23</x:v>
      </x:c>
      <x:c r="R925" t="n">
        <x:v>15</x:v>
      </x:c>
      <x:c r="S925" s="12" t="n">
        <x:f>E925*Q925</x:f>
        <x:v>1154.14</x:v>
      </x:c>
      <x:c r="T925" s="12" t="n">
        <x:f>ROUND(S925*F925+0.000000001,2)</x:f>
        <x:v>453.58</x:v>
      </x:c>
      <x:c r="U925" s="12" t="n">
        <x:f>E925*R925</x:f>
        <x:v>752.7</x:v>
      </x:c>
      <x:c r="V925" t="str">
        <x:f>IF(AND(C925="Active",Q925=0),"Active Zero Sales","Not Zero Sales")</x:f>
        <x:v>Not Zero Sales</x:v>
      </x:c>
      <x:c r="W925" s="12" t="n">
        <x:f>IF(V925="Active Zero Sales",U925,0)</x:f>
        <x:v>0</x:v>
      </x:c>
      <x:c r="X925" t="str">
        <x:f>IF(E925&lt;25,"Low &lt; 25",IF(E925&lt;100,"Medium 25-99",IF(E925&lt;300,"High 100-299","Premium 300+")))</x:f>
        <x:v>Medium 25-99</x:v>
      </x:c>
      <x:c r="Y925" t="n">
        <x:f>IF(C925="Active",1,0)</x:f>
        <x:v>1</x:v>
      </x:c>
    </x:row>
    <x:row r="926">
      <x:c r="A926" t="str">
        <x:v>SKU00925</x:v>
      </x:c>
      <x:c r="B926" t="str">
        <x:v>Sample Product 00925</x:v>
      </x:c>
      <x:c r="C926" t="str">
        <x:v>Active</x:v>
      </x:c>
      <x:c r="D926" t="str">
        <x:v>2026-03</x:v>
      </x:c>
      <x:c r="E926" s="12" t="n">
        <x:v>170.69</x:v>
      </x:c>
      <x:c r="F926" s="10" t="n">
        <x:v>0.366</x:v>
      </x:c>
      <x:c r="G926" t="str">
        <x:v>Nutrition</x:v>
      </x:c>
      <x:c r="H926" t="str">
        <x:v>Healthy Snacks</x:v>
      </x:c>
      <x:c r="I926" t="str">
        <x:v>MFG015</x:v>
      </x:c>
      <x:c r="J926" t="str">
        <x:v>Manufacturer 015</x:v>
      </x:c>
      <x:c r="K926" t="str">
        <x:v>SUP029</x:v>
      </x:c>
      <x:c r="L926" t="str">
        <x:v>Supplier 029</x:v>
      </x:c>
      <x:c r="M926" t="str">
        <x:v>REG-338566</x:v>
      </x:c>
      <x:c r="N926" t="str">
        <x:v>Generic Ingredient 042</x:v>
      </x:c>
      <x:c r="O926" t="str">
        <x:v>General Sale</x:v>
      </x:c>
      <x:c r="P926" t="n">
        <x:v>27</x:v>
      </x:c>
      <x:c r="Q926" t="n">
        <x:v>14</x:v>
      </x:c>
      <x:c r="R926" t="n">
        <x:v>11</x:v>
      </x:c>
      <x:c r="S926" s="12" t="n">
        <x:f>E926*Q926</x:f>
        <x:v>2389.66</x:v>
      </x:c>
      <x:c r="T926" s="12" t="n">
        <x:f>ROUND(S926*F926+0.000000001,2)</x:f>
        <x:v>874.62</x:v>
      </x:c>
      <x:c r="U926" s="12" t="n">
        <x:f>E926*R926</x:f>
        <x:v>1877.59</x:v>
      </x:c>
      <x:c r="V926" t="str">
        <x:f>IF(AND(C926="Active",Q926=0),"Active Zero Sales","Not Zero Sales")</x:f>
        <x:v>Not Zero Sales</x:v>
      </x:c>
      <x:c r="W926" s="12" t="n">
        <x:f>IF(V926="Active Zero Sales",U926,0)</x:f>
        <x:v>0</x:v>
      </x:c>
      <x:c r="X926" t="str">
        <x:f>IF(E926&lt;25,"Low &lt; 25",IF(E926&lt;100,"Medium 25-99",IF(E926&lt;300,"High 100-299","Premium 300+")))</x:f>
        <x:v>High 100-299</x:v>
      </x:c>
      <x:c r="Y926" t="n">
        <x:f>IF(C926="Active",1,0)</x:f>
        <x:v>1</x:v>
      </x:c>
    </x:row>
    <x:row r="927">
      <x:c r="A927" t="str">
        <x:v>SKU00926</x:v>
      </x:c>
      <x:c r="B927" t="str">
        <x:v>Sample Product 00926</x:v>
      </x:c>
      <x:c r="C927" t="str">
        <x:v>Active</x:v>
      </x:c>
      <x:c r="D927" t="str">
        <x:v>2026-04</x:v>
      </x:c>
      <x:c r="E927" s="12" t="n">
        <x:v>646.09</x:v>
      </x:c>
      <x:c r="F927" s="10" t="n">
        <x:v>0.432</x:v>
      </x:c>
      <x:c r="G927" t="str">
        <x:v>General Merchandise</x:v>
      </x:c>
      <x:c r="H927" t="str">
        <x:v>Accessories</x:v>
      </x:c>
      <x:c r="I927" t="str">
        <x:v>MFG016</x:v>
      </x:c>
      <x:c r="J927" t="str">
        <x:v>Manufacturer 016</x:v>
      </x:c>
      <x:c r="K927" t="str">
        <x:v>SUP025</x:v>
      </x:c>
      <x:c r="L927" t="str">
        <x:v>Supplier 025</x:v>
      </x:c>
      <x:c r="M927" t="str">
        <x:v>REG-150952</x:v>
      </x:c>
      <x:c r="N927" t="str">
        <x:v>Generic Ingredient 083</x:v>
      </x:c>
      <x:c r="O927" t="str">
        <x:v>General Sale</x:v>
      </x:c>
      <x:c r="P927" t="n">
        <x:v>47</x:v>
      </x:c>
      <x:c r="Q927" t="n">
        <x:v>32</x:v>
      </x:c>
      <x:c r="R927" t="n">
        <x:v>1</x:v>
      </x:c>
      <x:c r="S927" s="12" t="n">
        <x:f>E927*Q927</x:f>
        <x:v>20674.88</x:v>
      </x:c>
      <x:c r="T927" s="12" t="n">
        <x:f>ROUND(S927*F927+0.000000001,2)</x:f>
        <x:v>8931.55</x:v>
      </x:c>
      <x:c r="U927" s="12" t="n">
        <x:f>E927*R927</x:f>
        <x:v>646.09</x:v>
      </x:c>
      <x:c r="V927" t="str">
        <x:f>IF(AND(C927="Active",Q927=0),"Active Zero Sales","Not Zero Sales")</x:f>
        <x:v>Not Zero Sales</x:v>
      </x:c>
      <x:c r="W927" s="12" t="n">
        <x:f>IF(V927="Active Zero Sales",U927,0)</x:f>
        <x:v>0</x:v>
      </x:c>
      <x:c r="X927" t="str">
        <x:f>IF(E927&lt;25,"Low &lt; 25",IF(E927&lt;100,"Medium 25-99",IF(E927&lt;300,"High 100-299","Premium 300+")))</x:f>
        <x:v>Premium 300+</x:v>
      </x:c>
      <x:c r="Y927" t="n">
        <x:f>IF(C927="Active",1,0)</x:f>
        <x:v>1</x:v>
      </x:c>
    </x:row>
    <x:row r="928">
      <x:c r="A928" t="str">
        <x:v>SKU00927</x:v>
      </x:c>
      <x:c r="B928" t="str">
        <x:v>Sample Product 00927</x:v>
      </x:c>
      <x:c r="C928" t="str">
        <x:v>Active</x:v>
      </x:c>
      <x:c r="D928" t="str">
        <x:v>2026-04</x:v>
      </x:c>
      <x:c r="E928" s="12" t="n">
        <x:v>24.35</x:v>
      </x:c>
      <x:c r="F928" s="10" t="n">
        <x:v>0.266</x:v>
      </x:c>
      <x:c r="G928" t="str">
        <x:v>Nutrition</x:v>
      </x:c>
      <x:c r="H928" t="str">
        <x:v>Sports Nutrition</x:v>
      </x:c>
      <x:c r="I928" t="str">
        <x:v>MFG002</x:v>
      </x:c>
      <x:c r="J928" t="str">
        <x:v>Manufacturer 002</x:v>
      </x:c>
      <x:c r="K928" t="str">
        <x:v>SUP006</x:v>
      </x:c>
      <x:c r="L928" t="str">
        <x:v>Supplier 006</x:v>
      </x:c>
      <x:c r="M928" t="str">
        <x:v>REG-646901</x:v>
      </x:c>
      <x:c r="N928" t="str">
        <x:v>Generic Ingredient 058</x:v>
      </x:c>
      <x:c r="O928" t="str">
        <x:v>General Sale</x:v>
      </x:c>
      <x:c r="P928" t="n">
        <x:v>36</x:v>
      </x:c>
      <x:c r="Q928" t="n">
        <x:v>21</x:v>
      </x:c>
      <x:c r="R928" t="n">
        <x:v>22</x:v>
      </x:c>
      <x:c r="S928" s="12" t="n">
        <x:f>E928*Q928</x:f>
        <x:v>511.35</x:v>
      </x:c>
      <x:c r="T928" s="12" t="n">
        <x:f>ROUND(S928*F928+0.000000001,2)</x:f>
        <x:v>136.02</x:v>
      </x:c>
      <x:c r="U928" s="12" t="n">
        <x:f>E928*R928</x:f>
        <x:v>535.7</x:v>
      </x:c>
      <x:c r="V928" t="str">
        <x:f>IF(AND(C928="Active",Q928=0),"Active Zero Sales","Not Zero Sales")</x:f>
        <x:v>Not Zero Sales</x:v>
      </x:c>
      <x:c r="W928" s="12" t="n">
        <x:f>IF(V928="Active Zero Sales",U928,0)</x:f>
        <x:v>0</x:v>
      </x:c>
      <x:c r="X928" t="str">
        <x:f>IF(E928&lt;25,"Low &lt; 25",IF(E928&lt;100,"Medium 25-99",IF(E928&lt;300,"High 100-299","Premium 300+")))</x:f>
        <x:v>Low &lt; 25</x:v>
      </x:c>
      <x:c r="Y928" t="n">
        <x:f>IF(C928="Active",1,0)</x:f>
        <x:v>1</x:v>
      </x:c>
    </x:row>
    <x:row r="929">
      <x:c r="A929" t="str">
        <x:v>SKU00928</x:v>
      </x:c>
      <x:c r="B929" t="str">
        <x:v>Sample Product 00928</x:v>
      </x:c>
      <x:c r="C929" t="str">
        <x:v>Active</x:v>
      </x:c>
      <x:c r="D929" t="str">
        <x:v>2026-06</x:v>
      </x:c>
      <x:c r="E929" s="12" t="n">
        <x:v>93.36</x:v>
      </x:c>
      <x:c r="F929" s="10" t="n">
        <x:v>0.346</x:v>
      </x:c>
      <x:c r="G929" t="str">
        <x:v>Personal Care</x:v>
      </x:c>
      <x:c r="H929" t="str">
        <x:v>Hygiene</x:v>
      </x:c>
      <x:c r="I929" t="str">
        <x:v>MFG018</x:v>
      </x:c>
      <x:c r="J929" t="str">
        <x:v>Manufacturer 018</x:v>
      </x:c>
      <x:c r="K929" t="str">
        <x:v>SUP011</x:v>
      </x:c>
      <x:c r="L929" t="str">
        <x:v>Supplier 011</x:v>
      </x:c>
      <x:c r="M929" t="str">
        <x:v>REG-621582</x:v>
      </x:c>
      <x:c r="N929" t="str">
        <x:v>Generic Ingredient 176</x:v>
      </x:c>
      <x:c r="O929" t="str">
        <x:v>General Sale</x:v>
      </x:c>
      <x:c r="P929" t="n">
        <x:v>60</x:v>
      </x:c>
      <x:c r="Q929" t="n">
        <x:v>47</x:v>
      </x:c>
      <x:c r="R929" t="n">
        <x:v>20</x:v>
      </x:c>
      <x:c r="S929" s="12" t="n">
        <x:f>E929*Q929</x:f>
        <x:v>4387.92</x:v>
      </x:c>
      <x:c r="T929" s="12" t="n">
        <x:f>ROUND(S929*F929+0.000000001,2)</x:f>
        <x:v>1518.22</x:v>
      </x:c>
      <x:c r="U929" s="12" t="n">
        <x:f>E929*R929</x:f>
        <x:v>1867.2</x:v>
      </x:c>
      <x:c r="V929" t="str">
        <x:f>IF(AND(C929="Active",Q929=0),"Active Zero Sales","Not Zero Sales")</x:f>
        <x:v>Not Zero Sales</x:v>
      </x:c>
      <x:c r="W929" s="12" t="n">
        <x:f>IF(V929="Active Zero Sales",U929,0)</x:f>
        <x:v>0</x:v>
      </x:c>
      <x:c r="X929" t="str">
        <x:f>IF(E929&lt;25,"Low &lt; 25",IF(E929&lt;100,"Medium 25-99",IF(E929&lt;300,"High 100-299","Premium 300+")))</x:f>
        <x:v>Medium 25-99</x:v>
      </x:c>
      <x:c r="Y929" t="n">
        <x:f>IF(C929="Active",1,0)</x:f>
        <x:v>1</x:v>
      </x:c>
    </x:row>
    <x:row r="930">
      <x:c r="A930" t="str">
        <x:v>SKU00929</x:v>
      </x:c>
      <x:c r="B930" t="str">
        <x:v>Sample Product 00929</x:v>
      </x:c>
      <x:c r="C930" t="str">
        <x:v>Active</x:v>
      </x:c>
      <x:c r="D930" t="str">
        <x:v>2026-06</x:v>
      </x:c>
      <x:c r="E930" s="12" t="n">
        <x:v>264.83</x:v>
      </x:c>
      <x:c r="F930" s="10" t="n">
        <x:v>0.417</x:v>
      </x:c>
      <x:c r="G930" t="str">
        <x:v>General Merchandise</x:v>
      </x:c>
      <x:c r="H930" t="str">
        <x:v>Travel Health</x:v>
      </x:c>
      <x:c r="I930" t="str">
        <x:v>MFG003</x:v>
      </x:c>
      <x:c r="J930" t="str">
        <x:v>Manufacturer 003</x:v>
      </x:c>
      <x:c r="K930" t="str">
        <x:v>SUP019</x:v>
      </x:c>
      <x:c r="L930" t="str">
        <x:v>Supplier 019</x:v>
      </x:c>
      <x:c r="M930" t="str">
        <x:v>REG-333733</x:v>
      </x:c>
      <x:c r="N930" t="str">
        <x:v>Generic Ingredient 054</x:v>
      </x:c>
      <x:c r="O930" t="str">
        <x:v>General Sale</x:v>
      </x:c>
      <x:c r="P930" t="n">
        <x:v>173</x:v>
      </x:c>
      <x:c r="Q930" t="n">
        <x:v>92</x:v>
      </x:c>
      <x:c r="R930" t="n">
        <x:v>35</x:v>
      </x:c>
      <x:c r="S930" s="12" t="n">
        <x:f>E930*Q930</x:f>
        <x:v>24364.359999999997</x:v>
      </x:c>
      <x:c r="T930" s="12" t="n">
        <x:f>ROUND(S930*F930+0.000000001,2)</x:f>
        <x:v>10159.94</x:v>
      </x:c>
      <x:c r="U930" s="12" t="n">
        <x:f>E930*R930</x:f>
        <x:v>9269.05</x:v>
      </x:c>
      <x:c r="V930" t="str">
        <x:f>IF(AND(C930="Active",Q930=0),"Active Zero Sales","Not Zero Sales")</x:f>
        <x:v>Not Zero Sales</x:v>
      </x:c>
      <x:c r="W930" s="12" t="n">
        <x:f>IF(V930="Active Zero Sales",U930,0)</x:f>
        <x:v>0</x:v>
      </x:c>
      <x:c r="X930" t="str">
        <x:f>IF(E930&lt;25,"Low &lt; 25",IF(E930&lt;100,"Medium 25-99",IF(E930&lt;300,"High 100-299","Premium 300+")))</x:f>
        <x:v>High 100-299</x:v>
      </x:c>
      <x:c r="Y930" t="n">
        <x:f>IF(C930="Active",1,0)</x:f>
        <x:v>1</x:v>
      </x:c>
    </x:row>
    <x:row r="931">
      <x:c r="A931" t="str">
        <x:v>SKU00930</x:v>
      </x:c>
      <x:c r="B931" t="str">
        <x:v>Sample Product 00930</x:v>
      </x:c>
      <x:c r="C931" t="str">
        <x:v>Active</x:v>
      </x:c>
      <x:c r="D931" t="str">
        <x:v>2026-03</x:v>
      </x:c>
      <x:c r="E931" s="12" t="n">
        <x:v>94.97</x:v>
      </x:c>
      <x:c r="F931" s="10" t="n">
        <x:v>0.314</x:v>
      </x:c>
      <x:c r="G931" t="str">
        <x:v>Nutrition</x:v>
      </x:c>
      <x:c r="H931" t="str">
        <x:v>Adult Nutrition</x:v>
      </x:c>
      <x:c r="I931" t="str">
        <x:v>MFG005</x:v>
      </x:c>
      <x:c r="J931" t="str">
        <x:v>Manufacturer 005</x:v>
      </x:c>
      <x:c r="K931" t="str">
        <x:v>SUP011</x:v>
      </x:c>
      <x:c r="L931" t="str">
        <x:v>Supplier 011</x:v>
      </x:c>
      <x:c r="M931" t="str">
        <x:v>REG-923618</x:v>
      </x:c>
      <x:c r="N931" t="str">
        <x:v>Generic Ingredient 164</x:v>
      </x:c>
      <x:c r="O931" t="str">
        <x:v>Pharmacy Only</x:v>
      </x:c>
      <x:c r="P931" t="n">
        <x:v>72</x:v>
      </x:c>
      <x:c r="Q931" t="n">
        <x:v>24</x:v>
      </x:c>
      <x:c r="R931" t="n">
        <x:v>12</x:v>
      </x:c>
      <x:c r="S931" s="12" t="n">
        <x:f>E931*Q931</x:f>
        <x:v>2279.2799999999997</x:v>
      </x:c>
      <x:c r="T931" s="12" t="n">
        <x:f>ROUND(S931*F931+0.000000001,2)</x:f>
        <x:v>715.69</x:v>
      </x:c>
      <x:c r="U931" s="12" t="n">
        <x:f>E931*R931</x:f>
        <x:v>1139.6399999999999</x:v>
      </x:c>
      <x:c r="V931" t="str">
        <x:f>IF(AND(C931="Active",Q931=0),"Active Zero Sales","Not Zero Sales")</x:f>
        <x:v>Not Zero Sales</x:v>
      </x:c>
      <x:c r="W931" s="12" t="n">
        <x:f>IF(V931="Active Zero Sales",U931,0)</x:f>
        <x:v>0</x:v>
      </x:c>
      <x:c r="X931" t="str">
        <x:f>IF(E931&lt;25,"Low &lt; 25",IF(E931&lt;100,"Medium 25-99",IF(E931&lt;300,"High 100-299","Premium 300+")))</x:f>
        <x:v>Medium 25-99</x:v>
      </x:c>
      <x:c r="Y931" t="n">
        <x:f>IF(C931="Active",1,0)</x:f>
        <x:v>1</x:v>
      </x:c>
    </x:row>
    <x:row r="932">
      <x:c r="A932" t="str">
        <x:v>SKU00931</x:v>
      </x:c>
      <x:c r="B932" t="str">
        <x:v>Sample Product 00931</x:v>
      </x:c>
      <x:c r="C932" t="str">
        <x:v>Active</x:v>
      </x:c>
      <x:c r="D932" t="str">
        <x:v>2026-04</x:v>
      </x:c>
      <x:c r="E932" s="12" t="n">
        <x:v>8.33</x:v>
      </x:c>
      <x:c r="F932" s="10" t="n">
        <x:v>0.177</x:v>
      </x:c>
      <x:c r="G932" t="str">
        <x:v>Medical Devices</x:v>
      </x:c>
      <x:c r="H932" t="str">
        <x:v>Monitoring Supplies</x:v>
      </x:c>
      <x:c r="I932" t="str">
        <x:v>MFG010</x:v>
      </x:c>
      <x:c r="J932" t="str">
        <x:v>Manufacturer 010</x:v>
      </x:c>
      <x:c r="K932" t="str">
        <x:v>SUP024</x:v>
      </x:c>
      <x:c r="L932" t="str">
        <x:v>Supplier 024</x:v>
      </x:c>
      <x:c r="M932" t="str">
        <x:v>REG-880100</x:v>
      </x:c>
      <x:c r="N932" t="str">
        <x:v>Generic Ingredient 028</x:v>
      </x:c>
      <x:c r="O932" t="str">
        <x:v>General Sale</x:v>
      </x:c>
      <x:c r="P932" t="n">
        <x:v>24</x:v>
      </x:c>
      <x:c r="Q932" t="n">
        <x:v>21</x:v>
      </x:c>
      <x:c r="R932" t="n">
        <x:v>0</x:v>
      </x:c>
      <x:c r="S932" s="12" t="n">
        <x:f>E932*Q932</x:f>
        <x:v>174.93</x:v>
      </x:c>
      <x:c r="T932" s="12" t="n">
        <x:f>ROUND(S932*F932+0.000000001,2)</x:f>
        <x:v>30.96</x:v>
      </x:c>
      <x:c r="U932" s="12" t="n">
        <x:f>E932*R932</x:f>
        <x:v>0</x:v>
      </x:c>
      <x:c r="V932" t="str">
        <x:f>IF(AND(C932="Active",Q932=0),"Active Zero Sales","Not Zero Sales")</x:f>
        <x:v>Not Zero Sales</x:v>
      </x:c>
      <x:c r="W932" s="12" t="n">
        <x:f>IF(V932="Active Zero Sales",U932,0)</x:f>
        <x:v>0</x:v>
      </x:c>
      <x:c r="X932" t="str">
        <x:f>IF(E932&lt;25,"Low &lt; 25",IF(E932&lt;100,"Medium 25-99",IF(E932&lt;300,"High 100-299","Premium 300+")))</x:f>
        <x:v>Low &lt; 25</x:v>
      </x:c>
      <x:c r="Y932" t="n">
        <x:f>IF(C932="Active",1,0)</x:f>
        <x:v>1</x:v>
      </x:c>
    </x:row>
    <x:row r="933">
      <x:c r="A933" t="str">
        <x:v>SKU00932</x:v>
      </x:c>
      <x:c r="B933" t="str">
        <x:v>Sample Product 00932</x:v>
      </x:c>
      <x:c r="C933" t="str">
        <x:v>Active</x:v>
      </x:c>
      <x:c r="D933" t="str">
        <x:v>2026-04</x:v>
      </x:c>
      <x:c r="E933" s="12" t="n">
        <x:v>161.57</x:v>
      </x:c>
      <x:c r="F933" s="10" t="n">
        <x:v>0.349</x:v>
      </x:c>
      <x:c r="G933" t="str">
        <x:v>General Merchandise</x:v>
      </x:c>
      <x:c r="H933" t="str">
        <x:v>Baby Essentials</x:v>
      </x:c>
      <x:c r="I933" t="str">
        <x:v>MFG003</x:v>
      </x:c>
      <x:c r="J933" t="str">
        <x:v>Manufacturer 003</x:v>
      </x:c>
      <x:c r="K933" t="str">
        <x:v>SUP022</x:v>
      </x:c>
      <x:c r="L933" t="str">
        <x:v>Supplier 022</x:v>
      </x:c>
      <x:c r="M933" t="str">
        <x:v>REG-439529</x:v>
      </x:c>
      <x:c r="N933" t="str">
        <x:v>Generic Ingredient 003</x:v>
      </x:c>
      <x:c r="O933" t="str">
        <x:v>Pharmacy Only</x:v>
      </x:c>
      <x:c r="P933" t="n">
        <x:v>37</x:v>
      </x:c>
      <x:c r="Q933" t="n">
        <x:v>30</x:v>
      </x:c>
      <x:c r="R933" t="n">
        <x:v>4</x:v>
      </x:c>
      <x:c r="S933" s="12" t="n">
        <x:f>E933*Q933</x:f>
        <x:v>4847.099999999999</x:v>
      </x:c>
      <x:c r="T933" s="12" t="n">
        <x:f>ROUND(S933*F933+0.000000001,2)</x:f>
        <x:v>1691.64</x:v>
      </x:c>
      <x:c r="U933" s="12" t="n">
        <x:f>E933*R933</x:f>
        <x:v>646.28</x:v>
      </x:c>
      <x:c r="V933" t="str">
        <x:f>IF(AND(C933="Active",Q933=0),"Active Zero Sales","Not Zero Sales")</x:f>
        <x:v>Not Zero Sales</x:v>
      </x:c>
      <x:c r="W933" s="12" t="n">
        <x:f>IF(V933="Active Zero Sales",U933,0)</x:f>
        <x:v>0</x:v>
      </x:c>
      <x:c r="X933" t="str">
        <x:f>IF(E933&lt;25,"Low &lt; 25",IF(E933&lt;100,"Medium 25-99",IF(E933&lt;300,"High 100-299","Premium 300+")))</x:f>
        <x:v>High 100-299</x:v>
      </x:c>
      <x:c r="Y933" t="n">
        <x:f>IF(C933="Active",1,0)</x:f>
        <x:v>1</x:v>
      </x:c>
    </x:row>
    <x:row r="934">
      <x:c r="A934" t="str">
        <x:v>SKU00933</x:v>
      </x:c>
      <x:c r="B934" t="str">
        <x:v>Sample Product 00933</x:v>
      </x:c>
      <x:c r="C934" t="str">
        <x:v>Active</x:v>
      </x:c>
      <x:c r="D934" t="str">
        <x:v>2026-01</x:v>
      </x:c>
      <x:c r="E934" s="12" t="n">
        <x:v>52.7</x:v>
      </x:c>
      <x:c r="F934" s="10" t="n">
        <x:v>0.194</x:v>
      </x:c>
      <x:c r="G934" t="str">
        <x:v>Medical Devices</x:v>
      </x:c>
      <x:c r="H934" t="str">
        <x:v>First Aid</x:v>
      </x:c>
      <x:c r="I934" t="str">
        <x:v>MFG009</x:v>
      </x:c>
      <x:c r="J934" t="str">
        <x:v>Manufacturer 009</x:v>
      </x:c>
      <x:c r="K934" t="str">
        <x:v>SUP022</x:v>
      </x:c>
      <x:c r="L934" t="str">
        <x:v>Supplier 022</x:v>
      </x:c>
      <x:c r="M934" t="str">
        <x:v>REG-735745</x:v>
      </x:c>
      <x:c r="N934" t="str">
        <x:v>Generic Ingredient 177</x:v>
      </x:c>
      <x:c r="O934" t="str">
        <x:v>Pharmacy Only</x:v>
      </x:c>
      <x:c r="P934" t="n">
        <x:v>58</x:v>
      </x:c>
      <x:c r="Q934" t="n">
        <x:v>40</x:v>
      </x:c>
      <x:c r="R934" t="n">
        <x:v>5</x:v>
      </x:c>
      <x:c r="S934" s="12" t="n">
        <x:f>E934*Q934</x:f>
        <x:v>2108</x:v>
      </x:c>
      <x:c r="T934" s="12" t="n">
        <x:f>ROUND(S934*F934+0.000000001,2)</x:f>
        <x:v>408.95</x:v>
      </x:c>
      <x:c r="U934" s="12" t="n">
        <x:f>E934*R934</x:f>
        <x:v>263.5</x:v>
      </x:c>
      <x:c r="V934" t="str">
        <x:f>IF(AND(C934="Active",Q934=0),"Active Zero Sales","Not Zero Sales")</x:f>
        <x:v>Not Zero Sales</x:v>
      </x:c>
      <x:c r="W934" s="12" t="n">
        <x:f>IF(V934="Active Zero Sales",U934,0)</x:f>
        <x:v>0</x:v>
      </x:c>
      <x:c r="X934" t="str">
        <x:f>IF(E934&lt;25,"Low &lt; 25",IF(E934&lt;100,"Medium 25-99",IF(E934&lt;300,"High 100-299","Premium 300+")))</x:f>
        <x:v>Medium 25-99</x:v>
      </x:c>
      <x:c r="Y934" t="n">
        <x:f>IF(C934="Active",1,0)</x:f>
        <x:v>1</x:v>
      </x:c>
    </x:row>
    <x:row r="935">
      <x:c r="A935" t="str">
        <x:v>SKU00934</x:v>
      </x:c>
      <x:c r="B935" t="str">
        <x:v>Sample Product 00934</x:v>
      </x:c>
      <x:c r="C935" t="str">
        <x:v>Active</x:v>
      </x:c>
      <x:c r="D935" t="str">
        <x:v>2026-04</x:v>
      </x:c>
      <x:c r="E935" s="12" t="n">
        <x:v>261.21</x:v>
      </x:c>
      <x:c r="F935" s="10" t="n">
        <x:v>0.378</x:v>
      </x:c>
      <x:c r="G935" t="str">
        <x:v>Personal Care</x:v>
      </x:c>
      <x:c r="H935" t="str">
        <x:v>Oral Care</x:v>
      </x:c>
      <x:c r="I935" t="str">
        <x:v>MFG020</x:v>
      </x:c>
      <x:c r="J935" t="str">
        <x:v>Manufacturer 020</x:v>
      </x:c>
      <x:c r="K935" t="str">
        <x:v>SUP027</x:v>
      </x:c>
      <x:c r="L935" t="str">
        <x:v>Supplier 027</x:v>
      </x:c>
      <x:c r="M935" t="str">
        <x:v>REG-944884</x:v>
      </x:c>
      <x:c r="N935" t="str">
        <x:v>Generic Ingredient 059</x:v>
      </x:c>
      <x:c r="O935" t="str">
        <x:v>General Sale</x:v>
      </x:c>
      <x:c r="P935" t="n">
        <x:v>37</x:v>
      </x:c>
      <x:c r="Q935" t="n">
        <x:v>24</x:v>
      </x:c>
      <x:c r="R935" t="n">
        <x:v>13</x:v>
      </x:c>
      <x:c r="S935" s="12" t="n">
        <x:f>E935*Q935</x:f>
        <x:v>6269.039999999999</x:v>
      </x:c>
      <x:c r="T935" s="12" t="n">
        <x:f>ROUND(S935*F935+0.000000001,2)</x:f>
        <x:v>2369.7</x:v>
      </x:c>
      <x:c r="U935" s="12" t="n">
        <x:f>E935*R935</x:f>
        <x:v>3395.7299999999996</x:v>
      </x:c>
      <x:c r="V935" t="str">
        <x:f>IF(AND(C935="Active",Q935=0),"Active Zero Sales","Not Zero Sales")</x:f>
        <x:v>Not Zero Sales</x:v>
      </x:c>
      <x:c r="W935" s="12" t="n">
        <x:f>IF(V935="Active Zero Sales",U935,0)</x:f>
        <x:v>0</x:v>
      </x:c>
      <x:c r="X935" t="str">
        <x:f>IF(E935&lt;25,"Low &lt; 25",IF(E935&lt;100,"Medium 25-99",IF(E935&lt;300,"High 100-299","Premium 300+")))</x:f>
        <x:v>High 100-299</x:v>
      </x:c>
      <x:c r="Y935" t="n">
        <x:f>IF(C935="Active",1,0)</x:f>
        <x:v>1</x:v>
      </x:c>
    </x:row>
    <x:row r="936">
      <x:c r="A936" t="str">
        <x:v>SKU00935</x:v>
      </x:c>
      <x:c r="B936" t="str">
        <x:v>Sample Product 00935</x:v>
      </x:c>
      <x:c r="C936" t="str">
        <x:v>Active</x:v>
      </x:c>
      <x:c r="D936" t="str">
        <x:v>2026-05</x:v>
      </x:c>
      <x:c r="E936" s="12" t="n">
        <x:v>77.43</x:v>
      </x:c>
      <x:c r="F936" s="10" t="n">
        <x:v>0.289</x:v>
      </x:c>
      <x:c r="G936" t="str">
        <x:v>Medical Devices</x:v>
      </x:c>
      <x:c r="H936" t="str">
        <x:v>Home Diagnostics</x:v>
      </x:c>
      <x:c r="I936" t="str">
        <x:v>MFG002</x:v>
      </x:c>
      <x:c r="J936" t="str">
        <x:v>Manufacturer 002</x:v>
      </x:c>
      <x:c r="K936" t="str">
        <x:v>SUP003</x:v>
      </x:c>
      <x:c r="L936" t="str">
        <x:v>Supplier 003</x:v>
      </x:c>
      <x:c r="M936" t="str">
        <x:v>REG-463695</x:v>
      </x:c>
      <x:c r="N936" t="str">
        <x:v>Generic Ingredient 090</x:v>
      </x:c>
      <x:c r="O936" t="str">
        <x:v>Pharmacy Only</x:v>
      </x:c>
      <x:c r="P936" t="n">
        <x:v>63</x:v>
      </x:c>
      <x:c r="Q936" t="n">
        <x:v>27</x:v>
      </x:c>
      <x:c r="R936" t="n">
        <x:v>9</x:v>
      </x:c>
      <x:c r="S936" s="12" t="n">
        <x:f>E936*Q936</x:f>
        <x:v>2090.61</x:v>
      </x:c>
      <x:c r="T936" s="12" t="n">
        <x:f>ROUND(S936*F936+0.000000001,2)</x:f>
        <x:v>604.19</x:v>
      </x:c>
      <x:c r="U936" s="12" t="n">
        <x:f>E936*R936</x:f>
        <x:v>696.8700000000001</x:v>
      </x:c>
      <x:c r="V936" t="str">
        <x:f>IF(AND(C936="Active",Q936=0),"Active Zero Sales","Not Zero Sales")</x:f>
        <x:v>Not Zero Sales</x:v>
      </x:c>
      <x:c r="W936" s="12" t="n">
        <x:f>IF(V936="Active Zero Sales",U936,0)</x:f>
        <x:v>0</x:v>
      </x:c>
      <x:c r="X936" t="str">
        <x:f>IF(E936&lt;25,"Low &lt; 25",IF(E936&lt;100,"Medium 25-99",IF(E936&lt;300,"High 100-299","Premium 300+")))</x:f>
        <x:v>Medium 25-99</x:v>
      </x:c>
      <x:c r="Y936" t="n">
        <x:f>IF(C936="Active",1,0)</x:f>
        <x:v>1</x:v>
      </x:c>
    </x:row>
    <x:row r="937">
      <x:c r="A937" t="str">
        <x:v>SKU00936</x:v>
      </x:c>
      <x:c r="B937" t="str">
        <x:v>Sample Product 00936</x:v>
      </x:c>
      <x:c r="C937" t="str">
        <x:v>Active</x:v>
      </x:c>
      <x:c r="D937" t="str">
        <x:v>2026-05</x:v>
      </x:c>
      <x:c r="E937" s="12" t="n">
        <x:v>41.71</x:v>
      </x:c>
      <x:c r="F937" s="10" t="n">
        <x:v>0.309</x:v>
      </x:c>
      <x:c r="G937" t="str">
        <x:v>OTC &amp; Wellness</x:v>
      </x:c>
      <x:c r="H937" t="str">
        <x:v>Pain Relief</x:v>
      </x:c>
      <x:c r="I937" t="str">
        <x:v>MFG010</x:v>
      </x:c>
      <x:c r="J937" t="str">
        <x:v>Manufacturer 010</x:v>
      </x:c>
      <x:c r="K937" t="str">
        <x:v>SUP016</x:v>
      </x:c>
      <x:c r="L937" t="str">
        <x:v>Supplier 016</x:v>
      </x:c>
      <x:c r="M937" t="str">
        <x:v>REG-912709</x:v>
      </x:c>
      <x:c r="N937" t="str">
        <x:v>Generic Ingredient 028</x:v>
      </x:c>
      <x:c r="O937" t="str">
        <x:v>General Sale</x:v>
      </x:c>
      <x:c r="P937" t="n">
        <x:v>36</x:v>
      </x:c>
      <x:c r="Q937" t="n">
        <x:v>18</x:v>
      </x:c>
      <x:c r="R937" t="n">
        <x:v>28</x:v>
      </x:c>
      <x:c r="S937" s="12" t="n">
        <x:f>E937*Q937</x:f>
        <x:v>750.78</x:v>
      </x:c>
      <x:c r="T937" s="12" t="n">
        <x:f>ROUND(S937*F937+0.000000001,2)</x:f>
        <x:v>231.99</x:v>
      </x:c>
      <x:c r="U937" s="12" t="n">
        <x:f>E937*R937</x:f>
        <x:v>1167.88</x:v>
      </x:c>
      <x:c r="V937" t="str">
        <x:f>IF(AND(C937="Active",Q937=0),"Active Zero Sales","Not Zero Sales")</x:f>
        <x:v>Not Zero Sales</x:v>
      </x:c>
      <x:c r="W937" s="12" t="n">
        <x:f>IF(V937="Active Zero Sales",U937,0)</x:f>
        <x:v>0</x:v>
      </x:c>
      <x:c r="X937" t="str">
        <x:f>IF(E937&lt;25,"Low &lt; 25",IF(E937&lt;100,"Medium 25-99",IF(E937&lt;300,"High 100-299","Premium 300+")))</x:f>
        <x:v>Medium 25-99</x:v>
      </x:c>
      <x:c r="Y937" t="n">
        <x:f>IF(C937="Active",1,0)</x:f>
        <x:v>1</x:v>
      </x:c>
    </x:row>
    <x:row r="938">
      <x:c r="A938" t="str">
        <x:v>SKU00937</x:v>
      </x:c>
      <x:c r="B938" t="str">
        <x:v>Sample Product 00937</x:v>
      </x:c>
      <x:c r="C938" t="str">
        <x:v>Active</x:v>
      </x:c>
      <x:c r="D938" t="str">
        <x:v>2026-02</x:v>
      </x:c>
      <x:c r="E938" s="12" t="n">
        <x:v>12.63</x:v>
      </x:c>
      <x:c r="F938" s="10" t="n">
        <x:v>0.232</x:v>
      </x:c>
      <x:c r="G938" t="str">
        <x:v>Nutrition</x:v>
      </x:c>
      <x:c r="H938" t="str">
        <x:v>Healthy Snacks</x:v>
      </x:c>
      <x:c r="I938" t="str">
        <x:v>MFG019</x:v>
      </x:c>
      <x:c r="J938" t="str">
        <x:v>Manufacturer 019</x:v>
      </x:c>
      <x:c r="K938" t="str">
        <x:v>SUP018</x:v>
      </x:c>
      <x:c r="L938" t="str">
        <x:v>Supplier 018</x:v>
      </x:c>
      <x:c r="M938" t="str">
        <x:v>REG-680154</x:v>
      </x:c>
      <x:c r="N938" t="str">
        <x:v>Generic Ingredient 059</x:v>
      </x:c>
      <x:c r="O938" t="str">
        <x:v>General Sale</x:v>
      </x:c>
      <x:c r="P938" t="n">
        <x:v>42</x:v>
      </x:c>
      <x:c r="Q938" t="n">
        <x:v>13</x:v>
      </x:c>
      <x:c r="R938" t="n">
        <x:v>3</x:v>
      </x:c>
      <x:c r="S938" s="12" t="n">
        <x:f>E938*Q938</x:f>
        <x:v>164.19</x:v>
      </x:c>
      <x:c r="T938" s="12" t="n">
        <x:f>ROUND(S938*F938+0.000000001,2)</x:f>
        <x:v>38.09</x:v>
      </x:c>
      <x:c r="U938" s="12" t="n">
        <x:f>E938*R938</x:f>
        <x:v>37.89</x:v>
      </x:c>
      <x:c r="V938" t="str">
        <x:f>IF(AND(C938="Active",Q938=0),"Active Zero Sales","Not Zero Sales")</x:f>
        <x:v>Not Zero Sales</x:v>
      </x:c>
      <x:c r="W938" s="12" t="n">
        <x:f>IF(V938="Active Zero Sales",U938,0)</x:f>
        <x:v>0</x:v>
      </x:c>
      <x:c r="X938" t="str">
        <x:f>IF(E938&lt;25,"Low &lt; 25",IF(E938&lt;100,"Medium 25-99",IF(E938&lt;300,"High 100-299","Premium 300+")))</x:f>
        <x:v>Low &lt; 25</x:v>
      </x:c>
      <x:c r="Y938" t="n">
        <x:f>IF(C938="Active",1,0)</x:f>
        <x:v>1</x:v>
      </x:c>
    </x:row>
    <x:row r="939">
      <x:c r="A939" t="str">
        <x:v>SKU00938</x:v>
      </x:c>
      <x:c r="B939" t="str">
        <x:v>Sample Product 00938</x:v>
      </x:c>
      <x:c r="C939" t="str">
        <x:v>Active</x:v>
      </x:c>
      <x:c r="D939" t="str">
        <x:v>2026-04</x:v>
      </x:c>
      <x:c r="E939" s="12" t="n">
        <x:v>625.57</x:v>
      </x:c>
      <x:c r="F939" s="10" t="n">
        <x:v>0.192</x:v>
      </x:c>
      <x:c r="G939" t="str">
        <x:v>OTC &amp; Wellness</x:v>
      </x:c>
      <x:c r="H939" t="str">
        <x:v>Pain Relief</x:v>
      </x:c>
      <x:c r="I939" t="str">
        <x:v>MFG008</x:v>
      </x:c>
      <x:c r="J939" t="str">
        <x:v>Manufacturer 008</x:v>
      </x:c>
      <x:c r="K939" t="str">
        <x:v>SUP001</x:v>
      </x:c>
      <x:c r="L939" t="str">
        <x:v>Supplier 001</x:v>
      </x:c>
      <x:c r="M939" t="str">
        <x:v>REG-960912</x:v>
      </x:c>
      <x:c r="N939" t="str">
        <x:v>Generic Ingredient 011</x:v>
      </x:c>
      <x:c r="O939" t="str">
        <x:v>General Sale</x:v>
      </x:c>
      <x:c r="P939" t="n">
        <x:v>42</x:v>
      </x:c>
      <x:c r="Q939" t="n">
        <x:v>5</x:v>
      </x:c>
      <x:c r="R939" t="n">
        <x:v>8</x:v>
      </x:c>
      <x:c r="S939" s="12" t="n">
        <x:f>E939*Q939</x:f>
        <x:v>3127.8500000000004</x:v>
      </x:c>
      <x:c r="T939" s="12" t="n">
        <x:f>ROUND(S939*F939+0.000000001,2)</x:f>
        <x:v>600.55</x:v>
      </x:c>
      <x:c r="U939" s="12" t="n">
        <x:f>E939*R939</x:f>
        <x:v>5004.56</x:v>
      </x:c>
      <x:c r="V939" t="str">
        <x:f>IF(AND(C939="Active",Q939=0),"Active Zero Sales","Not Zero Sales")</x:f>
        <x:v>Not Zero Sales</x:v>
      </x:c>
      <x:c r="W939" s="12" t="n">
        <x:f>IF(V939="Active Zero Sales",U939,0)</x:f>
        <x:v>0</x:v>
      </x:c>
      <x:c r="X939" t="str">
        <x:f>IF(E939&lt;25,"Low &lt; 25",IF(E939&lt;100,"Medium 25-99",IF(E939&lt;300,"High 100-299","Premium 300+")))</x:f>
        <x:v>Premium 300+</x:v>
      </x:c>
      <x:c r="Y939" t="n">
        <x:f>IF(C939="Active",1,0)</x:f>
        <x:v>1</x:v>
      </x:c>
    </x:row>
    <x:row r="940">
      <x:c r="A940" t="str">
        <x:v>SKU00939</x:v>
      </x:c>
      <x:c r="B940" t="str">
        <x:v>Sample Product 00939</x:v>
      </x:c>
      <x:c r="C940" t="str">
        <x:v>Active</x:v>
      </x:c>
      <x:c r="D940" t="str">
        <x:v>2026-06</x:v>
      </x:c>
      <x:c r="E940" s="12" t="n">
        <x:v>12.11</x:v>
      </x:c>
      <x:c r="F940" s="10" t="n">
        <x:v>0.345</x:v>
      </x:c>
      <x:c r="G940" t="str">
        <x:v>OTC &amp; Wellness</x:v>
      </x:c>
      <x:c r="H940" t="str">
        <x:v>Pain Relief</x:v>
      </x:c>
      <x:c r="I940" t="str">
        <x:v>MFG009</x:v>
      </x:c>
      <x:c r="J940" t="str">
        <x:v>Manufacturer 009</x:v>
      </x:c>
      <x:c r="K940" t="str">
        <x:v>SUP021</x:v>
      </x:c>
      <x:c r="L940" t="str">
        <x:v>Supplier 021</x:v>
      </x:c>
      <x:c r="M940" t="str">
        <x:v>REG-956500</x:v>
      </x:c>
      <x:c r="N940" t="str">
        <x:v>Generic Ingredient 152</x:v>
      </x:c>
      <x:c r="O940" t="str">
        <x:v>General Sale</x:v>
      </x:c>
      <x:c r="P940" t="n">
        <x:v>82</x:v>
      </x:c>
      <x:c r="Q940" t="n">
        <x:v>44</x:v>
      </x:c>
      <x:c r="R940" t="n">
        <x:v>34</x:v>
      </x:c>
      <x:c r="S940" s="12" t="n">
        <x:f>E940*Q940</x:f>
        <x:v>532.8399999999999</x:v>
      </x:c>
      <x:c r="T940" s="12" t="n">
        <x:f>ROUND(S940*F940+0.000000001,2)</x:f>
        <x:v>183.83</x:v>
      </x:c>
      <x:c r="U940" s="12" t="n">
        <x:f>E940*R940</x:f>
        <x:v>411.74</x:v>
      </x:c>
      <x:c r="V940" t="str">
        <x:f>IF(AND(C940="Active",Q940=0),"Active Zero Sales","Not Zero Sales")</x:f>
        <x:v>Not Zero Sales</x:v>
      </x:c>
      <x:c r="W940" s="12" t="n">
        <x:f>IF(V940="Active Zero Sales",U940,0)</x:f>
        <x:v>0</x:v>
      </x:c>
      <x:c r="X940" t="str">
        <x:f>IF(E940&lt;25,"Low &lt; 25",IF(E940&lt;100,"Medium 25-99",IF(E940&lt;300,"High 100-299","Premium 300+")))</x:f>
        <x:v>Low &lt; 25</x:v>
      </x:c>
      <x:c r="Y940" t="n">
        <x:f>IF(C940="Active",1,0)</x:f>
        <x:v>1</x:v>
      </x:c>
    </x:row>
    <x:row r="941">
      <x:c r="A941" t="str">
        <x:v>SKU00940</x:v>
      </x:c>
      <x:c r="B941" t="str">
        <x:v>Sample Product 00940</x:v>
      </x:c>
      <x:c r="C941" t="str">
        <x:v>Active</x:v>
      </x:c>
      <x:c r="D941" t="str">
        <x:v>2026-02</x:v>
      </x:c>
      <x:c r="E941" s="12" t="n">
        <x:v>161.51</x:v>
      </x:c>
      <x:c r="F941" s="10" t="n">
        <x:v>0.389</x:v>
      </x:c>
      <x:c r="G941" t="str">
        <x:v>Personal Care</x:v>
      </x:c>
      <x:c r="H941" t="str">
        <x:v>Oral Care</x:v>
      </x:c>
      <x:c r="I941" t="str">
        <x:v>MFG011</x:v>
      </x:c>
      <x:c r="J941" t="str">
        <x:v>Manufacturer 011</x:v>
      </x:c>
      <x:c r="K941" t="str">
        <x:v>SUP019</x:v>
      </x:c>
      <x:c r="L941" t="str">
        <x:v>Supplier 019</x:v>
      </x:c>
      <x:c r="M941" t="str">
        <x:v>REG-495088</x:v>
      </x:c>
      <x:c r="N941" t="str">
        <x:v>Generic Ingredient 048</x:v>
      </x:c>
      <x:c r="O941" t="str">
        <x:v>General Sale</x:v>
      </x:c>
      <x:c r="P941" t="n">
        <x:v>21</x:v>
      </x:c>
      <x:c r="Q941" t="n">
        <x:v>10</x:v>
      </x:c>
      <x:c r="R941" t="n">
        <x:v>3</x:v>
      </x:c>
      <x:c r="S941" s="12" t="n">
        <x:f>E941*Q941</x:f>
        <x:v>1615.1</x:v>
      </x:c>
      <x:c r="T941" s="12" t="n">
        <x:f>ROUND(S941*F941+0.000000001,2)</x:f>
        <x:v>628.27</x:v>
      </x:c>
      <x:c r="U941" s="12" t="n">
        <x:f>E941*R941</x:f>
        <x:v>484.53</x:v>
      </x:c>
      <x:c r="V941" t="str">
        <x:f>IF(AND(C941="Active",Q941=0),"Active Zero Sales","Not Zero Sales")</x:f>
        <x:v>Not Zero Sales</x:v>
      </x:c>
      <x:c r="W941" s="12" t="n">
        <x:f>IF(V941="Active Zero Sales",U941,0)</x:f>
        <x:v>0</x:v>
      </x:c>
      <x:c r="X941" t="str">
        <x:f>IF(E941&lt;25,"Low &lt; 25",IF(E941&lt;100,"Medium 25-99",IF(E941&lt;300,"High 100-299","Premium 300+")))</x:f>
        <x:v>High 100-299</x:v>
      </x:c>
      <x:c r="Y941" t="n">
        <x:f>IF(C941="Active",1,0)</x:f>
        <x:v>1</x:v>
      </x:c>
    </x:row>
    <x:row r="942">
      <x:c r="A942" t="str">
        <x:v>SKU00941</x:v>
      </x:c>
      <x:c r="B942" t="str">
        <x:v>Sample Product 00941</x:v>
      </x:c>
      <x:c r="C942" t="str">
        <x:v>Active</x:v>
      </x:c>
      <x:c r="D942" t="str">
        <x:v>2026-03</x:v>
      </x:c>
      <x:c r="E942" s="12" t="n">
        <x:v>43.34</x:v>
      </x:c>
      <x:c r="F942" s="10" t="n">
        <x:v>0.361</x:v>
      </x:c>
      <x:c r="G942" t="str">
        <x:v>OTC &amp; Wellness</x:v>
      </x:c>
      <x:c r="H942" t="str">
        <x:v>Cold &amp; Allergy</x:v>
      </x:c>
      <x:c r="I942" t="str">
        <x:v>MFG004</x:v>
      </x:c>
      <x:c r="J942" t="str">
        <x:v>Manufacturer 004</x:v>
      </x:c>
      <x:c r="K942" t="str">
        <x:v>SUP002</x:v>
      </x:c>
      <x:c r="L942" t="str">
        <x:v>Supplier 002</x:v>
      </x:c>
      <x:c r="M942" t="str">
        <x:v>REG-780785</x:v>
      </x:c>
      <x:c r="N942" t="str">
        <x:v>Generic Ingredient 155</x:v>
      </x:c>
      <x:c r="O942" t="str">
        <x:v>General Sale</x:v>
      </x:c>
      <x:c r="P942" t="n">
        <x:v>42</x:v>
      </x:c>
      <x:c r="Q942" t="n">
        <x:v>13</x:v>
      </x:c>
      <x:c r="R942" t="n">
        <x:v>0</x:v>
      </x:c>
      <x:c r="S942" s="12" t="n">
        <x:f>E942*Q942</x:f>
        <x:v>563.4200000000001</x:v>
      </x:c>
      <x:c r="T942" s="12" t="n">
        <x:f>ROUND(S942*F942+0.000000001,2)</x:f>
        <x:v>203.39</x:v>
      </x:c>
      <x:c r="U942" s="12" t="n">
        <x:f>E942*R942</x:f>
        <x:v>0</x:v>
      </x:c>
      <x:c r="V942" t="str">
        <x:f>IF(AND(C942="Active",Q942=0),"Active Zero Sales","Not Zero Sales")</x:f>
        <x:v>Not Zero Sales</x:v>
      </x:c>
      <x:c r="W942" s="12" t="n">
        <x:f>IF(V942="Active Zero Sales",U942,0)</x:f>
        <x:v>0</x:v>
      </x:c>
      <x:c r="X942" t="str">
        <x:f>IF(E942&lt;25,"Low &lt; 25",IF(E942&lt;100,"Medium 25-99",IF(E942&lt;300,"High 100-299","Premium 300+")))</x:f>
        <x:v>Medium 25-99</x:v>
      </x:c>
      <x:c r="Y942" t="n">
        <x:f>IF(C942="Active",1,0)</x:f>
        <x:v>1</x:v>
      </x:c>
    </x:row>
    <x:row r="943">
      <x:c r="A943" t="str">
        <x:v>SKU00942</x:v>
      </x:c>
      <x:c r="B943" t="str">
        <x:v>Sample Product 00942</x:v>
      </x:c>
      <x:c r="C943" t="str">
        <x:v>Active</x:v>
      </x:c>
      <x:c r="D943" t="str">
        <x:v>2026-02</x:v>
      </x:c>
      <x:c r="E943" s="12" t="n">
        <x:v>188.01</x:v>
      </x:c>
      <x:c r="F943" s="10" t="n">
        <x:v>0.424</x:v>
      </x:c>
      <x:c r="G943" t="str">
        <x:v>OTC &amp; Wellness</x:v>
      </x:c>
      <x:c r="H943" t="str">
        <x:v>Vitamins</x:v>
      </x:c>
      <x:c r="I943" t="str">
        <x:v>MFG012</x:v>
      </x:c>
      <x:c r="J943" t="str">
        <x:v>Manufacturer 012</x:v>
      </x:c>
      <x:c r="K943" t="str">
        <x:v>SUP027</x:v>
      </x:c>
      <x:c r="L943" t="str">
        <x:v>Supplier 027</x:v>
      </x:c>
      <x:c r="M943" t="str">
        <x:v>REG-759714</x:v>
      </x:c>
      <x:c r="N943" t="str">
        <x:v>Generic Ingredient 010</x:v>
      </x:c>
      <x:c r="O943" t="str">
        <x:v>General Sale</x:v>
      </x:c>
      <x:c r="P943" t="n">
        <x:v>63</x:v>
      </x:c>
      <x:c r="Q943" t="n">
        <x:v>15</x:v>
      </x:c>
      <x:c r="R943" t="n">
        <x:v>0</x:v>
      </x:c>
      <x:c r="S943" s="12" t="n">
        <x:f>E943*Q943</x:f>
        <x:v>2820.1499999999996</x:v>
      </x:c>
      <x:c r="T943" s="12" t="n">
        <x:f>ROUND(S943*F943+0.000000001,2)</x:f>
        <x:v>1195.74</x:v>
      </x:c>
      <x:c r="U943" s="12" t="n">
        <x:f>E943*R943</x:f>
        <x:v>0</x:v>
      </x:c>
      <x:c r="V943" t="str">
        <x:f>IF(AND(C943="Active",Q943=0),"Active Zero Sales","Not Zero Sales")</x:f>
        <x:v>Not Zero Sales</x:v>
      </x:c>
      <x:c r="W943" s="12" t="n">
        <x:f>IF(V943="Active Zero Sales",U943,0)</x:f>
        <x:v>0</x:v>
      </x:c>
      <x:c r="X943" t="str">
        <x:f>IF(E943&lt;25,"Low &lt; 25",IF(E943&lt;100,"Medium 25-99",IF(E943&lt;300,"High 100-299","Premium 300+")))</x:f>
        <x:v>High 100-299</x:v>
      </x:c>
      <x:c r="Y943" t="n">
        <x:f>IF(C943="Active",1,0)</x:f>
        <x:v>1</x:v>
      </x:c>
    </x:row>
    <x:row r="944">
      <x:c r="A944" t="str">
        <x:v>SKU00943</x:v>
      </x:c>
      <x:c r="B944" t="str">
        <x:v>Sample Product 00943</x:v>
      </x:c>
      <x:c r="C944" t="str">
        <x:v>Active</x:v>
      </x:c>
      <x:c r="D944" t="str">
        <x:v>2026-05</x:v>
      </x:c>
      <x:c r="E944" s="12" t="n">
        <x:v>45.31</x:v>
      </x:c>
      <x:c r="F944" s="10" t="n">
        <x:v>0.322</x:v>
      </x:c>
      <x:c r="G944" t="str">
        <x:v>General Merchandise</x:v>
      </x:c>
      <x:c r="H944" t="str">
        <x:v>Travel Health</x:v>
      </x:c>
      <x:c r="I944" t="str">
        <x:v>MFG016</x:v>
      </x:c>
      <x:c r="J944" t="str">
        <x:v>Manufacturer 016</x:v>
      </x:c>
      <x:c r="K944" t="str">
        <x:v>SUP019</x:v>
      </x:c>
      <x:c r="L944" t="str">
        <x:v>Supplier 019</x:v>
      </x:c>
      <x:c r="M944" t="str">
        <x:v>REG-719277</x:v>
      </x:c>
      <x:c r="N944" t="str">
        <x:v>Generic Ingredient 154</x:v>
      </x:c>
      <x:c r="O944" t="str">
        <x:v>General Sale</x:v>
      </x:c>
      <x:c r="P944" t="n">
        <x:v>94</x:v>
      </x:c>
      <x:c r="Q944" t="n">
        <x:v>56</x:v>
      </x:c>
      <x:c r="R944" t="n">
        <x:v>32</x:v>
      </x:c>
      <x:c r="S944" s="12" t="n">
        <x:f>E944*Q944</x:f>
        <x:v>2537.36</x:v>
      </x:c>
      <x:c r="T944" s="12" t="n">
        <x:f>ROUND(S944*F944+0.000000001,2)</x:f>
        <x:v>817.03</x:v>
      </x:c>
      <x:c r="U944" s="12" t="n">
        <x:f>E944*R944</x:f>
        <x:v>1449.92</x:v>
      </x:c>
      <x:c r="V944" t="str">
        <x:f>IF(AND(C944="Active",Q944=0),"Active Zero Sales","Not Zero Sales")</x:f>
        <x:v>Not Zero Sales</x:v>
      </x:c>
      <x:c r="W944" s="12" t="n">
        <x:f>IF(V944="Active Zero Sales",U944,0)</x:f>
        <x:v>0</x:v>
      </x:c>
      <x:c r="X944" t="str">
        <x:f>IF(E944&lt;25,"Low &lt; 25",IF(E944&lt;100,"Medium 25-99",IF(E944&lt;300,"High 100-299","Premium 300+")))</x:f>
        <x:v>Medium 25-99</x:v>
      </x:c>
      <x:c r="Y944" t="n">
        <x:f>IF(C944="Active",1,0)</x:f>
        <x:v>1</x:v>
      </x:c>
    </x:row>
    <x:row r="945">
      <x:c r="A945" t="str">
        <x:v>SKU00944</x:v>
      </x:c>
      <x:c r="B945" t="str">
        <x:v>Sample Product 00944</x:v>
      </x:c>
      <x:c r="C945" t="str">
        <x:v>Active</x:v>
      </x:c>
      <x:c r="D945" t="str">
        <x:v>2026-04</x:v>
      </x:c>
      <x:c r="E945" s="12" t="n">
        <x:v>34.4</x:v>
      </x:c>
      <x:c r="F945" s="10" t="n">
        <x:v>0.38</x:v>
      </x:c>
      <x:c r="G945" t="str">
        <x:v>Personal Care</x:v>
      </x:c>
      <x:c r="H945" t="str">
        <x:v>Skin Care</x:v>
      </x:c>
      <x:c r="I945" t="str">
        <x:v>MFG019</x:v>
      </x:c>
      <x:c r="J945" t="str">
        <x:v>Manufacturer 019</x:v>
      </x:c>
      <x:c r="K945" t="str">
        <x:v>SUP029</x:v>
      </x:c>
      <x:c r="L945" t="str">
        <x:v>Supplier 029</x:v>
      </x:c>
      <x:c r="M945" t="str">
        <x:v>REG-891208</x:v>
      </x:c>
      <x:c r="N945" t="str">
        <x:v>Generic Ingredient 151</x:v>
      </x:c>
      <x:c r="O945" t="str">
        <x:v>General Sale</x:v>
      </x:c>
      <x:c r="P945" t="n">
        <x:v>24</x:v>
      </x:c>
      <x:c r="Q945" t="n">
        <x:v>20</x:v>
      </x:c>
      <x:c r="R945" t="n">
        <x:v>8</x:v>
      </x:c>
      <x:c r="S945" s="12" t="n">
        <x:f>E945*Q945</x:f>
        <x:v>688</x:v>
      </x:c>
      <x:c r="T945" s="12" t="n">
        <x:f>ROUND(S945*F945+0.000000001,2)</x:f>
        <x:v>261.44</x:v>
      </x:c>
      <x:c r="U945" s="12" t="n">
        <x:f>E945*R945</x:f>
        <x:v>275.2</x:v>
      </x:c>
      <x:c r="V945" t="str">
        <x:f>IF(AND(C945="Active",Q945=0),"Active Zero Sales","Not Zero Sales")</x:f>
        <x:v>Not Zero Sales</x:v>
      </x:c>
      <x:c r="W945" s="12" t="n">
        <x:f>IF(V945="Active Zero Sales",U945,0)</x:f>
        <x:v>0</x:v>
      </x:c>
      <x:c r="X945" t="str">
        <x:f>IF(E945&lt;25,"Low &lt; 25",IF(E945&lt;100,"Medium 25-99",IF(E945&lt;300,"High 100-299","Premium 300+")))</x:f>
        <x:v>Medium 25-99</x:v>
      </x:c>
      <x:c r="Y945" t="n">
        <x:f>IF(C945="Active",1,0)</x:f>
        <x:v>1</x:v>
      </x:c>
    </x:row>
    <x:row r="946">
      <x:c r="A946" t="str">
        <x:v>SKU00945</x:v>
      </x:c>
      <x:c r="B946" t="str">
        <x:v>Sample Product 00945</x:v>
      </x:c>
      <x:c r="C946" t="str">
        <x:v>Active</x:v>
      </x:c>
      <x:c r="D946" t="str">
        <x:v>2026-05</x:v>
      </x:c>
      <x:c r="E946" s="12" t="n">
        <x:v>16.53</x:v>
      </x:c>
      <x:c r="F946" s="10" t="n">
        <x:v>0.259</x:v>
      </x:c>
      <x:c r="G946" t="str">
        <x:v>Medical Devices</x:v>
      </x:c>
      <x:c r="H946" t="str">
        <x:v>First Aid</x:v>
      </x:c>
      <x:c r="I946" t="str">
        <x:v>MFG010</x:v>
      </x:c>
      <x:c r="J946" t="str">
        <x:v>Manufacturer 010</x:v>
      </x:c>
      <x:c r="K946" t="str">
        <x:v>SUP025</x:v>
      </x:c>
      <x:c r="L946" t="str">
        <x:v>Supplier 025</x:v>
      </x:c>
      <x:c r="M946" t="str">
        <x:v>REG-102420</x:v>
      </x:c>
      <x:c r="N946" t="str">
        <x:v>Generic Ingredient 080</x:v>
      </x:c>
      <x:c r="O946" t="str">
        <x:v>General Sale</x:v>
      </x:c>
      <x:c r="P946" t="n">
        <x:v>171</x:v>
      </x:c>
      <x:c r="Q946" t="n">
        <x:v>106</x:v>
      </x:c>
      <x:c r="R946" t="n">
        <x:v>51</x:v>
      </x:c>
      <x:c r="S946" s="12" t="n">
        <x:f>E946*Q946</x:f>
        <x:v>1752.18</x:v>
      </x:c>
      <x:c r="T946" s="12" t="n">
        <x:f>ROUND(S946*F946+0.000000001,2)</x:f>
        <x:v>453.81</x:v>
      </x:c>
      <x:c r="U946" s="12" t="n">
        <x:f>E946*R946</x:f>
        <x:v>843.0300000000001</x:v>
      </x:c>
      <x:c r="V946" t="str">
        <x:f>IF(AND(C946="Active",Q946=0),"Active Zero Sales","Not Zero Sales")</x:f>
        <x:v>Not Zero Sales</x:v>
      </x:c>
      <x:c r="W946" s="12" t="n">
        <x:f>IF(V946="Active Zero Sales",U946,0)</x:f>
        <x:v>0</x:v>
      </x:c>
      <x:c r="X946" t="str">
        <x:f>IF(E946&lt;25,"Low &lt; 25",IF(E946&lt;100,"Medium 25-99",IF(E946&lt;300,"High 100-299","Premium 300+")))</x:f>
        <x:v>Low &lt; 25</x:v>
      </x:c>
      <x:c r="Y946" t="n">
        <x:f>IF(C946="Active",1,0)</x:f>
        <x:v>1</x:v>
      </x:c>
    </x:row>
    <x:row r="947">
      <x:c r="A947" t="str">
        <x:v>SKU00946</x:v>
      </x:c>
      <x:c r="B947" t="str">
        <x:v>Sample Product 00946</x:v>
      </x:c>
      <x:c r="C947" t="str">
        <x:v>Active</x:v>
      </x:c>
      <x:c r="D947" t="str">
        <x:v>2026-04</x:v>
      </x:c>
      <x:c r="E947" s="12" t="n">
        <x:v>78.5</x:v>
      </x:c>
      <x:c r="F947" s="10" t="n">
        <x:v>0.31</x:v>
      </x:c>
      <x:c r="G947" t="str">
        <x:v>OTC &amp; Wellness</x:v>
      </x:c>
      <x:c r="H947" t="str">
        <x:v>Digestive Care</x:v>
      </x:c>
      <x:c r="I947" t="str">
        <x:v>MFG005</x:v>
      </x:c>
      <x:c r="J947" t="str">
        <x:v>Manufacturer 005</x:v>
      </x:c>
      <x:c r="K947" t="str">
        <x:v>SUP025</x:v>
      </x:c>
      <x:c r="L947" t="str">
        <x:v>Supplier 025</x:v>
      </x:c>
      <x:c r="M947" t="str">
        <x:v>REG-766229</x:v>
      </x:c>
      <x:c r="N947" t="str">
        <x:v>Generic Ingredient 158</x:v>
      </x:c>
      <x:c r="O947" t="str">
        <x:v>Pharmacy Only</x:v>
      </x:c>
      <x:c r="P947" t="n">
        <x:v>43</x:v>
      </x:c>
      <x:c r="Q947" t="n">
        <x:v>25</x:v>
      </x:c>
      <x:c r="R947" t="n">
        <x:v>14</x:v>
      </x:c>
      <x:c r="S947" s="12" t="n">
        <x:f>E947*Q947</x:f>
        <x:v>1962.5</x:v>
      </x:c>
      <x:c r="T947" s="12" t="n">
        <x:f>ROUND(S947*F947+0.000000001,2)</x:f>
        <x:v>608.38</x:v>
      </x:c>
      <x:c r="U947" s="12" t="n">
        <x:f>E947*R947</x:f>
        <x:v>1099</x:v>
      </x:c>
      <x:c r="V947" t="str">
        <x:f>IF(AND(C947="Active",Q947=0),"Active Zero Sales","Not Zero Sales")</x:f>
        <x:v>Not Zero Sales</x:v>
      </x:c>
      <x:c r="W947" s="12" t="n">
        <x:f>IF(V947="Active Zero Sales",U947,0)</x:f>
        <x:v>0</x:v>
      </x:c>
      <x:c r="X947" t="str">
        <x:f>IF(E947&lt;25,"Low &lt; 25",IF(E947&lt;100,"Medium 25-99",IF(E947&lt;300,"High 100-299","Premium 300+")))</x:f>
        <x:v>Medium 25-99</x:v>
      </x:c>
      <x:c r="Y947" t="n">
        <x:f>IF(C947="Active",1,0)</x:f>
        <x:v>1</x:v>
      </x:c>
    </x:row>
    <x:row r="948">
      <x:c r="A948" t="str">
        <x:v>SKU00947</x:v>
      </x:c>
      <x:c r="B948" t="str">
        <x:v>Sample Product 00947</x:v>
      </x:c>
      <x:c r="C948" t="str">
        <x:v>Active</x:v>
      </x:c>
      <x:c r="D948" t="str">
        <x:v>2026-05</x:v>
      </x:c>
      <x:c r="E948" s="12" t="n">
        <x:v>260.05</x:v>
      </x:c>
      <x:c r="F948" s="10" t="n">
        <x:v>0.237</x:v>
      </x:c>
      <x:c r="G948" t="str">
        <x:v>OTC &amp; Wellness</x:v>
      </x:c>
      <x:c r="H948" t="str">
        <x:v>Pain Relief</x:v>
      </x:c>
      <x:c r="I948" t="str">
        <x:v>MFG012</x:v>
      </x:c>
      <x:c r="J948" t="str">
        <x:v>Manufacturer 012</x:v>
      </x:c>
      <x:c r="K948" t="str">
        <x:v>SUP007</x:v>
      </x:c>
      <x:c r="L948" t="str">
        <x:v>Supplier 007</x:v>
      </x:c>
      <x:c r="M948" t="str">
        <x:v>REG-215999</x:v>
      </x:c>
      <x:c r="N948" t="str">
        <x:v>Generic Ingredient 133</x:v>
      </x:c>
      <x:c r="O948" t="str">
        <x:v>General Sale</x:v>
      </x:c>
      <x:c r="P948" t="n">
        <x:v>72</x:v>
      </x:c>
      <x:c r="Q948" t="n">
        <x:v>37</x:v>
      </x:c>
      <x:c r="R948" t="n">
        <x:v>9</x:v>
      </x:c>
      <x:c r="S948" s="12" t="n">
        <x:f>E948*Q948</x:f>
        <x:v>9621.85</x:v>
      </x:c>
      <x:c r="T948" s="12" t="n">
        <x:f>ROUND(S948*F948+0.000000001,2)</x:f>
        <x:v>2280.38</x:v>
      </x:c>
      <x:c r="U948" s="12" t="n">
        <x:f>E948*R948</x:f>
        <x:v>2340.4500000000003</x:v>
      </x:c>
      <x:c r="V948" t="str">
        <x:f>IF(AND(C948="Active",Q948=0),"Active Zero Sales","Not Zero Sales")</x:f>
        <x:v>Not Zero Sales</x:v>
      </x:c>
      <x:c r="W948" s="12" t="n">
        <x:f>IF(V948="Active Zero Sales",U948,0)</x:f>
        <x:v>0</x:v>
      </x:c>
      <x:c r="X948" t="str">
        <x:f>IF(E948&lt;25,"Low &lt; 25",IF(E948&lt;100,"Medium 25-99",IF(E948&lt;300,"High 100-299","Premium 300+")))</x:f>
        <x:v>High 100-299</x:v>
      </x:c>
      <x:c r="Y948" t="n">
        <x:f>IF(C948="Active",1,0)</x:f>
        <x:v>1</x:v>
      </x:c>
    </x:row>
    <x:row r="949">
      <x:c r="A949" t="str">
        <x:v>SKU00948</x:v>
      </x:c>
      <x:c r="B949" t="str">
        <x:v>Sample Product 00948</x:v>
      </x:c>
      <x:c r="C949" t="str">
        <x:v>Blocked</x:v>
      </x:c>
      <x:c r="D949" t="str">
        <x:v>2026-06</x:v>
      </x:c>
      <x:c r="E949" s="12" t="n">
        <x:v>19.73</x:v>
      </x:c>
      <x:c r="F949" s="10" t="n">
        <x:v>0.333</x:v>
      </x:c>
      <x:c r="G949" t="str">
        <x:v>Personal Care</x:v>
      </x:c>
      <x:c r="H949" t="str">
        <x:v>Hygiene</x:v>
      </x:c>
      <x:c r="I949" t="str">
        <x:v>MFG002</x:v>
      </x:c>
      <x:c r="J949" t="str">
        <x:v>Manufacturer 002</x:v>
      </x:c>
      <x:c r="K949" t="str">
        <x:v>SUP021</x:v>
      </x:c>
      <x:c r="L949" t="str">
        <x:v>Supplier 021</x:v>
      </x:c>
      <x:c r="M949" t="str">
        <x:v>REG-550428</x:v>
      </x:c>
      <x:c r="N949" t="str">
        <x:v>Generic Ingredient 156</x:v>
      </x:c>
      <x:c r="O949" t="str">
        <x:v>General Sale</x:v>
      </x:c>
      <x:c r="P949" t="n">
        <x:v>28</x:v>
      </x:c>
      <x:c r="Q949" t="n">
        <x:v>0</x:v>
      </x:c>
      <x:c r="R949" t="n">
        <x:v>0</x:v>
      </x:c>
      <x:c r="S949" s="12" t="n">
        <x:f>E949*Q949</x:f>
        <x:v>0</x:v>
      </x:c>
      <x:c r="T949" s="12" t="n">
        <x:f>ROUND(S949*F949+0.000000001,2)</x:f>
        <x:v>0</x:v>
      </x:c>
      <x:c r="U949" s="12" t="n">
        <x:f>E949*R949</x:f>
        <x:v>0</x:v>
      </x:c>
      <x:c r="V949" t="str">
        <x:f>IF(AND(C949="Active",Q949=0),"Active Zero Sales","Not Zero Sales")</x:f>
        <x:v>Not Zero Sales</x:v>
      </x:c>
      <x:c r="W949" s="12" t="n">
        <x:f>IF(V949="Active Zero Sales",U949,0)</x:f>
        <x:v>0</x:v>
      </x:c>
      <x:c r="X949" t="str">
        <x:f>IF(E949&lt;25,"Low &lt; 25",IF(E949&lt;100,"Medium 25-99",IF(E949&lt;300,"High 100-299","Premium 300+")))</x:f>
        <x:v>Low &lt; 25</x:v>
      </x:c>
      <x:c r="Y949" t="n">
        <x:f>IF(C949="Active",1,0)</x:f>
        <x:v>0</x:v>
      </x:c>
    </x:row>
    <x:row r="950">
      <x:c r="A950" t="str">
        <x:v>SKU00949</x:v>
      </x:c>
      <x:c r="B950" t="str">
        <x:v>Sample Product 00949</x:v>
      </x:c>
      <x:c r="C950" t="str">
        <x:v>Active</x:v>
      </x:c>
      <x:c r="D950" t="str">
        <x:v>2026-04</x:v>
      </x:c>
      <x:c r="E950" s="12" t="n">
        <x:v>4.14</x:v>
      </x:c>
      <x:c r="F950" s="10" t="n">
        <x:v>0.31</x:v>
      </x:c>
      <x:c r="G950" t="str">
        <x:v>Medical Devices</x:v>
      </x:c>
      <x:c r="H950" t="str">
        <x:v>Mobility Aids</x:v>
      </x:c>
      <x:c r="I950" t="str">
        <x:v>MFG010</x:v>
      </x:c>
      <x:c r="J950" t="str">
        <x:v>Manufacturer 010</x:v>
      </x:c>
      <x:c r="K950" t="str">
        <x:v>SUP011</x:v>
      </x:c>
      <x:c r="L950" t="str">
        <x:v>Supplier 011</x:v>
      </x:c>
      <x:c r="M950" t="str">
        <x:v>REG-770210</x:v>
      </x:c>
      <x:c r="N950" t="str">
        <x:v>Generic Ingredient 177</x:v>
      </x:c>
      <x:c r="O950" t="str">
        <x:v>General Sale</x:v>
      </x:c>
      <x:c r="P950" t="n">
        <x:v>24</x:v>
      </x:c>
      <x:c r="Q950" t="n">
        <x:v>16</x:v>
      </x:c>
      <x:c r="R950" t="n">
        <x:v>2</x:v>
      </x:c>
      <x:c r="S950" s="12" t="n">
        <x:f>E950*Q950</x:f>
        <x:v>66.24</x:v>
      </x:c>
      <x:c r="T950" s="12" t="n">
        <x:f>ROUND(S950*F950+0.000000001,2)</x:f>
        <x:v>20.53</x:v>
      </x:c>
      <x:c r="U950" s="12" t="n">
        <x:f>E950*R950</x:f>
        <x:v>8.28</x:v>
      </x:c>
      <x:c r="V950" t="str">
        <x:f>IF(AND(C950="Active",Q950=0),"Active Zero Sales","Not Zero Sales")</x:f>
        <x:v>Not Zero Sales</x:v>
      </x:c>
      <x:c r="W950" s="12" t="n">
        <x:f>IF(V950="Active Zero Sales",U950,0)</x:f>
        <x:v>0</x:v>
      </x:c>
      <x:c r="X950" t="str">
        <x:f>IF(E950&lt;25,"Low &lt; 25",IF(E950&lt;100,"Medium 25-99",IF(E950&lt;300,"High 100-299","Premium 300+")))</x:f>
        <x:v>Low &lt; 25</x:v>
      </x:c>
      <x:c r="Y950" t="n">
        <x:f>IF(C950="Active",1,0)</x:f>
        <x:v>1</x:v>
      </x:c>
    </x:row>
    <x:row r="951">
      <x:c r="A951" t="str">
        <x:v>SKU00950</x:v>
      </x:c>
      <x:c r="B951" t="str">
        <x:v>Sample Product 00950</x:v>
      </x:c>
      <x:c r="C951" t="str">
        <x:v>Active</x:v>
      </x:c>
      <x:c r="D951" t="str">
        <x:v>2026-06</x:v>
      </x:c>
      <x:c r="E951" s="12" t="n">
        <x:v>91.73</x:v>
      </x:c>
      <x:c r="F951" s="10" t="n">
        <x:v>0.257</x:v>
      </x:c>
      <x:c r="G951" t="str">
        <x:v>Medical Devices</x:v>
      </x:c>
      <x:c r="H951" t="str">
        <x:v>Home Diagnostics</x:v>
      </x:c>
      <x:c r="I951" t="str">
        <x:v>MFG005</x:v>
      </x:c>
      <x:c r="J951" t="str">
        <x:v>Manufacturer 005</x:v>
      </x:c>
      <x:c r="K951" t="str">
        <x:v>SUP003</x:v>
      </x:c>
      <x:c r="L951" t="str">
        <x:v>Supplier 003</x:v>
      </x:c>
      <x:c r="M951" t="str">
        <x:v>REG-670947</x:v>
      </x:c>
      <x:c r="N951" t="str">
        <x:v>Generic Ingredient 149</x:v>
      </x:c>
      <x:c r="O951" t="str">
        <x:v>General Sale</x:v>
      </x:c>
      <x:c r="P951" t="n">
        <x:v>36</x:v>
      </x:c>
      <x:c r="Q951" t="n">
        <x:v>40</x:v>
      </x:c>
      <x:c r="R951" t="n">
        <x:v>0</x:v>
      </x:c>
      <x:c r="S951" s="12" t="n">
        <x:f>E951*Q951</x:f>
        <x:v>3669.2000000000003</x:v>
      </x:c>
      <x:c r="T951" s="12" t="n">
        <x:f>ROUND(S951*F951+0.000000001,2)</x:f>
        <x:v>942.98</x:v>
      </x:c>
      <x:c r="U951" s="12" t="n">
        <x:f>E951*R951</x:f>
        <x:v>0</x:v>
      </x:c>
      <x:c r="V951" t="str">
        <x:f>IF(AND(C951="Active",Q951=0),"Active Zero Sales","Not Zero Sales")</x:f>
        <x:v>Not Zero Sales</x:v>
      </x:c>
      <x:c r="W951" s="12" t="n">
        <x:f>IF(V951="Active Zero Sales",U951,0)</x:f>
        <x:v>0</x:v>
      </x:c>
      <x:c r="X951" t="str">
        <x:f>IF(E951&lt;25,"Low &lt; 25",IF(E951&lt;100,"Medium 25-99",IF(E951&lt;300,"High 100-299","Premium 300+")))</x:f>
        <x:v>Medium 25-99</x:v>
      </x:c>
      <x:c r="Y951" t="n">
        <x:f>IF(C951="Active",1,0)</x:f>
        <x:v>1</x:v>
      </x:c>
    </x:row>
    <x:row r="952">
      <x:c r="A952" t="str">
        <x:v>SKU00951</x:v>
      </x:c>
      <x:c r="B952" t="str">
        <x:v>Sample Product 00951</x:v>
      </x:c>
      <x:c r="C952" t="str">
        <x:v>Active</x:v>
      </x:c>
      <x:c r="D952" t="str">
        <x:v>2026-01</x:v>
      </x:c>
      <x:c r="E952" s="12" t="n">
        <x:v>39.84</x:v>
      </x:c>
      <x:c r="F952" s="10" t="n">
        <x:v>0.297</x:v>
      </x:c>
      <x:c r="G952" t="str">
        <x:v>OTC &amp; Wellness</x:v>
      </x:c>
      <x:c r="H952" t="str">
        <x:v>Vitamins</x:v>
      </x:c>
      <x:c r="I952" t="str">
        <x:v>MFG012</x:v>
      </x:c>
      <x:c r="J952" t="str">
        <x:v>Manufacturer 012</x:v>
      </x:c>
      <x:c r="K952" t="str">
        <x:v>SUP013</x:v>
      </x:c>
      <x:c r="L952" t="str">
        <x:v>Supplier 013</x:v>
      </x:c>
      <x:c r="M952" t="str">
        <x:v>REG-689598</x:v>
      </x:c>
      <x:c r="N952" t="str">
        <x:v>Generic Ingredient 036</x:v>
      </x:c>
      <x:c r="O952" t="str">
        <x:v>General Sale</x:v>
      </x:c>
      <x:c r="P952" t="n">
        <x:v>50</x:v>
      </x:c>
      <x:c r="Q952" t="n">
        <x:v>9</x:v>
      </x:c>
      <x:c r="R952" t="n">
        <x:v>14</x:v>
      </x:c>
      <x:c r="S952" s="12" t="n">
        <x:f>E952*Q952</x:f>
        <x:v>358.56000000000006</x:v>
      </x:c>
      <x:c r="T952" s="12" t="n">
        <x:f>ROUND(S952*F952+0.000000001,2)</x:f>
        <x:v>106.49</x:v>
      </x:c>
      <x:c r="U952" s="12" t="n">
        <x:f>E952*R952</x:f>
        <x:v>557.76</x:v>
      </x:c>
      <x:c r="V952" t="str">
        <x:f>IF(AND(C952="Active",Q952=0),"Active Zero Sales","Not Zero Sales")</x:f>
        <x:v>Not Zero Sales</x:v>
      </x:c>
      <x:c r="W952" s="12" t="n">
        <x:f>IF(V952="Active Zero Sales",U952,0)</x:f>
        <x:v>0</x:v>
      </x:c>
      <x:c r="X952" t="str">
        <x:f>IF(E952&lt;25,"Low &lt; 25",IF(E952&lt;100,"Medium 25-99",IF(E952&lt;300,"High 100-299","Premium 300+")))</x:f>
        <x:v>Medium 25-99</x:v>
      </x:c>
      <x:c r="Y952" t="n">
        <x:f>IF(C952="Active",1,0)</x:f>
        <x:v>1</x:v>
      </x:c>
    </x:row>
    <x:row r="953">
      <x:c r="A953" t="str">
        <x:v>SKU00952</x:v>
      </x:c>
      <x:c r="B953" t="str">
        <x:v>Sample Product 00952</x:v>
      </x:c>
      <x:c r="C953" t="str">
        <x:v>Active</x:v>
      </x:c>
      <x:c r="D953" t="str">
        <x:v>2026-01</x:v>
      </x:c>
      <x:c r="E953" s="12" t="n">
        <x:v>39.6</x:v>
      </x:c>
      <x:c r="F953" s="10" t="n">
        <x:v>0.354</x:v>
      </x:c>
      <x:c r="G953" t="str">
        <x:v>General Merchandise</x:v>
      </x:c>
      <x:c r="H953" t="str">
        <x:v>Travel Health</x:v>
      </x:c>
      <x:c r="I953" t="str">
        <x:v>MFG008</x:v>
      </x:c>
      <x:c r="J953" t="str">
        <x:v>Manufacturer 008</x:v>
      </x:c>
      <x:c r="K953" t="str">
        <x:v>SUP019</x:v>
      </x:c>
      <x:c r="L953" t="str">
        <x:v>Supplier 019</x:v>
      </x:c>
      <x:c r="M953" t="str">
        <x:v>REG-958172</x:v>
      </x:c>
      <x:c r="N953" t="str">
        <x:v>Generic Ingredient 002</x:v>
      </x:c>
      <x:c r="O953" t="str">
        <x:v>Pharmacy Only</x:v>
      </x:c>
      <x:c r="P953" t="n">
        <x:v>106</x:v>
      </x:c>
      <x:c r="Q953" t="n">
        <x:v>38</x:v>
      </x:c>
      <x:c r="R953" t="n">
        <x:v>35</x:v>
      </x:c>
      <x:c r="S953" s="12" t="n">
        <x:f>E953*Q953</x:f>
        <x:v>1504.8</x:v>
      </x:c>
      <x:c r="T953" s="12" t="n">
        <x:f>ROUND(S953*F953+0.000000001,2)</x:f>
        <x:v>532.7</x:v>
      </x:c>
      <x:c r="U953" s="12" t="n">
        <x:f>E953*R953</x:f>
        <x:v>1386</x:v>
      </x:c>
      <x:c r="V953" t="str">
        <x:f>IF(AND(C953="Active",Q953=0),"Active Zero Sales","Not Zero Sales")</x:f>
        <x:v>Not Zero Sales</x:v>
      </x:c>
      <x:c r="W953" s="12" t="n">
        <x:f>IF(V953="Active Zero Sales",U953,0)</x:f>
        <x:v>0</x:v>
      </x:c>
      <x:c r="X953" t="str">
        <x:f>IF(E953&lt;25,"Low &lt; 25",IF(E953&lt;100,"Medium 25-99",IF(E953&lt;300,"High 100-299","Premium 300+")))</x:f>
        <x:v>Medium 25-99</x:v>
      </x:c>
      <x:c r="Y953" t="n">
        <x:f>IF(C953="Active",1,0)</x:f>
        <x:v>1</x:v>
      </x:c>
    </x:row>
    <x:row r="954">
      <x:c r="A954" t="str">
        <x:v>SKU00953</x:v>
      </x:c>
      <x:c r="B954" t="str">
        <x:v>Sample Product 00953</x:v>
      </x:c>
      <x:c r="C954" t="str">
        <x:v>Active</x:v>
      </x:c>
      <x:c r="D954" t="str">
        <x:v>2026-04</x:v>
      </x:c>
      <x:c r="E954" s="12" t="n">
        <x:v>135.67</x:v>
      </x:c>
      <x:c r="F954" s="10" t="n">
        <x:v>0.413</x:v>
      </x:c>
      <x:c r="G954" t="str">
        <x:v>OTC &amp; Wellness</x:v>
      </x:c>
      <x:c r="H954" t="str">
        <x:v>Vitamins</x:v>
      </x:c>
      <x:c r="I954" t="str">
        <x:v>MFG020</x:v>
      </x:c>
      <x:c r="J954" t="str">
        <x:v>Manufacturer 020</x:v>
      </x:c>
      <x:c r="K954" t="str">
        <x:v>SUP027</x:v>
      </x:c>
      <x:c r="L954" t="str">
        <x:v>Supplier 027</x:v>
      </x:c>
      <x:c r="M954" t="str">
        <x:v>REG-630896</x:v>
      </x:c>
      <x:c r="N954" t="str">
        <x:v>Generic Ingredient 102</x:v>
      </x:c>
      <x:c r="O954" t="str">
        <x:v>General Sale</x:v>
      </x:c>
      <x:c r="P954" t="n">
        <x:v>19</x:v>
      </x:c>
      <x:c r="Q954" t="n">
        <x:v>19</x:v>
      </x:c>
      <x:c r="R954" t="n">
        <x:v>5</x:v>
      </x:c>
      <x:c r="S954" s="12" t="n">
        <x:f>E954*Q954</x:f>
        <x:v>2577.7299999999996</x:v>
      </x:c>
      <x:c r="T954" s="12" t="n">
        <x:f>ROUND(S954*F954+0.000000001,2)</x:f>
        <x:v>1064.6</x:v>
      </x:c>
      <x:c r="U954" s="12" t="n">
        <x:f>E954*R954</x:f>
        <x:v>678.3499999999999</x:v>
      </x:c>
      <x:c r="V954" t="str">
        <x:f>IF(AND(C954="Active",Q954=0),"Active Zero Sales","Not Zero Sales")</x:f>
        <x:v>Not Zero Sales</x:v>
      </x:c>
      <x:c r="W954" s="12" t="n">
        <x:f>IF(V954="Active Zero Sales",U954,0)</x:f>
        <x:v>0</x:v>
      </x:c>
      <x:c r="X954" t="str">
        <x:f>IF(E954&lt;25,"Low &lt; 25",IF(E954&lt;100,"Medium 25-99",IF(E954&lt;300,"High 100-299","Premium 300+")))</x:f>
        <x:v>High 100-299</x:v>
      </x:c>
      <x:c r="Y954" t="n">
        <x:f>IF(C954="Active",1,0)</x:f>
        <x:v>1</x:v>
      </x:c>
    </x:row>
    <x:row r="955">
      <x:c r="A955" t="str">
        <x:v>SKU00954</x:v>
      </x:c>
      <x:c r="B955" t="str">
        <x:v>Sample Product 00954</x:v>
      </x:c>
      <x:c r="C955" t="str">
        <x:v>Blocked</x:v>
      </x:c>
      <x:c r="D955" t="str">
        <x:v>2026-04</x:v>
      </x:c>
      <x:c r="E955" s="12" t="n">
        <x:v>29.21</x:v>
      </x:c>
      <x:c r="F955" s="10" t="n">
        <x:v>0.362</x:v>
      </x:c>
      <x:c r="G955" t="str">
        <x:v>OTC &amp; Wellness</x:v>
      </x:c>
      <x:c r="H955" t="str">
        <x:v>Vitamins</x:v>
      </x:c>
      <x:c r="I955" t="str">
        <x:v>MFG011</x:v>
      </x:c>
      <x:c r="J955" t="str">
        <x:v>Manufacturer 011</x:v>
      </x:c>
      <x:c r="K955" t="str">
        <x:v>SUP007</x:v>
      </x:c>
      <x:c r="L955" t="str">
        <x:v>Supplier 007</x:v>
      </x:c>
      <x:c r="M955" t="str">
        <x:v>REG-584223</x:v>
      </x:c>
      <x:c r="N955" t="str">
        <x:v>Generic Ingredient 076</x:v>
      </x:c>
      <x:c r="O955" t="str">
        <x:v>General Sale</x:v>
      </x:c>
      <x:c r="P955" t="n">
        <x:v>8</x:v>
      </x:c>
      <x:c r="Q955" t="n">
        <x:v>0</x:v>
      </x:c>
      <x:c r="R955" t="n">
        <x:v>0</x:v>
      </x:c>
      <x:c r="S955" s="12" t="n">
        <x:f>E955*Q955</x:f>
        <x:v>0</x:v>
      </x:c>
      <x:c r="T955" s="12" t="n">
        <x:f>ROUND(S955*F955+0.000000001,2)</x:f>
        <x:v>0</x:v>
      </x:c>
      <x:c r="U955" s="12" t="n">
        <x:f>E955*R955</x:f>
        <x:v>0</x:v>
      </x:c>
      <x:c r="V955" t="str">
        <x:f>IF(AND(C955="Active",Q955=0),"Active Zero Sales","Not Zero Sales")</x:f>
        <x:v>Not Zero Sales</x:v>
      </x:c>
      <x:c r="W955" s="12" t="n">
        <x:f>IF(V955="Active Zero Sales",U955,0)</x:f>
        <x:v>0</x:v>
      </x:c>
      <x:c r="X955" t="str">
        <x:f>IF(E955&lt;25,"Low &lt; 25",IF(E955&lt;100,"Medium 25-99",IF(E955&lt;300,"High 100-299","Premium 300+")))</x:f>
        <x:v>Medium 25-99</x:v>
      </x:c>
      <x:c r="Y955" t="n">
        <x:f>IF(C955="Active",1,0)</x:f>
        <x:v>0</x:v>
      </x:c>
    </x:row>
    <x:row r="956">
      <x:c r="A956" t="str">
        <x:v>SKU00955</x:v>
      </x:c>
      <x:c r="B956" t="str">
        <x:v>Sample Product 00955</x:v>
      </x:c>
      <x:c r="C956" t="str">
        <x:v>Active</x:v>
      </x:c>
      <x:c r="D956" t="str">
        <x:v>2026-04</x:v>
      </x:c>
      <x:c r="E956" s="12" t="n">
        <x:v>47.77</x:v>
      </x:c>
      <x:c r="F956" s="10" t="n">
        <x:v>0.262</x:v>
      </x:c>
      <x:c r="G956" t="str">
        <x:v>Nutrition</x:v>
      </x:c>
      <x:c r="H956" t="str">
        <x:v>Adult Nutrition</x:v>
      </x:c>
      <x:c r="I956" t="str">
        <x:v>MFG014</x:v>
      </x:c>
      <x:c r="J956" t="str">
        <x:v>Manufacturer 014</x:v>
      </x:c>
      <x:c r="K956" t="str">
        <x:v>SUP010</x:v>
      </x:c>
      <x:c r="L956" t="str">
        <x:v>Supplier 010</x:v>
      </x:c>
      <x:c r="M956" t="str">
        <x:v>REG-286328</x:v>
      </x:c>
      <x:c r="N956" t="str">
        <x:v>Generic Ingredient 033</x:v>
      </x:c>
      <x:c r="O956" t="str">
        <x:v>Pharmacy Only</x:v>
      </x:c>
      <x:c r="P956" t="n">
        <x:v>51</x:v>
      </x:c>
      <x:c r="Q956" t="n">
        <x:v>19</x:v>
      </x:c>
      <x:c r="R956" t="n">
        <x:v>0</x:v>
      </x:c>
      <x:c r="S956" s="12" t="n">
        <x:f>E956*Q956</x:f>
        <x:v>907.6300000000001</x:v>
      </x:c>
      <x:c r="T956" s="12" t="n">
        <x:f>ROUND(S956*F956+0.000000001,2)</x:f>
        <x:v>237.8</x:v>
      </x:c>
      <x:c r="U956" s="12" t="n">
        <x:f>E956*R956</x:f>
        <x:v>0</x:v>
      </x:c>
      <x:c r="V956" t="str">
        <x:f>IF(AND(C956="Active",Q956=0),"Active Zero Sales","Not Zero Sales")</x:f>
        <x:v>Not Zero Sales</x:v>
      </x:c>
      <x:c r="W956" s="12" t="n">
        <x:f>IF(V956="Active Zero Sales",U956,0)</x:f>
        <x:v>0</x:v>
      </x:c>
      <x:c r="X956" t="str">
        <x:f>IF(E956&lt;25,"Low &lt; 25",IF(E956&lt;100,"Medium 25-99",IF(E956&lt;300,"High 100-299","Premium 300+")))</x:f>
        <x:v>Medium 25-99</x:v>
      </x:c>
      <x:c r="Y956" t="n">
        <x:f>IF(C956="Active",1,0)</x:f>
        <x:v>1</x:v>
      </x:c>
    </x:row>
    <x:row r="957">
      <x:c r="A957" t="str">
        <x:v>SKU00956</x:v>
      </x:c>
      <x:c r="B957" t="str">
        <x:v>Sample Product 00956</x:v>
      </x:c>
      <x:c r="C957" t="str">
        <x:v>Active</x:v>
      </x:c>
      <x:c r="D957" t="str">
        <x:v>2026-01</x:v>
      </x:c>
      <x:c r="E957" s="12" t="n">
        <x:v>152.02</x:v>
      </x:c>
      <x:c r="F957" s="10" t="n">
        <x:v>0.284</x:v>
      </x:c>
      <x:c r="G957" t="str">
        <x:v>Personal Care</x:v>
      </x:c>
      <x:c r="H957" t="str">
        <x:v>Skin Care</x:v>
      </x:c>
      <x:c r="I957" t="str">
        <x:v>MFG013</x:v>
      </x:c>
      <x:c r="J957" t="str">
        <x:v>Manufacturer 013</x:v>
      </x:c>
      <x:c r="K957" t="str">
        <x:v>SUP029</x:v>
      </x:c>
      <x:c r="L957" t="str">
        <x:v>Supplier 029</x:v>
      </x:c>
      <x:c r="M957" t="str">
        <x:v>REG-491307</x:v>
      </x:c>
      <x:c r="N957" t="str">
        <x:v>Generic Ingredient 120</x:v>
      </x:c>
      <x:c r="O957" t="str">
        <x:v>General Sale</x:v>
      </x:c>
      <x:c r="P957" t="n">
        <x:v>85</x:v>
      </x:c>
      <x:c r="Q957" t="n">
        <x:v>32</x:v>
      </x:c>
      <x:c r="R957" t="n">
        <x:v>25</x:v>
      </x:c>
      <x:c r="S957" s="12" t="n">
        <x:f>E957*Q957</x:f>
        <x:v>4864.64</x:v>
      </x:c>
      <x:c r="T957" s="12" t="n">
        <x:f>ROUND(S957*F957+0.000000001,2)</x:f>
        <x:v>1381.56</x:v>
      </x:c>
      <x:c r="U957" s="12" t="n">
        <x:f>E957*R957</x:f>
        <x:v>3800.5000000000005</x:v>
      </x:c>
      <x:c r="V957" t="str">
        <x:f>IF(AND(C957="Active",Q957=0),"Active Zero Sales","Not Zero Sales")</x:f>
        <x:v>Not Zero Sales</x:v>
      </x:c>
      <x:c r="W957" s="12" t="n">
        <x:f>IF(V957="Active Zero Sales",U957,0)</x:f>
        <x:v>0</x:v>
      </x:c>
      <x:c r="X957" t="str">
        <x:f>IF(E957&lt;25,"Low &lt; 25",IF(E957&lt;100,"Medium 25-99",IF(E957&lt;300,"High 100-299","Premium 300+")))</x:f>
        <x:v>High 100-299</x:v>
      </x:c>
      <x:c r="Y957" t="n">
        <x:f>IF(C957="Active",1,0)</x:f>
        <x:v>1</x:v>
      </x:c>
    </x:row>
    <x:row r="958">
      <x:c r="A958" t="str">
        <x:v>SKU00957</x:v>
      </x:c>
      <x:c r="B958" t="str">
        <x:v>Sample Product 00957</x:v>
      </x:c>
      <x:c r="C958" t="str">
        <x:v>Blocked</x:v>
      </x:c>
      <x:c r="D958" t="str">
        <x:v>2026-04</x:v>
      </x:c>
      <x:c r="E958" s="12" t="n">
        <x:v>62.71</x:v>
      </x:c>
      <x:c r="F958" s="10" t="n">
        <x:v>0.399</x:v>
      </x:c>
      <x:c r="G958" t="str">
        <x:v>Personal Care</x:v>
      </x:c>
      <x:c r="H958" t="str">
        <x:v>Oral Care</x:v>
      </x:c>
      <x:c r="I958" t="str">
        <x:v>MFG004</x:v>
      </x:c>
      <x:c r="J958" t="str">
        <x:v>Manufacturer 004</x:v>
      </x:c>
      <x:c r="K958" t="str">
        <x:v>SUP006</x:v>
      </x:c>
      <x:c r="L958" t="str">
        <x:v>Supplier 006</x:v>
      </x:c>
      <x:c r="M958" t="str">
        <x:v>REG-708382</x:v>
      </x:c>
      <x:c r="N958" t="str">
        <x:v>Generic Ingredient 177</x:v>
      </x:c>
      <x:c r="O958" t="str">
        <x:v>General Sale</x:v>
      </x:c>
      <x:c r="P958" t="n">
        <x:v>17</x:v>
      </x:c>
      <x:c r="Q958" t="n">
        <x:v>0</x:v>
      </x:c>
      <x:c r="R958" t="n">
        <x:v>0</x:v>
      </x:c>
      <x:c r="S958" s="12" t="n">
        <x:f>E958*Q958</x:f>
        <x:v>0</x:v>
      </x:c>
      <x:c r="T958" s="12" t="n">
        <x:f>ROUND(S958*F958+0.000000001,2)</x:f>
        <x:v>0</x:v>
      </x:c>
      <x:c r="U958" s="12" t="n">
        <x:f>E958*R958</x:f>
        <x:v>0</x:v>
      </x:c>
      <x:c r="V958" t="str">
        <x:f>IF(AND(C958="Active",Q958=0),"Active Zero Sales","Not Zero Sales")</x:f>
        <x:v>Not Zero Sales</x:v>
      </x:c>
      <x:c r="W958" s="12" t="n">
        <x:f>IF(V958="Active Zero Sales",U958,0)</x:f>
        <x:v>0</x:v>
      </x:c>
      <x:c r="X958" t="str">
        <x:f>IF(E958&lt;25,"Low &lt; 25",IF(E958&lt;100,"Medium 25-99",IF(E958&lt;300,"High 100-299","Premium 300+")))</x:f>
        <x:v>Medium 25-99</x:v>
      </x:c>
      <x:c r="Y958" t="n">
        <x:f>IF(C958="Active",1,0)</x:f>
        <x:v>0</x:v>
      </x:c>
    </x:row>
    <x:row r="959">
      <x:c r="A959" t="str">
        <x:v>SKU00958</x:v>
      </x:c>
      <x:c r="B959" t="str">
        <x:v>Sample Product 00958</x:v>
      </x:c>
      <x:c r="C959" t="str">
        <x:v>Active</x:v>
      </x:c>
      <x:c r="D959" t="str">
        <x:v>2026-02</x:v>
      </x:c>
      <x:c r="E959" s="12" t="n">
        <x:v>19.89</x:v>
      </x:c>
      <x:c r="F959" s="10" t="n">
        <x:v>0.382</x:v>
      </x:c>
      <x:c r="G959" t="str">
        <x:v>Personal Care</x:v>
      </x:c>
      <x:c r="H959" t="str">
        <x:v>Skin Care</x:v>
      </x:c>
      <x:c r="I959" t="str">
        <x:v>MFG008</x:v>
      </x:c>
      <x:c r="J959" t="str">
        <x:v>Manufacturer 008</x:v>
      </x:c>
      <x:c r="K959" t="str">
        <x:v>SUP023</x:v>
      </x:c>
      <x:c r="L959" t="str">
        <x:v>Supplier 023</x:v>
      </x:c>
      <x:c r="M959" t="str">
        <x:v>REG-351718</x:v>
      </x:c>
      <x:c r="N959" t="str">
        <x:v>Generic Ingredient 164</x:v>
      </x:c>
      <x:c r="O959" t="str">
        <x:v>General Sale</x:v>
      </x:c>
      <x:c r="P959" t="n">
        <x:v>103</x:v>
      </x:c>
      <x:c r="Q959" t="n">
        <x:v>40</x:v>
      </x:c>
      <x:c r="R959" t="n">
        <x:v>17</x:v>
      </x:c>
      <x:c r="S959" s="12" t="n">
        <x:f>E959*Q959</x:f>
        <x:v>795.6</x:v>
      </x:c>
      <x:c r="T959" s="12" t="n">
        <x:f>ROUND(S959*F959+0.000000001,2)</x:f>
        <x:v>303.92</x:v>
      </x:c>
      <x:c r="U959" s="12" t="n">
        <x:f>E959*R959</x:f>
        <x:v>338.13</x:v>
      </x:c>
      <x:c r="V959" t="str">
        <x:f>IF(AND(C959="Active",Q959=0),"Active Zero Sales","Not Zero Sales")</x:f>
        <x:v>Not Zero Sales</x:v>
      </x:c>
      <x:c r="W959" s="12" t="n">
        <x:f>IF(V959="Active Zero Sales",U959,0)</x:f>
        <x:v>0</x:v>
      </x:c>
      <x:c r="X959" t="str">
        <x:f>IF(E959&lt;25,"Low &lt; 25",IF(E959&lt;100,"Medium 25-99",IF(E959&lt;300,"High 100-299","Premium 300+")))</x:f>
        <x:v>Low &lt; 25</x:v>
      </x:c>
      <x:c r="Y959" t="n">
        <x:f>IF(C959="Active",1,0)</x:f>
        <x:v>1</x:v>
      </x:c>
    </x:row>
    <x:row r="960">
      <x:c r="A960" t="str">
        <x:v>SKU00959</x:v>
      </x:c>
      <x:c r="B960" t="str">
        <x:v>Sample Product 00959</x:v>
      </x:c>
      <x:c r="C960" t="str">
        <x:v>Active</x:v>
      </x:c>
      <x:c r="D960" t="str">
        <x:v>2026-03</x:v>
      </x:c>
      <x:c r="E960" s="12" t="n">
        <x:v>49.51</x:v>
      </x:c>
      <x:c r="F960" s="10" t="n">
        <x:v>0.276</x:v>
      </x:c>
      <x:c r="G960" t="str">
        <x:v>Medical Devices</x:v>
      </x:c>
      <x:c r="H960" t="str">
        <x:v>Mobility Aids</x:v>
      </x:c>
      <x:c r="I960" t="str">
        <x:v>MFG006</x:v>
      </x:c>
      <x:c r="J960" t="str">
        <x:v>Manufacturer 006</x:v>
      </x:c>
      <x:c r="K960" t="str">
        <x:v>SUP011</x:v>
      </x:c>
      <x:c r="L960" t="str">
        <x:v>Supplier 011</x:v>
      </x:c>
      <x:c r="M960" t="str">
        <x:v>REG-560579</x:v>
      </x:c>
      <x:c r="N960" t="str">
        <x:v>Generic Ingredient 128</x:v>
      </x:c>
      <x:c r="O960" t="str">
        <x:v>Pharmacy Only</x:v>
      </x:c>
      <x:c r="P960" t="n">
        <x:v>48</x:v>
      </x:c>
      <x:c r="Q960" t="n">
        <x:v>29</x:v>
      </x:c>
      <x:c r="R960" t="n">
        <x:v>0</x:v>
      </x:c>
      <x:c r="S960" s="12" t="n">
        <x:f>E960*Q960</x:f>
        <x:v>1435.79</x:v>
      </x:c>
      <x:c r="T960" s="12" t="n">
        <x:f>ROUND(S960*F960+0.000000001,2)</x:f>
        <x:v>396.28</x:v>
      </x:c>
      <x:c r="U960" s="12" t="n">
        <x:f>E960*R960</x:f>
        <x:v>0</x:v>
      </x:c>
      <x:c r="V960" t="str">
        <x:f>IF(AND(C960="Active",Q960=0),"Active Zero Sales","Not Zero Sales")</x:f>
        <x:v>Not Zero Sales</x:v>
      </x:c>
      <x:c r="W960" s="12" t="n">
        <x:f>IF(V960="Active Zero Sales",U960,0)</x:f>
        <x:v>0</x:v>
      </x:c>
      <x:c r="X960" t="str">
        <x:f>IF(E960&lt;25,"Low &lt; 25",IF(E960&lt;100,"Medium 25-99",IF(E960&lt;300,"High 100-299","Premium 300+")))</x:f>
        <x:v>Medium 25-99</x:v>
      </x:c>
      <x:c r="Y960" t="n">
        <x:f>IF(C960="Active",1,0)</x:f>
        <x:v>1</x:v>
      </x:c>
    </x:row>
    <x:row r="961">
      <x:c r="A961" t="str">
        <x:v>SKU00960</x:v>
      </x:c>
      <x:c r="B961" t="str">
        <x:v>Sample Product 00960</x:v>
      </x:c>
      <x:c r="C961" t="str">
        <x:v>Active</x:v>
      </x:c>
      <x:c r="D961" t="str">
        <x:v>2026-01</x:v>
      </x:c>
      <x:c r="E961" s="12" t="n">
        <x:v>39.19</x:v>
      </x:c>
      <x:c r="F961" s="10" t="n">
        <x:v>0.335</x:v>
      </x:c>
      <x:c r="G961" t="str">
        <x:v>Personal Care</x:v>
      </x:c>
      <x:c r="H961" t="str">
        <x:v>Oral Care</x:v>
      </x:c>
      <x:c r="I961" t="str">
        <x:v>MFG017</x:v>
      </x:c>
      <x:c r="J961" t="str">
        <x:v>Manufacturer 017</x:v>
      </x:c>
      <x:c r="K961" t="str">
        <x:v>SUP001</x:v>
      </x:c>
      <x:c r="L961" t="str">
        <x:v>Supplier 001</x:v>
      </x:c>
      <x:c r="M961" t="str">
        <x:v>REG-862374</x:v>
      </x:c>
      <x:c r="N961" t="str">
        <x:v>Generic Ingredient 157</x:v>
      </x:c>
      <x:c r="O961" t="str">
        <x:v>General Sale</x:v>
      </x:c>
      <x:c r="P961" t="n">
        <x:v>64</x:v>
      </x:c>
      <x:c r="Q961" t="n">
        <x:v>15</x:v>
      </x:c>
      <x:c r="R961" t="n">
        <x:v>0</x:v>
      </x:c>
      <x:c r="S961" s="12" t="n">
        <x:f>E961*Q961</x:f>
        <x:v>587.8499999999999</x:v>
      </x:c>
      <x:c r="T961" s="12" t="n">
        <x:f>ROUND(S961*F961+0.000000001,2)</x:f>
        <x:v>196.93</x:v>
      </x:c>
      <x:c r="U961" s="12" t="n">
        <x:f>E961*R961</x:f>
        <x:v>0</x:v>
      </x:c>
      <x:c r="V961" t="str">
        <x:f>IF(AND(C961="Active",Q961=0),"Active Zero Sales","Not Zero Sales")</x:f>
        <x:v>Not Zero Sales</x:v>
      </x:c>
      <x:c r="W961" s="12" t="n">
        <x:f>IF(V961="Active Zero Sales",U961,0)</x:f>
        <x:v>0</x:v>
      </x:c>
      <x:c r="X961" t="str">
        <x:f>IF(E961&lt;25,"Low &lt; 25",IF(E961&lt;100,"Medium 25-99",IF(E961&lt;300,"High 100-299","Premium 300+")))</x:f>
        <x:v>Medium 25-99</x:v>
      </x:c>
      <x:c r="Y961" t="n">
        <x:f>IF(C961="Active",1,0)</x:f>
        <x:v>1</x:v>
      </x:c>
    </x:row>
    <x:row r="962">
      <x:c r="A962" t="str">
        <x:v>SKU00961</x:v>
      </x:c>
      <x:c r="B962" t="str">
        <x:v>Sample Product 00961</x:v>
      </x:c>
      <x:c r="C962" t="str">
        <x:v>Active</x:v>
      </x:c>
      <x:c r="D962" t="str">
        <x:v>2026-02</x:v>
      </x:c>
      <x:c r="E962" s="12" t="n">
        <x:v>290.81</x:v>
      </x:c>
      <x:c r="F962" s="10" t="n">
        <x:v>0.516</x:v>
      </x:c>
      <x:c r="G962" t="str">
        <x:v>Personal Care</x:v>
      </x:c>
      <x:c r="H962" t="str">
        <x:v>Oral Care</x:v>
      </x:c>
      <x:c r="I962" t="str">
        <x:v>MFG009</x:v>
      </x:c>
      <x:c r="J962" t="str">
        <x:v>Manufacturer 009</x:v>
      </x:c>
      <x:c r="K962" t="str">
        <x:v>SUP007</x:v>
      </x:c>
      <x:c r="L962" t="str">
        <x:v>Supplier 007</x:v>
      </x:c>
      <x:c r="M962" t="str">
        <x:v>REG-346582</x:v>
      </x:c>
      <x:c r="N962" t="str">
        <x:v>Generic Ingredient 098</x:v>
      </x:c>
      <x:c r="O962" t="str">
        <x:v>General Sale</x:v>
      </x:c>
      <x:c r="P962" t="n">
        <x:v>110</x:v>
      </x:c>
      <x:c r="Q962" t="n">
        <x:v>49</x:v>
      </x:c>
      <x:c r="R962" t="n">
        <x:v>15</x:v>
      </x:c>
      <x:c r="S962" s="12" t="n">
        <x:f>E962*Q962</x:f>
        <x:v>14249.69</x:v>
      </x:c>
      <x:c r="T962" s="12" t="n">
        <x:f>ROUND(S962*F962+0.000000001,2)</x:f>
        <x:v>7352.84</x:v>
      </x:c>
      <x:c r="U962" s="12" t="n">
        <x:f>E962*R962</x:f>
        <x:v>4362.15</x:v>
      </x:c>
      <x:c r="V962" t="str">
        <x:f>IF(AND(C962="Active",Q962=0),"Active Zero Sales","Not Zero Sales")</x:f>
        <x:v>Not Zero Sales</x:v>
      </x:c>
      <x:c r="W962" s="12" t="n">
        <x:f>IF(V962="Active Zero Sales",U962,0)</x:f>
        <x:v>0</x:v>
      </x:c>
      <x:c r="X962" t="str">
        <x:f>IF(E962&lt;25,"Low &lt; 25",IF(E962&lt;100,"Medium 25-99",IF(E962&lt;300,"High 100-299","Premium 300+")))</x:f>
        <x:v>High 100-299</x:v>
      </x:c>
      <x:c r="Y962" t="n">
        <x:f>IF(C962="Active",1,0)</x:f>
        <x:v>1</x:v>
      </x:c>
    </x:row>
    <x:row r="963">
      <x:c r="A963" t="str">
        <x:v>SKU00962</x:v>
      </x:c>
      <x:c r="B963" t="str">
        <x:v>Sample Product 00962</x:v>
      </x:c>
      <x:c r="C963" t="str">
        <x:v>Active</x:v>
      </x:c>
      <x:c r="D963" t="str">
        <x:v>2026-06</x:v>
      </x:c>
      <x:c r="E963" s="12" t="n">
        <x:v>122.68</x:v>
      </x:c>
      <x:c r="F963" s="10" t="n">
        <x:v>0.443</x:v>
      </x:c>
      <x:c r="G963" t="str">
        <x:v>Personal Care</x:v>
      </x:c>
      <x:c r="H963" t="str">
        <x:v>Skin Care</x:v>
      </x:c>
      <x:c r="I963" t="str">
        <x:v>MFG018</x:v>
      </x:c>
      <x:c r="J963" t="str">
        <x:v>Manufacturer 018</x:v>
      </x:c>
      <x:c r="K963" t="str">
        <x:v>SUP007</x:v>
      </x:c>
      <x:c r="L963" t="str">
        <x:v>Supplier 007</x:v>
      </x:c>
      <x:c r="M963" t="str">
        <x:v>REG-902229</x:v>
      </x:c>
      <x:c r="N963" t="str">
        <x:v>Generic Ingredient 161</x:v>
      </x:c>
      <x:c r="O963" t="str">
        <x:v>General Sale</x:v>
      </x:c>
      <x:c r="P963" t="n">
        <x:v>31</x:v>
      </x:c>
      <x:c r="Q963" t="n">
        <x:v>12</x:v>
      </x:c>
      <x:c r="R963" t="n">
        <x:v>11</x:v>
      </x:c>
      <x:c r="S963" s="12" t="n">
        <x:f>E963*Q963</x:f>
        <x:v>1472.16</x:v>
      </x:c>
      <x:c r="T963" s="12" t="n">
        <x:f>ROUND(S963*F963+0.000000001,2)</x:f>
        <x:v>652.17</x:v>
      </x:c>
      <x:c r="U963" s="12" t="n">
        <x:f>E963*R963</x:f>
        <x:v>1349.48</x:v>
      </x:c>
      <x:c r="V963" t="str">
        <x:f>IF(AND(C963="Active",Q963=0),"Active Zero Sales","Not Zero Sales")</x:f>
        <x:v>Not Zero Sales</x:v>
      </x:c>
      <x:c r="W963" s="12" t="n">
        <x:f>IF(V963="Active Zero Sales",U963,0)</x:f>
        <x:v>0</x:v>
      </x:c>
      <x:c r="X963" t="str">
        <x:f>IF(E963&lt;25,"Low &lt; 25",IF(E963&lt;100,"Medium 25-99",IF(E963&lt;300,"High 100-299","Premium 300+")))</x:f>
        <x:v>High 100-299</x:v>
      </x:c>
      <x:c r="Y963" t="n">
        <x:f>IF(C963="Active",1,0)</x:f>
        <x:v>1</x:v>
      </x:c>
    </x:row>
    <x:row r="964">
      <x:c r="A964" t="str">
        <x:v>SKU00963</x:v>
      </x:c>
      <x:c r="B964" t="str">
        <x:v>Sample Product 00963</x:v>
      </x:c>
      <x:c r="C964" t="str">
        <x:v>Active</x:v>
      </x:c>
      <x:c r="D964" t="str">
        <x:v>2026-02</x:v>
      </x:c>
      <x:c r="E964" s="12" t="n">
        <x:v>16.33</x:v>
      </x:c>
      <x:c r="F964" s="10" t="n">
        <x:v>0.4</x:v>
      </x:c>
      <x:c r="G964" t="str">
        <x:v>OTC &amp; Wellness</x:v>
      </x:c>
      <x:c r="H964" t="str">
        <x:v>Vitamins</x:v>
      </x:c>
      <x:c r="I964" t="str">
        <x:v>MFG009</x:v>
      </x:c>
      <x:c r="J964" t="str">
        <x:v>Manufacturer 009</x:v>
      </x:c>
      <x:c r="K964" t="str">
        <x:v>SUP019</x:v>
      </x:c>
      <x:c r="L964" t="str">
        <x:v>Supplier 019</x:v>
      </x:c>
      <x:c r="M964" t="str">
        <x:v>REG-986695</x:v>
      </x:c>
      <x:c r="N964" t="str">
        <x:v>Generic Ingredient 132</x:v>
      </x:c>
      <x:c r="O964" t="str">
        <x:v>General Sale</x:v>
      </x:c>
      <x:c r="P964" t="n">
        <x:v>29</x:v>
      </x:c>
      <x:c r="Q964" t="n">
        <x:v>24</x:v>
      </x:c>
      <x:c r="R964" t="n">
        <x:v>0</x:v>
      </x:c>
      <x:c r="S964" s="12" t="n">
        <x:f>E964*Q964</x:f>
        <x:v>391.91999999999996</x:v>
      </x:c>
      <x:c r="T964" s="12" t="n">
        <x:f>ROUND(S964*F964+0.000000001,2)</x:f>
        <x:v>156.77</x:v>
      </x:c>
      <x:c r="U964" s="12" t="n">
        <x:f>E964*R964</x:f>
        <x:v>0</x:v>
      </x:c>
      <x:c r="V964" t="str">
        <x:f>IF(AND(C964="Active",Q964=0),"Active Zero Sales","Not Zero Sales")</x:f>
        <x:v>Not Zero Sales</x:v>
      </x:c>
      <x:c r="W964" s="12" t="n">
        <x:f>IF(V964="Active Zero Sales",U964,0)</x:f>
        <x:v>0</x:v>
      </x:c>
      <x:c r="X964" t="str">
        <x:f>IF(E964&lt;25,"Low &lt; 25",IF(E964&lt;100,"Medium 25-99",IF(E964&lt;300,"High 100-299","Premium 300+")))</x:f>
        <x:v>Low &lt; 25</x:v>
      </x:c>
      <x:c r="Y964" t="n">
        <x:f>IF(C964="Active",1,0)</x:f>
        <x:v>1</x:v>
      </x:c>
    </x:row>
    <x:row r="965">
      <x:c r="A965" t="str">
        <x:v>SKU00964</x:v>
      </x:c>
      <x:c r="B965" t="str">
        <x:v>Sample Product 00964</x:v>
      </x:c>
      <x:c r="C965" t="str">
        <x:v>Blocked</x:v>
      </x:c>
      <x:c r="D965" t="str">
        <x:v>2026-06</x:v>
      </x:c>
      <x:c r="E965" s="12" t="n">
        <x:v>18.4</x:v>
      </x:c>
      <x:c r="F965" s="10" t="n">
        <x:v>0.195</x:v>
      </x:c>
      <x:c r="G965" t="str">
        <x:v>Medical Devices</x:v>
      </x:c>
      <x:c r="H965" t="str">
        <x:v>Monitoring Supplies</x:v>
      </x:c>
      <x:c r="I965" t="str">
        <x:v>MFG010</x:v>
      </x:c>
      <x:c r="J965" t="str">
        <x:v>Manufacturer 010</x:v>
      </x:c>
      <x:c r="K965" t="str">
        <x:v>SUP030</x:v>
      </x:c>
      <x:c r="L965" t="str">
        <x:v>Supplier 030</x:v>
      </x:c>
      <x:c r="M965" t="str">
        <x:v>REG-449628</x:v>
      </x:c>
      <x:c r="N965" t="str">
        <x:v>Generic Ingredient 165</x:v>
      </x:c>
      <x:c r="O965" t="str">
        <x:v>General Sale</x:v>
      </x:c>
      <x:c r="P965" t="n">
        <x:v>11</x:v>
      </x:c>
      <x:c r="Q965" t="n">
        <x:v>4</x:v>
      </x:c>
      <x:c r="R965" t="n">
        <x:v>0</x:v>
      </x:c>
      <x:c r="S965" s="12" t="n">
        <x:f>E965*Q965</x:f>
        <x:v>73.6</x:v>
      </x:c>
      <x:c r="T965" s="12" t="n">
        <x:f>ROUND(S965*F965+0.000000001,2)</x:f>
        <x:v>14.35</x:v>
      </x:c>
      <x:c r="U965" s="12" t="n">
        <x:f>E965*R965</x:f>
        <x:v>0</x:v>
      </x:c>
      <x:c r="V965" t="str">
        <x:f>IF(AND(C965="Active",Q965=0),"Active Zero Sales","Not Zero Sales")</x:f>
        <x:v>Not Zero Sales</x:v>
      </x:c>
      <x:c r="W965" s="12" t="n">
        <x:f>IF(V965="Active Zero Sales",U965,0)</x:f>
        <x:v>0</x:v>
      </x:c>
      <x:c r="X965" t="str">
        <x:f>IF(E965&lt;25,"Low &lt; 25",IF(E965&lt;100,"Medium 25-99",IF(E965&lt;300,"High 100-299","Premium 300+")))</x:f>
        <x:v>Low &lt; 25</x:v>
      </x:c>
      <x:c r="Y965" t="n">
        <x:f>IF(C965="Active",1,0)</x:f>
        <x:v>0</x:v>
      </x:c>
    </x:row>
    <x:row r="966">
      <x:c r="A966" t="str">
        <x:v>SKU00965</x:v>
      </x:c>
      <x:c r="B966" t="str">
        <x:v>Sample Product 00965</x:v>
      </x:c>
      <x:c r="C966" t="str">
        <x:v>Active</x:v>
      </x:c>
      <x:c r="D966" t="str">
        <x:v>2026-01</x:v>
      </x:c>
      <x:c r="E966" s="12" t="n">
        <x:v>17.68</x:v>
      </x:c>
      <x:c r="F966" s="10" t="n">
        <x:v>0.37</x:v>
      </x:c>
      <x:c r="G966" t="str">
        <x:v>Medical Devices</x:v>
      </x:c>
      <x:c r="H966" t="str">
        <x:v>Home Diagnostics</x:v>
      </x:c>
      <x:c r="I966" t="str">
        <x:v>MFG016</x:v>
      </x:c>
      <x:c r="J966" t="str">
        <x:v>Manufacturer 016</x:v>
      </x:c>
      <x:c r="K966" t="str">
        <x:v>SUP003</x:v>
      </x:c>
      <x:c r="L966" t="str">
        <x:v>Supplier 003</x:v>
      </x:c>
      <x:c r="M966" t="str">
        <x:v>REG-681360</x:v>
      </x:c>
      <x:c r="N966" t="str">
        <x:v>Generic Ingredient 175</x:v>
      </x:c>
      <x:c r="O966" t="str">
        <x:v>General Sale</x:v>
      </x:c>
      <x:c r="P966" t="n">
        <x:v>125</x:v>
      </x:c>
      <x:c r="Q966" t="n">
        <x:v>59</x:v>
      </x:c>
      <x:c r="R966" t="n">
        <x:v>46</x:v>
      </x:c>
      <x:c r="S966" s="12" t="n">
        <x:f>E966*Q966</x:f>
        <x:v>1043.12</x:v>
      </x:c>
      <x:c r="T966" s="12" t="n">
        <x:f>ROUND(S966*F966+0.000000001,2)</x:f>
        <x:v>385.95</x:v>
      </x:c>
      <x:c r="U966" s="12" t="n">
        <x:f>E966*R966</x:f>
        <x:v>813.28</x:v>
      </x:c>
      <x:c r="V966" t="str">
        <x:f>IF(AND(C966="Active",Q966=0),"Active Zero Sales","Not Zero Sales")</x:f>
        <x:v>Not Zero Sales</x:v>
      </x:c>
      <x:c r="W966" s="12" t="n">
        <x:f>IF(V966="Active Zero Sales",U966,0)</x:f>
        <x:v>0</x:v>
      </x:c>
      <x:c r="X966" t="str">
        <x:f>IF(E966&lt;25,"Low &lt; 25",IF(E966&lt;100,"Medium 25-99",IF(E966&lt;300,"High 100-299","Premium 300+")))</x:f>
        <x:v>Low &lt; 25</x:v>
      </x:c>
      <x:c r="Y966" t="n">
        <x:f>IF(C966="Active",1,0)</x:f>
        <x:v>1</x:v>
      </x:c>
    </x:row>
    <x:row r="967">
      <x:c r="A967" t="str">
        <x:v>SKU00966</x:v>
      </x:c>
      <x:c r="B967" t="str">
        <x:v>Sample Product 00966</x:v>
      </x:c>
      <x:c r="C967" t="str">
        <x:v>Blocked</x:v>
      </x:c>
      <x:c r="D967" t="str">
        <x:v>2026-02</x:v>
      </x:c>
      <x:c r="E967" s="12" t="n">
        <x:v>11.23</x:v>
      </x:c>
      <x:c r="F967" s="10" t="n">
        <x:v>0.285</x:v>
      </x:c>
      <x:c r="G967" t="str">
        <x:v>OTC &amp; Wellness</x:v>
      </x:c>
      <x:c r="H967" t="str">
        <x:v>Vitamins</x:v>
      </x:c>
      <x:c r="I967" t="str">
        <x:v>MFG012</x:v>
      </x:c>
      <x:c r="J967" t="str">
        <x:v>Manufacturer 012</x:v>
      </x:c>
      <x:c r="K967" t="str">
        <x:v>SUP023</x:v>
      </x:c>
      <x:c r="L967" t="str">
        <x:v>Supplier 023</x:v>
      </x:c>
      <x:c r="M967" t="str">
        <x:v>REG-137133</x:v>
      </x:c>
      <x:c r="N967" t="str">
        <x:v>Generic Ingredient 090</x:v>
      </x:c>
      <x:c r="O967" t="str">
        <x:v>Pharmacy Only</x:v>
      </x:c>
      <x:c r="P967" t="n">
        <x:v>10</x:v>
      </x:c>
      <x:c r="Q967" t="n">
        <x:v>0</x:v>
      </x:c>
      <x:c r="R967" t="n">
        <x:v>0</x:v>
      </x:c>
      <x:c r="S967" s="12" t="n">
        <x:f>E967*Q967</x:f>
        <x:v>0</x:v>
      </x:c>
      <x:c r="T967" s="12" t="n">
        <x:f>ROUND(S967*F967+0.000000001,2)</x:f>
        <x:v>0</x:v>
      </x:c>
      <x:c r="U967" s="12" t="n">
        <x:f>E967*R967</x:f>
        <x:v>0</x:v>
      </x:c>
      <x:c r="V967" t="str">
        <x:f>IF(AND(C967="Active",Q967=0),"Active Zero Sales","Not Zero Sales")</x:f>
        <x:v>Not Zero Sales</x:v>
      </x:c>
      <x:c r="W967" s="12" t="n">
        <x:f>IF(V967="Active Zero Sales",U967,0)</x:f>
        <x:v>0</x:v>
      </x:c>
      <x:c r="X967" t="str">
        <x:f>IF(E967&lt;25,"Low &lt; 25",IF(E967&lt;100,"Medium 25-99",IF(E967&lt;300,"High 100-299","Premium 300+")))</x:f>
        <x:v>Low &lt; 25</x:v>
      </x:c>
      <x:c r="Y967" t="n">
        <x:f>IF(C967="Active",1,0)</x:f>
        <x:v>0</x:v>
      </x:c>
    </x:row>
    <x:row r="968">
      <x:c r="A968" t="str">
        <x:v>SKU00967</x:v>
      </x:c>
      <x:c r="B968" t="str">
        <x:v>Sample Product 00967</x:v>
      </x:c>
      <x:c r="C968" t="str">
        <x:v>Active</x:v>
      </x:c>
      <x:c r="D968" t="str">
        <x:v>2026-06</x:v>
      </x:c>
      <x:c r="E968" s="12" t="n">
        <x:v>73.2</x:v>
      </x:c>
      <x:c r="F968" s="10" t="n">
        <x:v>0.341</x:v>
      </x:c>
      <x:c r="G968" t="str">
        <x:v>Medical Devices</x:v>
      </x:c>
      <x:c r="H968" t="str">
        <x:v>Mobility Aids</x:v>
      </x:c>
      <x:c r="I968" t="str">
        <x:v>MFG007</x:v>
      </x:c>
      <x:c r="J968" t="str">
        <x:v>Manufacturer 007</x:v>
      </x:c>
      <x:c r="K968" t="str">
        <x:v>SUP011</x:v>
      </x:c>
      <x:c r="L968" t="str">
        <x:v>Supplier 011</x:v>
      </x:c>
      <x:c r="M968" t="str">
        <x:v>REG-525759</x:v>
      </x:c>
      <x:c r="N968" t="str">
        <x:v>Generic Ingredient 116</x:v>
      </x:c>
      <x:c r="O968" t="str">
        <x:v>General Sale</x:v>
      </x:c>
      <x:c r="P968" t="n">
        <x:v>76</x:v>
      </x:c>
      <x:c r="Q968" t="n">
        <x:v>74</x:v>
      </x:c>
      <x:c r="R968" t="n">
        <x:v>10</x:v>
      </x:c>
      <x:c r="S968" s="12" t="n">
        <x:f>E968*Q968</x:f>
        <x:v>5416.8</x:v>
      </x:c>
      <x:c r="T968" s="12" t="n">
        <x:f>ROUND(S968*F968+0.000000001,2)</x:f>
        <x:v>1847.13</x:v>
      </x:c>
      <x:c r="U968" s="12" t="n">
        <x:f>E968*R968</x:f>
        <x:v>732</x:v>
      </x:c>
      <x:c r="V968" t="str">
        <x:f>IF(AND(C968="Active",Q968=0),"Active Zero Sales","Not Zero Sales")</x:f>
        <x:v>Not Zero Sales</x:v>
      </x:c>
      <x:c r="W968" s="12" t="n">
        <x:f>IF(V968="Active Zero Sales",U968,0)</x:f>
        <x:v>0</x:v>
      </x:c>
      <x:c r="X968" t="str">
        <x:f>IF(E968&lt;25,"Low &lt; 25",IF(E968&lt;100,"Medium 25-99",IF(E968&lt;300,"High 100-299","Premium 300+")))</x:f>
        <x:v>Medium 25-99</x:v>
      </x:c>
      <x:c r="Y968" t="n">
        <x:f>IF(C968="Active",1,0)</x:f>
        <x:v>1</x:v>
      </x:c>
    </x:row>
    <x:row r="969">
      <x:c r="A969" t="str">
        <x:v>SKU00968</x:v>
      </x:c>
      <x:c r="B969" t="str">
        <x:v>Sample Product 00968</x:v>
      </x:c>
      <x:c r="C969" t="str">
        <x:v>Blocked</x:v>
      </x:c>
      <x:c r="D969" t="str">
        <x:v>2026-03</x:v>
      </x:c>
      <x:c r="E969" s="12" t="n">
        <x:v>22.75</x:v>
      </x:c>
      <x:c r="F969" s="10" t="n">
        <x:v>0.279</x:v>
      </x:c>
      <x:c r="G969" t="str">
        <x:v>Nutrition</x:v>
      </x:c>
      <x:c r="H969" t="str">
        <x:v>Healthy Snacks</x:v>
      </x:c>
      <x:c r="I969" t="str">
        <x:v>MFG007</x:v>
      </x:c>
      <x:c r="J969" t="str">
        <x:v>Manufacturer 007</x:v>
      </x:c>
      <x:c r="K969" t="str">
        <x:v>SUP011</x:v>
      </x:c>
      <x:c r="L969" t="str">
        <x:v>Supplier 011</x:v>
      </x:c>
      <x:c r="M969" t="str">
        <x:v>REG-855488</x:v>
      </x:c>
      <x:c r="N969" t="str">
        <x:v>Generic Ingredient 036</x:v>
      </x:c>
      <x:c r="O969" t="str">
        <x:v>Pharmacy Only</x:v>
      </x:c>
      <x:c r="P969" t="n">
        <x:v>34</x:v>
      </x:c>
      <x:c r="Q969" t="n">
        <x:v>0</x:v>
      </x:c>
      <x:c r="R969" t="n">
        <x:v>0</x:v>
      </x:c>
      <x:c r="S969" s="12" t="n">
        <x:f>E969*Q969</x:f>
        <x:v>0</x:v>
      </x:c>
      <x:c r="T969" s="12" t="n">
        <x:f>ROUND(S969*F969+0.000000001,2)</x:f>
        <x:v>0</x:v>
      </x:c>
      <x:c r="U969" s="12" t="n">
        <x:f>E969*R969</x:f>
        <x:v>0</x:v>
      </x:c>
      <x:c r="V969" t="str">
        <x:f>IF(AND(C969="Active",Q969=0),"Active Zero Sales","Not Zero Sales")</x:f>
        <x:v>Not Zero Sales</x:v>
      </x:c>
      <x:c r="W969" s="12" t="n">
        <x:f>IF(V969="Active Zero Sales",U969,0)</x:f>
        <x:v>0</x:v>
      </x:c>
      <x:c r="X969" t="str">
        <x:f>IF(E969&lt;25,"Low &lt; 25",IF(E969&lt;100,"Medium 25-99",IF(E969&lt;300,"High 100-299","Premium 300+")))</x:f>
        <x:v>Low &lt; 25</x:v>
      </x:c>
      <x:c r="Y969" t="n">
        <x:f>IF(C969="Active",1,0)</x:f>
        <x:v>0</x:v>
      </x:c>
    </x:row>
    <x:row r="970">
      <x:c r="A970" t="str">
        <x:v>SKU00969</x:v>
      </x:c>
      <x:c r="B970" t="str">
        <x:v>Sample Product 00969</x:v>
      </x:c>
      <x:c r="C970" t="str">
        <x:v>Active</x:v>
      </x:c>
      <x:c r="D970" t="str">
        <x:v>2026-01</x:v>
      </x:c>
      <x:c r="E970" s="12" t="n">
        <x:v>8.05</x:v>
      </x:c>
      <x:c r="F970" s="10" t="n">
        <x:v>0.464</x:v>
      </x:c>
      <x:c r="G970" t="str">
        <x:v>OTC &amp; Wellness</x:v>
      </x:c>
      <x:c r="H970" t="str">
        <x:v>Digestive Care</x:v>
      </x:c>
      <x:c r="I970" t="str">
        <x:v>MFG007</x:v>
      </x:c>
      <x:c r="J970" t="str">
        <x:v>Manufacturer 007</x:v>
      </x:c>
      <x:c r="K970" t="str">
        <x:v>SUP017</x:v>
      </x:c>
      <x:c r="L970" t="str">
        <x:v>Supplier 017</x:v>
      </x:c>
      <x:c r="M970" t="str">
        <x:v>REG-242826</x:v>
      </x:c>
      <x:c r="N970" t="str">
        <x:v>Generic Ingredient 100</x:v>
      </x:c>
      <x:c r="O970" t="str">
        <x:v>General Sale</x:v>
      </x:c>
      <x:c r="P970" t="n">
        <x:v>74</x:v>
      </x:c>
      <x:c r="Q970" t="n">
        <x:v>0</x:v>
      </x:c>
      <x:c r="R970" t="n">
        <x:v>29</x:v>
      </x:c>
      <x:c r="S970" s="12" t="n">
        <x:f>E970*Q970</x:f>
        <x:v>0</x:v>
      </x:c>
      <x:c r="T970" s="12" t="n">
        <x:f>ROUND(S970*F970+0.000000001,2)</x:f>
        <x:v>0</x:v>
      </x:c>
      <x:c r="U970" s="12" t="n">
        <x:f>E970*R970</x:f>
        <x:v>233.45000000000002</x:v>
      </x:c>
      <x:c r="V970" t="str">
        <x:f>IF(AND(C970="Active",Q970=0),"Active Zero Sales","Not Zero Sales")</x:f>
        <x:v>Active Zero Sales</x:v>
      </x:c>
      <x:c r="W970" s="12" t="n">
        <x:f>IF(V970="Active Zero Sales",U970,0)</x:f>
        <x:v>233.45000000000002</x:v>
      </x:c>
      <x:c r="X970" t="str">
        <x:f>IF(E970&lt;25,"Low &lt; 25",IF(E970&lt;100,"Medium 25-99",IF(E970&lt;300,"High 100-299","Premium 300+")))</x:f>
        <x:v>Low &lt; 25</x:v>
      </x:c>
      <x:c r="Y970" t="n">
        <x:f>IF(C970="Active",1,0)</x:f>
        <x:v>1</x:v>
      </x:c>
    </x:row>
    <x:row r="971">
      <x:c r="A971" t="str">
        <x:v>SKU00970</x:v>
      </x:c>
      <x:c r="B971" t="str">
        <x:v>Sample Product 00970</x:v>
      </x:c>
      <x:c r="C971" t="str">
        <x:v>Active</x:v>
      </x:c>
      <x:c r="D971" t="str">
        <x:v>2026-01</x:v>
      </x:c>
      <x:c r="E971" s="12" t="n">
        <x:v>12.03</x:v>
      </x:c>
      <x:c r="F971" s="10" t="n">
        <x:v>0.414</x:v>
      </x:c>
      <x:c r="G971" t="str">
        <x:v>OTC &amp; Wellness</x:v>
      </x:c>
      <x:c r="H971" t="str">
        <x:v>Digestive Care</x:v>
      </x:c>
      <x:c r="I971" t="str">
        <x:v>MFG007</x:v>
      </x:c>
      <x:c r="J971" t="str">
        <x:v>Manufacturer 007</x:v>
      </x:c>
      <x:c r="K971" t="str">
        <x:v>SUP002</x:v>
      </x:c>
      <x:c r="L971" t="str">
        <x:v>Supplier 002</x:v>
      </x:c>
      <x:c r="M971" t="str">
        <x:v>REG-314395</x:v>
      </x:c>
      <x:c r="N971" t="str">
        <x:v>Generic Ingredient 004</x:v>
      </x:c>
      <x:c r="O971" t="str">
        <x:v>Pharmacy Only</x:v>
      </x:c>
      <x:c r="P971" t="n">
        <x:v>65</x:v>
      </x:c>
      <x:c r="Q971" t="n">
        <x:v>15</x:v>
      </x:c>
      <x:c r="R971" t="n">
        <x:v>18</x:v>
      </x:c>
      <x:c r="S971" s="12" t="n">
        <x:f>E971*Q971</x:f>
        <x:v>180.45</x:v>
      </x:c>
      <x:c r="T971" s="12" t="n">
        <x:f>ROUND(S971*F971+0.000000001,2)</x:f>
        <x:v>74.71</x:v>
      </x:c>
      <x:c r="U971" s="12" t="n">
        <x:f>E971*R971</x:f>
        <x:v>216.54</x:v>
      </x:c>
      <x:c r="V971" t="str">
        <x:f>IF(AND(C971="Active",Q971=0),"Active Zero Sales","Not Zero Sales")</x:f>
        <x:v>Not Zero Sales</x:v>
      </x:c>
      <x:c r="W971" s="12" t="n">
        <x:f>IF(V971="Active Zero Sales",U971,0)</x:f>
        <x:v>0</x:v>
      </x:c>
      <x:c r="X971" t="str">
        <x:f>IF(E971&lt;25,"Low &lt; 25",IF(E971&lt;100,"Medium 25-99",IF(E971&lt;300,"High 100-299","Premium 300+")))</x:f>
        <x:v>Low &lt; 25</x:v>
      </x:c>
      <x:c r="Y971" t="n">
        <x:f>IF(C971="Active",1,0)</x:f>
        <x:v>1</x:v>
      </x:c>
    </x:row>
    <x:row r="972">
      <x:c r="A972" t="str">
        <x:v>SKU00971</x:v>
      </x:c>
      <x:c r="B972" t="str">
        <x:v>Sample Product 00971</x:v>
      </x:c>
      <x:c r="C972" t="str">
        <x:v>Active</x:v>
      </x:c>
      <x:c r="D972" t="str">
        <x:v>2026-06</x:v>
      </x:c>
      <x:c r="E972" s="12" t="n">
        <x:v>63.13</x:v>
      </x:c>
      <x:c r="F972" s="10" t="n">
        <x:v>0.265</x:v>
      </x:c>
      <x:c r="G972" t="str">
        <x:v>OTC &amp; Wellness</x:v>
      </x:c>
      <x:c r="H972" t="str">
        <x:v>Pain Relief</x:v>
      </x:c>
      <x:c r="I972" t="str">
        <x:v>MFG007</x:v>
      </x:c>
      <x:c r="J972" t="str">
        <x:v>Manufacturer 007</x:v>
      </x:c>
      <x:c r="K972" t="str">
        <x:v>SUP021</x:v>
      </x:c>
      <x:c r="L972" t="str">
        <x:v>Supplier 021</x:v>
      </x:c>
      <x:c r="M972" t="str">
        <x:v>REG-293223</x:v>
      </x:c>
      <x:c r="N972" t="str">
        <x:v>Generic Ingredient 063</x:v>
      </x:c>
      <x:c r="O972" t="str">
        <x:v>General Sale</x:v>
      </x:c>
      <x:c r="P972" t="n">
        <x:v>81</x:v>
      </x:c>
      <x:c r="Q972" t="n">
        <x:v>20</x:v>
      </x:c>
      <x:c r="R972" t="n">
        <x:v>13</x:v>
      </x:c>
      <x:c r="S972" s="12" t="n">
        <x:f>E972*Q972</x:f>
        <x:v>1262.6000000000001</x:v>
      </x:c>
      <x:c r="T972" s="12" t="n">
        <x:f>ROUND(S972*F972+0.000000001,2)</x:f>
        <x:v>334.59</x:v>
      </x:c>
      <x:c r="U972" s="12" t="n">
        <x:f>E972*R972</x:f>
        <x:v>820.69</x:v>
      </x:c>
      <x:c r="V972" t="str">
        <x:f>IF(AND(C972="Active",Q972=0),"Active Zero Sales","Not Zero Sales")</x:f>
        <x:v>Not Zero Sales</x:v>
      </x:c>
      <x:c r="W972" s="12" t="n">
        <x:f>IF(V972="Active Zero Sales",U972,0)</x:f>
        <x:v>0</x:v>
      </x:c>
      <x:c r="X972" t="str">
        <x:f>IF(E972&lt;25,"Low &lt; 25",IF(E972&lt;100,"Medium 25-99",IF(E972&lt;300,"High 100-299","Premium 300+")))</x:f>
        <x:v>Medium 25-99</x:v>
      </x:c>
      <x:c r="Y972" t="n">
        <x:f>IF(C972="Active",1,0)</x:f>
        <x:v>1</x:v>
      </x:c>
    </x:row>
    <x:row r="973">
      <x:c r="A973" t="str">
        <x:v>SKU00972</x:v>
      </x:c>
      <x:c r="B973" t="str">
        <x:v>Sample Product 00972</x:v>
      </x:c>
      <x:c r="C973" t="str">
        <x:v>Active</x:v>
      </x:c>
      <x:c r="D973" t="str">
        <x:v>2026-01</x:v>
      </x:c>
      <x:c r="E973" s="12" t="n">
        <x:v>29.96</x:v>
      </x:c>
      <x:c r="F973" s="10" t="n">
        <x:v>0.305</x:v>
      </x:c>
      <x:c r="G973" t="str">
        <x:v>OTC &amp; Wellness</x:v>
      </x:c>
      <x:c r="H973" t="str">
        <x:v>Digestive Care</x:v>
      </x:c>
      <x:c r="I973" t="str">
        <x:v>MFG009</x:v>
      </x:c>
      <x:c r="J973" t="str">
        <x:v>Manufacturer 009</x:v>
      </x:c>
      <x:c r="K973" t="str">
        <x:v>SUP020</x:v>
      </x:c>
      <x:c r="L973" t="str">
        <x:v>Supplier 020</x:v>
      </x:c>
      <x:c r="M973" t="str">
        <x:v>REG-219037</x:v>
      </x:c>
      <x:c r="N973" t="str">
        <x:v>Generic Ingredient 112</x:v>
      </x:c>
      <x:c r="O973" t="str">
        <x:v>General Sale</x:v>
      </x:c>
      <x:c r="P973" t="n">
        <x:v>65</x:v>
      </x:c>
      <x:c r="Q973" t="n">
        <x:v>20</x:v>
      </x:c>
      <x:c r="R973" t="n">
        <x:v>2</x:v>
      </x:c>
      <x:c r="S973" s="12" t="n">
        <x:f>E973*Q973</x:f>
        <x:v>599.2</x:v>
      </x:c>
      <x:c r="T973" s="12" t="n">
        <x:f>ROUND(S973*F973+0.000000001,2)</x:f>
        <x:v>182.76</x:v>
      </x:c>
      <x:c r="U973" s="12" t="n">
        <x:f>E973*R973</x:f>
        <x:v>59.92</x:v>
      </x:c>
      <x:c r="V973" t="str">
        <x:f>IF(AND(C973="Active",Q973=0),"Active Zero Sales","Not Zero Sales")</x:f>
        <x:v>Not Zero Sales</x:v>
      </x:c>
      <x:c r="W973" s="12" t="n">
        <x:f>IF(V973="Active Zero Sales",U973,0)</x:f>
        <x:v>0</x:v>
      </x:c>
      <x:c r="X973" t="str">
        <x:f>IF(E973&lt;25,"Low &lt; 25",IF(E973&lt;100,"Medium 25-99",IF(E973&lt;300,"High 100-299","Premium 300+")))</x:f>
        <x:v>Medium 25-99</x:v>
      </x:c>
      <x:c r="Y973" t="n">
        <x:f>IF(C973="Active",1,0)</x:f>
        <x:v>1</x:v>
      </x:c>
    </x:row>
    <x:row r="974">
      <x:c r="A974" t="str">
        <x:v>SKU00973</x:v>
      </x:c>
      <x:c r="B974" t="str">
        <x:v>Sample Product 00973</x:v>
      </x:c>
      <x:c r="C974" t="str">
        <x:v>Active</x:v>
      </x:c>
      <x:c r="D974" t="str">
        <x:v>2026-04</x:v>
      </x:c>
      <x:c r="E974" s="12" t="n">
        <x:v>295.7</x:v>
      </x:c>
      <x:c r="F974" s="10" t="n">
        <x:v>0.216</x:v>
      </x:c>
      <x:c r="G974" t="str">
        <x:v>Personal Care</x:v>
      </x:c>
      <x:c r="H974" t="str">
        <x:v>Oral Care</x:v>
      </x:c>
      <x:c r="I974" t="str">
        <x:v>MFG003</x:v>
      </x:c>
      <x:c r="J974" t="str">
        <x:v>Manufacturer 003</x:v>
      </x:c>
      <x:c r="K974" t="str">
        <x:v>SUP007</x:v>
      </x:c>
      <x:c r="L974" t="str">
        <x:v>Supplier 007</x:v>
      </x:c>
      <x:c r="M974" t="str">
        <x:v>REG-363894</x:v>
      </x:c>
      <x:c r="N974" t="str">
        <x:v>Generic Ingredient 007</x:v>
      </x:c>
      <x:c r="O974" t="str">
        <x:v>General Sale</x:v>
      </x:c>
      <x:c r="P974" t="n">
        <x:v>14</x:v>
      </x:c>
      <x:c r="Q974" t="n">
        <x:v>6</x:v>
      </x:c>
      <x:c r="R974" t="n">
        <x:v>10</x:v>
      </x:c>
      <x:c r="S974" s="12" t="n">
        <x:f>E974*Q974</x:f>
        <x:v>1774.1999999999998</x:v>
      </x:c>
      <x:c r="T974" s="12" t="n">
        <x:f>ROUND(S974*F974+0.000000001,2)</x:f>
        <x:v>383.23</x:v>
      </x:c>
      <x:c r="U974" s="12" t="n">
        <x:f>E974*R974</x:f>
        <x:v>2957</x:v>
      </x:c>
      <x:c r="V974" t="str">
        <x:f>IF(AND(C974="Active",Q974=0),"Active Zero Sales","Not Zero Sales")</x:f>
        <x:v>Not Zero Sales</x:v>
      </x:c>
      <x:c r="W974" s="12" t="n">
        <x:f>IF(V974="Active Zero Sales",U974,0)</x:f>
        <x:v>0</x:v>
      </x:c>
      <x:c r="X974" t="str">
        <x:f>IF(E974&lt;25,"Low &lt; 25",IF(E974&lt;100,"Medium 25-99",IF(E974&lt;300,"High 100-299","Premium 300+")))</x:f>
        <x:v>High 100-299</x:v>
      </x:c>
      <x:c r="Y974" t="n">
        <x:f>IF(C974="Active",1,0)</x:f>
        <x:v>1</x:v>
      </x:c>
    </x:row>
    <x:row r="975">
      <x:c r="A975" t="str">
        <x:v>SKU00974</x:v>
      </x:c>
      <x:c r="B975" t="str">
        <x:v>Sample Product 00974</x:v>
      </x:c>
      <x:c r="C975" t="str">
        <x:v>Active</x:v>
      </x:c>
      <x:c r="D975" t="str">
        <x:v>2026-06</x:v>
      </x:c>
      <x:c r="E975" s="12" t="n">
        <x:v>14.14</x:v>
      </x:c>
      <x:c r="F975" s="10" t="n">
        <x:v>0.325</x:v>
      </x:c>
      <x:c r="G975" t="str">
        <x:v>General Merchandise</x:v>
      </x:c>
      <x:c r="H975" t="str">
        <x:v>Travel Health</x:v>
      </x:c>
      <x:c r="I975" t="str">
        <x:v>MFG013</x:v>
      </x:c>
      <x:c r="J975" t="str">
        <x:v>Manufacturer 013</x:v>
      </x:c>
      <x:c r="K975" t="str">
        <x:v>SUP019</x:v>
      </x:c>
      <x:c r="L975" t="str">
        <x:v>Supplier 019</x:v>
      </x:c>
      <x:c r="M975" t="str">
        <x:v>REG-777940</x:v>
      </x:c>
      <x:c r="N975" t="str">
        <x:v>Generic Ingredient 156</x:v>
      </x:c>
      <x:c r="O975" t="str">
        <x:v>General Sale</x:v>
      </x:c>
      <x:c r="P975" t="n">
        <x:v>88</x:v>
      </x:c>
      <x:c r="Q975" t="n">
        <x:v>39</x:v>
      </x:c>
      <x:c r="R975" t="n">
        <x:v>15</x:v>
      </x:c>
      <x:c r="S975" s="12" t="n">
        <x:f>E975*Q975</x:f>
        <x:v>551.46</x:v>
      </x:c>
      <x:c r="T975" s="12" t="n">
        <x:f>ROUND(S975*F975+0.000000001,2)</x:f>
        <x:v>179.22</x:v>
      </x:c>
      <x:c r="U975" s="12" t="n">
        <x:f>E975*R975</x:f>
        <x:v>212.10000000000002</x:v>
      </x:c>
      <x:c r="V975" t="str">
        <x:f>IF(AND(C975="Active",Q975=0),"Active Zero Sales","Not Zero Sales")</x:f>
        <x:v>Not Zero Sales</x:v>
      </x:c>
      <x:c r="W975" s="12" t="n">
        <x:f>IF(V975="Active Zero Sales",U975,0)</x:f>
        <x:v>0</x:v>
      </x:c>
      <x:c r="X975" t="str">
        <x:f>IF(E975&lt;25,"Low &lt; 25",IF(E975&lt;100,"Medium 25-99",IF(E975&lt;300,"High 100-299","Premium 300+")))</x:f>
        <x:v>Low &lt; 25</x:v>
      </x:c>
      <x:c r="Y975" t="n">
        <x:f>IF(C975="Active",1,0)</x:f>
        <x:v>1</x:v>
      </x:c>
    </x:row>
    <x:row r="976">
      <x:c r="A976" t="str">
        <x:v>SKU00975</x:v>
      </x:c>
      <x:c r="B976" t="str">
        <x:v>Sample Product 00975</x:v>
      </x:c>
      <x:c r="C976" t="str">
        <x:v>Blocked</x:v>
      </x:c>
      <x:c r="D976" t="str">
        <x:v>2026-06</x:v>
      </x:c>
      <x:c r="E976" s="12" t="n">
        <x:v>18.27</x:v>
      </x:c>
      <x:c r="F976" s="10" t="n">
        <x:v>0.338</x:v>
      </x:c>
      <x:c r="G976" t="str">
        <x:v>Personal Care</x:v>
      </x:c>
      <x:c r="H976" t="str">
        <x:v>Skin Care</x:v>
      </x:c>
      <x:c r="I976" t="str">
        <x:v>MFG006</x:v>
      </x:c>
      <x:c r="J976" t="str">
        <x:v>Manufacturer 006</x:v>
      </x:c>
      <x:c r="K976" t="str">
        <x:v>SUP016</x:v>
      </x:c>
      <x:c r="L976" t="str">
        <x:v>Supplier 016</x:v>
      </x:c>
      <x:c r="M976" t="str">
        <x:v>REG-947685</x:v>
      </x:c>
      <x:c r="N976" t="str">
        <x:v>Generic Ingredient 071</x:v>
      </x:c>
      <x:c r="O976" t="str">
        <x:v>Pharmacy Only</x:v>
      </x:c>
      <x:c r="P976" t="n">
        <x:v>35</x:v>
      </x:c>
      <x:c r="Q976" t="n">
        <x:v>0</x:v>
      </x:c>
      <x:c r="R976" t="n">
        <x:v>0</x:v>
      </x:c>
      <x:c r="S976" s="12" t="n">
        <x:f>E976*Q976</x:f>
        <x:v>0</x:v>
      </x:c>
      <x:c r="T976" s="12" t="n">
        <x:f>ROUND(S976*F976+0.000000001,2)</x:f>
        <x:v>0</x:v>
      </x:c>
      <x:c r="U976" s="12" t="n">
        <x:f>E976*R976</x:f>
        <x:v>0</x:v>
      </x:c>
      <x:c r="V976" t="str">
        <x:f>IF(AND(C976="Active",Q976=0),"Active Zero Sales","Not Zero Sales")</x:f>
        <x:v>Not Zero Sales</x:v>
      </x:c>
      <x:c r="W976" s="12" t="n">
        <x:f>IF(V976="Active Zero Sales",U976,0)</x:f>
        <x:v>0</x:v>
      </x:c>
      <x:c r="X976" t="str">
        <x:f>IF(E976&lt;25,"Low &lt; 25",IF(E976&lt;100,"Medium 25-99",IF(E976&lt;300,"High 100-299","Premium 300+")))</x:f>
        <x:v>Low &lt; 25</x:v>
      </x:c>
      <x:c r="Y976" t="n">
        <x:f>IF(C976="Active",1,0)</x:f>
        <x:v>0</x:v>
      </x:c>
    </x:row>
    <x:row r="977">
      <x:c r="A977" t="str">
        <x:v>SKU00976</x:v>
      </x:c>
      <x:c r="B977" t="str">
        <x:v>Sample Product 00976</x:v>
      </x:c>
      <x:c r="C977" t="str">
        <x:v>Blocked</x:v>
      </x:c>
      <x:c r="D977" t="str">
        <x:v>2026-06</x:v>
      </x:c>
      <x:c r="E977" s="12" t="n">
        <x:v>136.52</x:v>
      </x:c>
      <x:c r="F977" s="10" t="n">
        <x:v>0.205</x:v>
      </x:c>
      <x:c r="G977" t="str">
        <x:v>Medical Devices</x:v>
      </x:c>
      <x:c r="H977" t="str">
        <x:v>Home Diagnostics</x:v>
      </x:c>
      <x:c r="I977" t="str">
        <x:v>MFG007</x:v>
      </x:c>
      <x:c r="J977" t="str">
        <x:v>Manufacturer 007</x:v>
      </x:c>
      <x:c r="K977" t="str">
        <x:v>SUP003</x:v>
      </x:c>
      <x:c r="L977" t="str">
        <x:v>Supplier 003</x:v>
      </x:c>
      <x:c r="M977" t="str">
        <x:v>REG-807501</x:v>
      </x:c>
      <x:c r="N977" t="str">
        <x:v>Generic Ingredient 008</x:v>
      </x:c>
      <x:c r="O977" t="str">
        <x:v>Pharmacy Only</x:v>
      </x:c>
      <x:c r="P977" t="n">
        <x:v>50</x:v>
      </x:c>
      <x:c r="Q977" t="n">
        <x:v>0</x:v>
      </x:c>
      <x:c r="R977" t="n">
        <x:v>0</x:v>
      </x:c>
      <x:c r="S977" s="12" t="n">
        <x:f>E977*Q977</x:f>
        <x:v>0</x:v>
      </x:c>
      <x:c r="T977" s="12" t="n">
        <x:f>ROUND(S977*F977+0.000000001,2)</x:f>
        <x:v>0</x:v>
      </x:c>
      <x:c r="U977" s="12" t="n">
        <x:f>E977*R977</x:f>
        <x:v>0</x:v>
      </x:c>
      <x:c r="V977" t="str">
        <x:f>IF(AND(C977="Active",Q977=0),"Active Zero Sales","Not Zero Sales")</x:f>
        <x:v>Not Zero Sales</x:v>
      </x:c>
      <x:c r="W977" s="12" t="n">
        <x:f>IF(V977="Active Zero Sales",U977,0)</x:f>
        <x:v>0</x:v>
      </x:c>
      <x:c r="X977" t="str">
        <x:f>IF(E977&lt;25,"Low &lt; 25",IF(E977&lt;100,"Medium 25-99",IF(E977&lt;300,"High 100-299","Premium 300+")))</x:f>
        <x:v>High 100-299</x:v>
      </x:c>
      <x:c r="Y977" t="n">
        <x:f>IF(C977="Active",1,0)</x:f>
        <x:v>0</x:v>
      </x:c>
    </x:row>
    <x:row r="978">
      <x:c r="A978" t="str">
        <x:v>SKU00977</x:v>
      </x:c>
      <x:c r="B978" t="str">
        <x:v>Sample Product 00977</x:v>
      </x:c>
      <x:c r="C978" t="str">
        <x:v>Active</x:v>
      </x:c>
      <x:c r="D978" t="str">
        <x:v>2026-06</x:v>
      </x:c>
      <x:c r="E978" s="12" t="n">
        <x:v>60.2</x:v>
      </x:c>
      <x:c r="F978" s="10" t="n">
        <x:v>0.443</x:v>
      </x:c>
      <x:c r="G978" t="str">
        <x:v>Personal Care</x:v>
      </x:c>
      <x:c r="H978" t="str">
        <x:v>Hair Care</x:v>
      </x:c>
      <x:c r="I978" t="str">
        <x:v>MFG008</x:v>
      </x:c>
      <x:c r="J978" t="str">
        <x:v>Manufacturer 008</x:v>
      </x:c>
      <x:c r="K978" t="str">
        <x:v>SUP010</x:v>
      </x:c>
      <x:c r="L978" t="str">
        <x:v>Supplier 010</x:v>
      </x:c>
      <x:c r="M978" t="str">
        <x:v>REG-108214</x:v>
      </x:c>
      <x:c r="N978" t="str">
        <x:v>Generic Ingredient 113</x:v>
      </x:c>
      <x:c r="O978" t="str">
        <x:v>General Sale</x:v>
      </x:c>
      <x:c r="P978" t="n">
        <x:v>76</x:v>
      </x:c>
      <x:c r="Q978" t="n">
        <x:v>31</x:v>
      </x:c>
      <x:c r="R978" t="n">
        <x:v>10</x:v>
      </x:c>
      <x:c r="S978" s="12" t="n">
        <x:f>E978*Q978</x:f>
        <x:v>1866.2</x:v>
      </x:c>
      <x:c r="T978" s="12" t="n">
        <x:f>ROUND(S978*F978+0.000000001,2)</x:f>
        <x:v>826.73</x:v>
      </x:c>
      <x:c r="U978" s="12" t="n">
        <x:f>E978*R978</x:f>
        <x:v>602</x:v>
      </x:c>
      <x:c r="V978" t="str">
        <x:f>IF(AND(C978="Active",Q978=0),"Active Zero Sales","Not Zero Sales")</x:f>
        <x:v>Not Zero Sales</x:v>
      </x:c>
      <x:c r="W978" s="12" t="n">
        <x:f>IF(V978="Active Zero Sales",U978,0)</x:f>
        <x:v>0</x:v>
      </x:c>
      <x:c r="X978" t="str">
        <x:f>IF(E978&lt;25,"Low &lt; 25",IF(E978&lt;100,"Medium 25-99",IF(E978&lt;300,"High 100-299","Premium 300+")))</x:f>
        <x:v>Medium 25-99</x:v>
      </x:c>
      <x:c r="Y978" t="n">
        <x:f>IF(C978="Active",1,0)</x:f>
        <x:v>1</x:v>
      </x:c>
    </x:row>
    <x:row r="979">
      <x:c r="A979" t="str">
        <x:v>SKU00978</x:v>
      </x:c>
      <x:c r="B979" t="str">
        <x:v>Sample Product 00978</x:v>
      </x:c>
      <x:c r="C979" t="str">
        <x:v>Blocked</x:v>
      </x:c>
      <x:c r="D979" t="str">
        <x:v>2026-02</x:v>
      </x:c>
      <x:c r="E979" s="12" t="n">
        <x:v>10.47</x:v>
      </x:c>
      <x:c r="F979" s="10" t="n">
        <x:v>0.204</x:v>
      </x:c>
      <x:c r="G979" t="str">
        <x:v>Medical Devices</x:v>
      </x:c>
      <x:c r="H979" t="str">
        <x:v>Mobility Aids</x:v>
      </x:c>
      <x:c r="I979" t="str">
        <x:v>MFG014</x:v>
      </x:c>
      <x:c r="J979" t="str">
        <x:v>Manufacturer 014</x:v>
      </x:c>
      <x:c r="K979" t="str">
        <x:v>SUP011</x:v>
      </x:c>
      <x:c r="L979" t="str">
        <x:v>Supplier 011</x:v>
      </x:c>
      <x:c r="M979" t="str">
        <x:v>REG-467220</x:v>
      </x:c>
      <x:c r="N979" t="str">
        <x:v>Generic Ingredient 104</x:v>
      </x:c>
      <x:c r="O979" t="str">
        <x:v>Pharmacy Only</x:v>
      </x:c>
      <x:c r="P979" t="n">
        <x:v>20</x:v>
      </x:c>
      <x:c r="Q979" t="n">
        <x:v>0</x:v>
      </x:c>
      <x:c r="R979" t="n">
        <x:v>11</x:v>
      </x:c>
      <x:c r="S979" s="12" t="n">
        <x:f>E979*Q979</x:f>
        <x:v>0</x:v>
      </x:c>
      <x:c r="T979" s="12" t="n">
        <x:f>ROUND(S979*F979+0.000000001,2)</x:f>
        <x:v>0</x:v>
      </x:c>
      <x:c r="U979" s="12" t="n">
        <x:f>E979*R979</x:f>
        <x:v>115.17</x:v>
      </x:c>
      <x:c r="V979" t="str">
        <x:f>IF(AND(C979="Active",Q979=0),"Active Zero Sales","Not Zero Sales")</x:f>
        <x:v>Not Zero Sales</x:v>
      </x:c>
      <x:c r="W979" s="12" t="n">
        <x:f>IF(V979="Active Zero Sales",U979,0)</x:f>
        <x:v>0</x:v>
      </x:c>
      <x:c r="X979" t="str">
        <x:f>IF(E979&lt;25,"Low &lt; 25",IF(E979&lt;100,"Medium 25-99",IF(E979&lt;300,"High 100-299","Premium 300+")))</x:f>
        <x:v>Low &lt; 25</x:v>
      </x:c>
      <x:c r="Y979" t="n">
        <x:f>IF(C979="Active",1,0)</x:f>
        <x:v>0</x:v>
      </x:c>
    </x:row>
    <x:row r="980">
      <x:c r="A980" t="str">
        <x:v>SKU00979</x:v>
      </x:c>
      <x:c r="B980" t="str">
        <x:v>Sample Product 00979</x:v>
      </x:c>
      <x:c r="C980" t="str">
        <x:v>Active</x:v>
      </x:c>
      <x:c r="D980" t="str">
        <x:v>2026-03</x:v>
      </x:c>
      <x:c r="E980" s="12" t="n">
        <x:v>31.03</x:v>
      </x:c>
      <x:c r="F980" s="10" t="n">
        <x:v>0.22</x:v>
      </x:c>
      <x:c r="G980" t="str">
        <x:v>Nutrition</x:v>
      </x:c>
      <x:c r="H980" t="str">
        <x:v>Adult Nutrition</x:v>
      </x:c>
      <x:c r="I980" t="str">
        <x:v>MFG008</x:v>
      </x:c>
      <x:c r="J980" t="str">
        <x:v>Manufacturer 008</x:v>
      </x:c>
      <x:c r="K980" t="str">
        <x:v>SUP018</x:v>
      </x:c>
      <x:c r="L980" t="str">
        <x:v>Supplier 018</x:v>
      </x:c>
      <x:c r="M980" t="str">
        <x:v>REG-899191</x:v>
      </x:c>
      <x:c r="N980" t="str">
        <x:v>Generic Ingredient 109</x:v>
      </x:c>
      <x:c r="O980" t="str">
        <x:v>General Sale</x:v>
      </x:c>
      <x:c r="P980" t="n">
        <x:v>34</x:v>
      </x:c>
      <x:c r="Q980" t="n">
        <x:v>8</x:v>
      </x:c>
      <x:c r="R980" t="n">
        <x:v>2</x:v>
      </x:c>
      <x:c r="S980" s="12" t="n">
        <x:f>E980*Q980</x:f>
        <x:v>248.24</x:v>
      </x:c>
      <x:c r="T980" s="12" t="n">
        <x:f>ROUND(S980*F980+0.000000001,2)</x:f>
        <x:v>54.61</x:v>
      </x:c>
      <x:c r="U980" s="12" t="n">
        <x:f>E980*R980</x:f>
        <x:v>62.06</x:v>
      </x:c>
      <x:c r="V980" t="str">
        <x:f>IF(AND(C980="Active",Q980=0),"Active Zero Sales","Not Zero Sales")</x:f>
        <x:v>Not Zero Sales</x:v>
      </x:c>
      <x:c r="W980" s="12" t="n">
        <x:f>IF(V980="Active Zero Sales",U980,0)</x:f>
        <x:v>0</x:v>
      </x:c>
      <x:c r="X980" t="str">
        <x:f>IF(E980&lt;25,"Low &lt; 25",IF(E980&lt;100,"Medium 25-99",IF(E980&lt;300,"High 100-299","Premium 300+")))</x:f>
        <x:v>Medium 25-99</x:v>
      </x:c>
      <x:c r="Y980" t="n">
        <x:f>IF(C980="Active",1,0)</x:f>
        <x:v>1</x:v>
      </x:c>
    </x:row>
    <x:row r="981">
      <x:c r="A981" t="str">
        <x:v>SKU00980</x:v>
      </x:c>
      <x:c r="B981" t="str">
        <x:v>Sample Product 00980</x:v>
      </x:c>
      <x:c r="C981" t="str">
        <x:v>Blocked</x:v>
      </x:c>
      <x:c r="D981" t="str">
        <x:v>2026-02</x:v>
      </x:c>
      <x:c r="E981" s="12" t="n">
        <x:v>48.38</x:v>
      </x:c>
      <x:c r="F981" s="10" t="n">
        <x:v>0.356</x:v>
      </x:c>
      <x:c r="G981" t="str">
        <x:v>Nutrition</x:v>
      </x:c>
      <x:c r="H981" t="str">
        <x:v>Sports Nutrition</x:v>
      </x:c>
      <x:c r="I981" t="str">
        <x:v>MFG008</x:v>
      </x:c>
      <x:c r="J981" t="str">
        <x:v>Manufacturer 008</x:v>
      </x:c>
      <x:c r="K981" t="str">
        <x:v>SUP029</x:v>
      </x:c>
      <x:c r="L981" t="str">
        <x:v>Supplier 029</x:v>
      </x:c>
      <x:c r="M981" t="str">
        <x:v>REG-809873</x:v>
      </x:c>
      <x:c r="N981" t="str">
        <x:v>Generic Ingredient 119</x:v>
      </x:c>
      <x:c r="O981" t="str">
        <x:v>Pharmacy Only</x:v>
      </x:c>
      <x:c r="P981" t="n">
        <x:v>56</x:v>
      </x:c>
      <x:c r="Q981" t="n">
        <x:v>14</x:v>
      </x:c>
      <x:c r="R981" t="n">
        <x:v>0</x:v>
      </x:c>
      <x:c r="S981" s="12" t="n">
        <x:f>E981*Q981</x:f>
        <x:v>677.32</x:v>
      </x:c>
      <x:c r="T981" s="12" t="n">
        <x:f>ROUND(S981*F981+0.000000001,2)</x:f>
        <x:v>241.13</x:v>
      </x:c>
      <x:c r="U981" s="12" t="n">
        <x:f>E981*R981</x:f>
        <x:v>0</x:v>
      </x:c>
      <x:c r="V981" t="str">
        <x:f>IF(AND(C981="Active",Q981=0),"Active Zero Sales","Not Zero Sales")</x:f>
        <x:v>Not Zero Sales</x:v>
      </x:c>
      <x:c r="W981" s="12" t="n">
        <x:f>IF(V981="Active Zero Sales",U981,0)</x:f>
        <x:v>0</x:v>
      </x:c>
      <x:c r="X981" t="str">
        <x:f>IF(E981&lt;25,"Low &lt; 25",IF(E981&lt;100,"Medium 25-99",IF(E981&lt;300,"High 100-299","Premium 300+")))</x:f>
        <x:v>Medium 25-99</x:v>
      </x:c>
      <x:c r="Y981" t="n">
        <x:f>IF(C981="Active",1,0)</x:f>
        <x:v>0</x:v>
      </x:c>
    </x:row>
    <x:row r="982">
      <x:c r="A982" t="str">
        <x:v>SKU00981</x:v>
      </x:c>
      <x:c r="B982" t="str">
        <x:v>Sample Product 00981</x:v>
      </x:c>
      <x:c r="C982" t="str">
        <x:v>Active</x:v>
      </x:c>
      <x:c r="D982" t="str">
        <x:v>2026-01</x:v>
      </x:c>
      <x:c r="E982" s="12" t="n">
        <x:v>290.9</x:v>
      </x:c>
      <x:c r="F982" s="10" t="n">
        <x:v>0.262</x:v>
      </x:c>
      <x:c r="G982" t="str">
        <x:v>Personal Care</x:v>
      </x:c>
      <x:c r="H982" t="str">
        <x:v>Hair Care</x:v>
      </x:c>
      <x:c r="I982" t="str">
        <x:v>MFG014</x:v>
      </x:c>
      <x:c r="J982" t="str">
        <x:v>Manufacturer 014</x:v>
      </x:c>
      <x:c r="K982" t="str">
        <x:v>SUP013</x:v>
      </x:c>
      <x:c r="L982" t="str">
        <x:v>Supplier 013</x:v>
      </x:c>
      <x:c r="M982" t="str">
        <x:v>REG-983380</x:v>
      </x:c>
      <x:c r="N982" t="str">
        <x:v>Generic Ingredient 126</x:v>
      </x:c>
      <x:c r="O982" t="str">
        <x:v>General Sale</x:v>
      </x:c>
      <x:c r="P982" t="n">
        <x:v>107</x:v>
      </x:c>
      <x:c r="Q982" t="n">
        <x:v>60</x:v>
      </x:c>
      <x:c r="R982" t="n">
        <x:v>0</x:v>
      </x:c>
      <x:c r="S982" s="12" t="n">
        <x:f>E982*Q982</x:f>
        <x:v>17454</x:v>
      </x:c>
      <x:c r="T982" s="12" t="n">
        <x:f>ROUND(S982*F982+0.000000001,2)</x:f>
        <x:v>4572.95</x:v>
      </x:c>
      <x:c r="U982" s="12" t="n">
        <x:f>E982*R982</x:f>
        <x:v>0</x:v>
      </x:c>
      <x:c r="V982" t="str">
        <x:f>IF(AND(C982="Active",Q982=0),"Active Zero Sales","Not Zero Sales")</x:f>
        <x:v>Not Zero Sales</x:v>
      </x:c>
      <x:c r="W982" s="12" t="n">
        <x:f>IF(V982="Active Zero Sales",U982,0)</x:f>
        <x:v>0</x:v>
      </x:c>
      <x:c r="X982" t="str">
        <x:f>IF(E982&lt;25,"Low &lt; 25",IF(E982&lt;100,"Medium 25-99",IF(E982&lt;300,"High 100-299","Premium 300+")))</x:f>
        <x:v>High 100-299</x:v>
      </x:c>
      <x:c r="Y982" t="n">
        <x:f>IF(C982="Active",1,0)</x:f>
        <x:v>1</x:v>
      </x:c>
    </x:row>
    <x:row r="983">
      <x:c r="A983" t="str">
        <x:v>SKU00982</x:v>
      </x:c>
      <x:c r="B983" t="str">
        <x:v>Sample Product 00982</x:v>
      </x:c>
      <x:c r="C983" t="str">
        <x:v>Blocked</x:v>
      </x:c>
      <x:c r="D983" t="str">
        <x:v>2026-06</x:v>
      </x:c>
      <x:c r="E983" s="12" t="n">
        <x:v>14.99</x:v>
      </x:c>
      <x:c r="F983" s="10" t="n">
        <x:v>0.294</x:v>
      </x:c>
      <x:c r="G983" t="str">
        <x:v>Medical Devices</x:v>
      </x:c>
      <x:c r="H983" t="str">
        <x:v>Mobility Aids</x:v>
      </x:c>
      <x:c r="I983" t="str">
        <x:v>MFG008</x:v>
      </x:c>
      <x:c r="J983" t="str">
        <x:v>Manufacturer 008</x:v>
      </x:c>
      <x:c r="K983" t="str">
        <x:v>SUP011</x:v>
      </x:c>
      <x:c r="L983" t="str">
        <x:v>Supplier 011</x:v>
      </x:c>
      <x:c r="M983" t="str">
        <x:v>REG-921251</x:v>
      </x:c>
      <x:c r="N983" t="str">
        <x:v>Generic Ingredient 108</x:v>
      </x:c>
      <x:c r="O983" t="str">
        <x:v>Pharmacy Only</x:v>
      </x:c>
      <x:c r="P983" t="n">
        <x:v>26</x:v>
      </x:c>
      <x:c r="Q983" t="n">
        <x:v>0</x:v>
      </x:c>
      <x:c r="R983" t="n">
        <x:v>0</x:v>
      </x:c>
      <x:c r="S983" s="12" t="n">
        <x:f>E983*Q983</x:f>
        <x:v>0</x:v>
      </x:c>
      <x:c r="T983" s="12" t="n">
        <x:f>ROUND(S983*F983+0.000000001,2)</x:f>
        <x:v>0</x:v>
      </x:c>
      <x:c r="U983" s="12" t="n">
        <x:f>E983*R983</x:f>
        <x:v>0</x:v>
      </x:c>
      <x:c r="V983" t="str">
        <x:f>IF(AND(C983="Active",Q983=0),"Active Zero Sales","Not Zero Sales")</x:f>
        <x:v>Not Zero Sales</x:v>
      </x:c>
      <x:c r="W983" s="12" t="n">
        <x:f>IF(V983="Active Zero Sales",U983,0)</x:f>
        <x:v>0</x:v>
      </x:c>
      <x:c r="X983" t="str">
        <x:f>IF(E983&lt;25,"Low &lt; 25",IF(E983&lt;100,"Medium 25-99",IF(E983&lt;300,"High 100-299","Premium 300+")))</x:f>
        <x:v>Low &lt; 25</x:v>
      </x:c>
      <x:c r="Y983" t="n">
        <x:f>IF(C983="Active",1,0)</x:f>
        <x:v>0</x:v>
      </x:c>
    </x:row>
    <x:row r="984">
      <x:c r="A984" t="str">
        <x:v>SKU00983</x:v>
      </x:c>
      <x:c r="B984" t="str">
        <x:v>Sample Product 00983</x:v>
      </x:c>
      <x:c r="C984" t="str">
        <x:v>Active</x:v>
      </x:c>
      <x:c r="D984" t="str">
        <x:v>2026-04</x:v>
      </x:c>
      <x:c r="E984" s="12" t="n">
        <x:v>25.36</x:v>
      </x:c>
      <x:c r="F984" s="10" t="n">
        <x:v>0.269</x:v>
      </x:c>
      <x:c r="G984" t="str">
        <x:v>Medical Devices</x:v>
      </x:c>
      <x:c r="H984" t="str">
        <x:v>Home Diagnostics</x:v>
      </x:c>
      <x:c r="I984" t="str">
        <x:v>MFG016</x:v>
      </x:c>
      <x:c r="J984" t="str">
        <x:v>Manufacturer 016</x:v>
      </x:c>
      <x:c r="K984" t="str">
        <x:v>SUP003</x:v>
      </x:c>
      <x:c r="L984" t="str">
        <x:v>Supplier 003</x:v>
      </x:c>
      <x:c r="M984" t="str">
        <x:v>REG-866732</x:v>
      </x:c>
      <x:c r="N984" t="str">
        <x:v>Generic Ingredient 147</x:v>
      </x:c>
      <x:c r="O984" t="str">
        <x:v>Pharmacy Only</x:v>
      </x:c>
      <x:c r="P984" t="n">
        <x:v>43</x:v>
      </x:c>
      <x:c r="Q984" t="n">
        <x:v>33</x:v>
      </x:c>
      <x:c r="R984" t="n">
        <x:v>5</x:v>
      </x:c>
      <x:c r="S984" s="12" t="n">
        <x:f>E984*Q984</x:f>
        <x:v>836.88</x:v>
      </x:c>
      <x:c r="T984" s="12" t="n">
        <x:f>ROUND(S984*F984+0.000000001,2)</x:f>
        <x:v>225.12</x:v>
      </x:c>
      <x:c r="U984" s="12" t="n">
        <x:f>E984*R984</x:f>
        <x:v>126.8</x:v>
      </x:c>
      <x:c r="V984" t="str">
        <x:f>IF(AND(C984="Active",Q984=0),"Active Zero Sales","Not Zero Sales")</x:f>
        <x:v>Not Zero Sales</x:v>
      </x:c>
      <x:c r="W984" s="12" t="n">
        <x:f>IF(V984="Active Zero Sales",U984,0)</x:f>
        <x:v>0</x:v>
      </x:c>
      <x:c r="X984" t="str">
        <x:f>IF(E984&lt;25,"Low &lt; 25",IF(E984&lt;100,"Medium 25-99",IF(E984&lt;300,"High 100-299","Premium 300+")))</x:f>
        <x:v>Medium 25-99</x:v>
      </x:c>
      <x:c r="Y984" t="n">
        <x:f>IF(C984="Active",1,0)</x:f>
        <x:v>1</x:v>
      </x:c>
    </x:row>
    <x:row r="985">
      <x:c r="A985" t="str">
        <x:v>SKU00984</x:v>
      </x:c>
      <x:c r="B985" t="str">
        <x:v>Sample Product 00984</x:v>
      </x:c>
      <x:c r="C985" t="str">
        <x:v>Active</x:v>
      </x:c>
      <x:c r="D985" t="str">
        <x:v>2026-06</x:v>
      </x:c>
      <x:c r="E985" s="12" t="n">
        <x:v>21.71</x:v>
      </x:c>
      <x:c r="F985" s="10" t="n">
        <x:v>0.305</x:v>
      </x:c>
      <x:c r="G985" t="str">
        <x:v>Nutrition</x:v>
      </x:c>
      <x:c r="H985" t="str">
        <x:v>Healthy Snacks</x:v>
      </x:c>
      <x:c r="I985" t="str">
        <x:v>MFG012</x:v>
      </x:c>
      <x:c r="J985" t="str">
        <x:v>Manufacturer 012</x:v>
      </x:c>
      <x:c r="K985" t="str">
        <x:v>SUP017</x:v>
      </x:c>
      <x:c r="L985" t="str">
        <x:v>Supplier 017</x:v>
      </x:c>
      <x:c r="M985" t="str">
        <x:v>REG-801125</x:v>
      </x:c>
      <x:c r="N985" t="str">
        <x:v>Generic Ingredient 037</x:v>
      </x:c>
      <x:c r="O985" t="str">
        <x:v>General Sale</x:v>
      </x:c>
      <x:c r="P985" t="n">
        <x:v>87</x:v>
      </x:c>
      <x:c r="Q985" t="n">
        <x:v>0</x:v>
      </x:c>
      <x:c r="R985" t="n">
        <x:v>61</x:v>
      </x:c>
      <x:c r="S985" s="12" t="n">
        <x:f>E985*Q985</x:f>
        <x:v>0</x:v>
      </x:c>
      <x:c r="T985" s="12" t="n">
        <x:f>ROUND(S985*F985+0.000000001,2)</x:f>
        <x:v>0</x:v>
      </x:c>
      <x:c r="U985" s="12" t="n">
        <x:f>E985*R985</x:f>
        <x:v>1324.31</x:v>
      </x:c>
      <x:c r="V985" t="str">
        <x:f>IF(AND(C985="Active",Q985=0),"Active Zero Sales","Not Zero Sales")</x:f>
        <x:v>Active Zero Sales</x:v>
      </x:c>
      <x:c r="W985" s="12" t="n">
        <x:f>IF(V985="Active Zero Sales",U985,0)</x:f>
        <x:v>1324.31</x:v>
      </x:c>
      <x:c r="X985" t="str">
        <x:f>IF(E985&lt;25,"Low &lt; 25",IF(E985&lt;100,"Medium 25-99",IF(E985&lt;300,"High 100-299","Premium 300+")))</x:f>
        <x:v>Low &lt; 25</x:v>
      </x:c>
      <x:c r="Y985" t="n">
        <x:f>IF(C985="Active",1,0)</x:f>
        <x:v>1</x:v>
      </x:c>
    </x:row>
    <x:row r="986">
      <x:c r="A986" t="str">
        <x:v>SKU00985</x:v>
      </x:c>
      <x:c r="B986" t="str">
        <x:v>Sample Product 00985</x:v>
      </x:c>
      <x:c r="C986" t="str">
        <x:v>Active</x:v>
      </x:c>
      <x:c r="D986" t="str">
        <x:v>2026-06</x:v>
      </x:c>
      <x:c r="E986" s="12" t="n">
        <x:v>20.24</x:v>
      </x:c>
      <x:c r="F986" s="10" t="n">
        <x:v>0.428</x:v>
      </x:c>
      <x:c r="G986" t="str">
        <x:v>Personal Care</x:v>
      </x:c>
      <x:c r="H986" t="str">
        <x:v>Skin Care</x:v>
      </x:c>
      <x:c r="I986" t="str">
        <x:v>MFG001</x:v>
      </x:c>
      <x:c r="J986" t="str">
        <x:v>Manufacturer 001</x:v>
      </x:c>
      <x:c r="K986" t="str">
        <x:v>SUP018</x:v>
      </x:c>
      <x:c r="L986" t="str">
        <x:v>Supplier 018</x:v>
      </x:c>
      <x:c r="M986" t="str">
        <x:v>REG-254051</x:v>
      </x:c>
      <x:c r="N986" t="str">
        <x:v>Generic Ingredient 144</x:v>
      </x:c>
      <x:c r="O986" t="str">
        <x:v>General Sale</x:v>
      </x:c>
      <x:c r="P986" t="n">
        <x:v>72</x:v>
      </x:c>
      <x:c r="Q986" t="n">
        <x:v>29</x:v>
      </x:c>
      <x:c r="R986" t="n">
        <x:v>5</x:v>
      </x:c>
      <x:c r="S986" s="12" t="n">
        <x:f>E986*Q986</x:f>
        <x:v>586.9599999999999</x:v>
      </x:c>
      <x:c r="T986" s="12" t="n">
        <x:f>ROUND(S986*F986+0.000000001,2)</x:f>
        <x:v>251.22</x:v>
      </x:c>
      <x:c r="U986" s="12" t="n">
        <x:f>E986*R986</x:f>
        <x:v>101.19999999999999</x:v>
      </x:c>
      <x:c r="V986" t="str">
        <x:f>IF(AND(C986="Active",Q986=0),"Active Zero Sales","Not Zero Sales")</x:f>
        <x:v>Not Zero Sales</x:v>
      </x:c>
      <x:c r="W986" s="12" t="n">
        <x:f>IF(V986="Active Zero Sales",U986,0)</x:f>
        <x:v>0</x:v>
      </x:c>
      <x:c r="X986" t="str">
        <x:f>IF(E986&lt;25,"Low &lt; 25",IF(E986&lt;100,"Medium 25-99",IF(E986&lt;300,"High 100-299","Premium 300+")))</x:f>
        <x:v>Low &lt; 25</x:v>
      </x:c>
      <x:c r="Y986" t="n">
        <x:f>IF(C986="Active",1,0)</x:f>
        <x:v>1</x:v>
      </x:c>
    </x:row>
    <x:row r="987">
      <x:c r="A987" t="str">
        <x:v>SKU00986</x:v>
      </x:c>
      <x:c r="B987" t="str">
        <x:v>Sample Product 00986</x:v>
      </x:c>
      <x:c r="C987" t="str">
        <x:v>Active</x:v>
      </x:c>
      <x:c r="D987" t="str">
        <x:v>2026-03</x:v>
      </x:c>
      <x:c r="E987" s="12" t="n">
        <x:v>22.66</x:v>
      </x:c>
      <x:c r="F987" s="10" t="n">
        <x:v>0.206</x:v>
      </x:c>
      <x:c r="G987" t="str">
        <x:v>Nutrition</x:v>
      </x:c>
      <x:c r="H987" t="str">
        <x:v>Sports Nutrition</x:v>
      </x:c>
      <x:c r="I987" t="str">
        <x:v>MFG008</x:v>
      </x:c>
      <x:c r="J987" t="str">
        <x:v>Manufacturer 008</x:v>
      </x:c>
      <x:c r="K987" t="str">
        <x:v>SUP024</x:v>
      </x:c>
      <x:c r="L987" t="str">
        <x:v>Supplier 024</x:v>
      </x:c>
      <x:c r="M987" t="str">
        <x:v>REG-578266</x:v>
      </x:c>
      <x:c r="N987" t="str">
        <x:v>Generic Ingredient 071</x:v>
      </x:c>
      <x:c r="O987" t="str">
        <x:v>Pharmacy Only</x:v>
      </x:c>
      <x:c r="P987" t="n">
        <x:v>60</x:v>
      </x:c>
      <x:c r="Q987" t="n">
        <x:v>33</x:v>
      </x:c>
      <x:c r="R987" t="n">
        <x:v>14</x:v>
      </x:c>
      <x:c r="S987" s="12" t="n">
        <x:f>E987*Q987</x:f>
        <x:v>747.78</x:v>
      </x:c>
      <x:c r="T987" s="12" t="n">
        <x:f>ROUND(S987*F987+0.000000001,2)</x:f>
        <x:v>154.04</x:v>
      </x:c>
      <x:c r="U987" s="12" t="n">
        <x:f>E987*R987</x:f>
        <x:v>317.24</x:v>
      </x:c>
      <x:c r="V987" t="str">
        <x:f>IF(AND(C987="Active",Q987=0),"Active Zero Sales","Not Zero Sales")</x:f>
        <x:v>Not Zero Sales</x:v>
      </x:c>
      <x:c r="W987" s="12" t="n">
        <x:f>IF(V987="Active Zero Sales",U987,0)</x:f>
        <x:v>0</x:v>
      </x:c>
      <x:c r="X987" t="str">
        <x:f>IF(E987&lt;25,"Low &lt; 25",IF(E987&lt;100,"Medium 25-99",IF(E987&lt;300,"High 100-299","Premium 300+")))</x:f>
        <x:v>Low &lt; 25</x:v>
      </x:c>
      <x:c r="Y987" t="n">
        <x:f>IF(C987="Active",1,0)</x:f>
        <x:v>1</x:v>
      </x:c>
    </x:row>
    <x:row r="988">
      <x:c r="A988" t="str">
        <x:v>SKU00987</x:v>
      </x:c>
      <x:c r="B988" t="str">
        <x:v>Sample Product 00987</x:v>
      </x:c>
      <x:c r="C988" t="str">
        <x:v>Blocked</x:v>
      </x:c>
      <x:c r="D988" t="str">
        <x:v>2026-05</x:v>
      </x:c>
      <x:c r="E988" s="12" t="n">
        <x:v>21.85</x:v>
      </x:c>
      <x:c r="F988" s="10" t="n">
        <x:v>0.209</x:v>
      </x:c>
      <x:c r="G988" t="str">
        <x:v>General Merchandise</x:v>
      </x:c>
      <x:c r="H988" t="str">
        <x:v>Baby Essentials</x:v>
      </x:c>
      <x:c r="I988" t="str">
        <x:v>MFG004</x:v>
      </x:c>
      <x:c r="J988" t="str">
        <x:v>Manufacturer 004</x:v>
      </x:c>
      <x:c r="K988" t="str">
        <x:v>SUP027</x:v>
      </x:c>
      <x:c r="L988" t="str">
        <x:v>Supplier 027</x:v>
      </x:c>
      <x:c r="M988" t="str">
        <x:v>REG-311836</x:v>
      </x:c>
      <x:c r="N988" t="str">
        <x:v>Generic Ingredient 162</x:v>
      </x:c>
      <x:c r="O988" t="str">
        <x:v>General Sale</x:v>
      </x:c>
      <x:c r="P988" t="n">
        <x:v>23</x:v>
      </x:c>
      <x:c r="Q988" t="n">
        <x:v>0</x:v>
      </x:c>
      <x:c r="R988" t="n">
        <x:v>0</x:v>
      </x:c>
      <x:c r="S988" s="12" t="n">
        <x:f>E988*Q988</x:f>
        <x:v>0</x:v>
      </x:c>
      <x:c r="T988" s="12" t="n">
        <x:f>ROUND(S988*F988+0.000000001,2)</x:f>
        <x:v>0</x:v>
      </x:c>
      <x:c r="U988" s="12" t="n">
        <x:f>E988*R988</x:f>
        <x:v>0</x:v>
      </x:c>
      <x:c r="V988" t="str">
        <x:f>IF(AND(C988="Active",Q988=0),"Active Zero Sales","Not Zero Sales")</x:f>
        <x:v>Not Zero Sales</x:v>
      </x:c>
      <x:c r="W988" s="12" t="n">
        <x:f>IF(V988="Active Zero Sales",U988,0)</x:f>
        <x:v>0</x:v>
      </x:c>
      <x:c r="X988" t="str">
        <x:f>IF(E988&lt;25,"Low &lt; 25",IF(E988&lt;100,"Medium 25-99",IF(E988&lt;300,"High 100-299","Premium 300+")))</x:f>
        <x:v>Low &lt; 25</x:v>
      </x:c>
      <x:c r="Y988" t="n">
        <x:f>IF(C988="Active",1,0)</x:f>
        <x:v>0</x:v>
      </x:c>
    </x:row>
    <x:row r="989">
      <x:c r="A989" t="str">
        <x:v>SKU00988</x:v>
      </x:c>
      <x:c r="B989" t="str">
        <x:v>Sample Product 00988</x:v>
      </x:c>
      <x:c r="C989" t="str">
        <x:v>Active</x:v>
      </x:c>
      <x:c r="D989" t="str">
        <x:v>2026-03</x:v>
      </x:c>
      <x:c r="E989" s="12" t="n">
        <x:v>93.56</x:v>
      </x:c>
      <x:c r="F989" s="10" t="n">
        <x:v>0.454</x:v>
      </x:c>
      <x:c r="G989" t="str">
        <x:v>Personal Care</x:v>
      </x:c>
      <x:c r="H989" t="str">
        <x:v>Oral Care</x:v>
      </x:c>
      <x:c r="I989" t="str">
        <x:v>MFG016</x:v>
      </x:c>
      <x:c r="J989" t="str">
        <x:v>Manufacturer 016</x:v>
      </x:c>
      <x:c r="K989" t="str">
        <x:v>SUP016</x:v>
      </x:c>
      <x:c r="L989" t="str">
        <x:v>Supplier 016</x:v>
      </x:c>
      <x:c r="M989" t="str">
        <x:v>REG-794150</x:v>
      </x:c>
      <x:c r="N989" t="str">
        <x:v>Generic Ingredient 096</x:v>
      </x:c>
      <x:c r="O989" t="str">
        <x:v>General Sale</x:v>
      </x:c>
      <x:c r="P989" t="n">
        <x:v>143</x:v>
      </x:c>
      <x:c r="Q989" t="n">
        <x:v>100</x:v>
      </x:c>
      <x:c r="R989" t="n">
        <x:v>13</x:v>
      </x:c>
      <x:c r="S989" s="12" t="n">
        <x:f>E989*Q989</x:f>
        <x:v>9356</x:v>
      </x:c>
      <x:c r="T989" s="12" t="n">
        <x:f>ROUND(S989*F989+0.000000001,2)</x:f>
        <x:v>4247.62</x:v>
      </x:c>
      <x:c r="U989" s="12" t="n">
        <x:f>E989*R989</x:f>
        <x:v>1216.28</x:v>
      </x:c>
      <x:c r="V989" t="str">
        <x:f>IF(AND(C989="Active",Q989=0),"Active Zero Sales","Not Zero Sales")</x:f>
        <x:v>Not Zero Sales</x:v>
      </x:c>
      <x:c r="W989" s="12" t="n">
        <x:f>IF(V989="Active Zero Sales",U989,0)</x:f>
        <x:v>0</x:v>
      </x:c>
      <x:c r="X989" t="str">
        <x:f>IF(E989&lt;25,"Low &lt; 25",IF(E989&lt;100,"Medium 25-99",IF(E989&lt;300,"High 100-299","Premium 300+")))</x:f>
        <x:v>Medium 25-99</x:v>
      </x:c>
      <x:c r="Y989" t="n">
        <x:f>IF(C989="Active",1,0)</x:f>
        <x:v>1</x:v>
      </x:c>
    </x:row>
    <x:row r="990">
      <x:c r="A990" t="str">
        <x:v>SKU00989</x:v>
      </x:c>
      <x:c r="B990" t="str">
        <x:v>Sample Product 00989</x:v>
      </x:c>
      <x:c r="C990" t="str">
        <x:v>Blocked</x:v>
      </x:c>
      <x:c r="D990" t="str">
        <x:v>2026-02</x:v>
      </x:c>
      <x:c r="E990" s="12" t="n">
        <x:v>286.63</x:v>
      </x:c>
      <x:c r="F990" s="10" t="n">
        <x:v>0.506</x:v>
      </x:c>
      <x:c r="G990" t="str">
        <x:v>Personal Care</x:v>
      </x:c>
      <x:c r="H990" t="str">
        <x:v>Hair Care</x:v>
      </x:c>
      <x:c r="I990" t="str">
        <x:v>MFG005</x:v>
      </x:c>
      <x:c r="J990" t="str">
        <x:v>Manufacturer 005</x:v>
      </x:c>
      <x:c r="K990" t="str">
        <x:v>SUP019</x:v>
      </x:c>
      <x:c r="L990" t="str">
        <x:v>Supplier 019</x:v>
      </x:c>
      <x:c r="M990" t="str">
        <x:v>REG-444331</x:v>
      </x:c>
      <x:c r="N990" t="str">
        <x:v>Generic Ingredient 133</x:v>
      </x:c>
      <x:c r="O990" t="str">
        <x:v>General Sale</x:v>
      </x:c>
      <x:c r="P990" t="n">
        <x:v>0</x:v>
      </x:c>
      <x:c r="Q990" t="n">
        <x:v>0</x:v>
      </x:c>
      <x:c r="R990" t="n">
        <x:v>0</x:v>
      </x:c>
      <x:c r="S990" s="12" t="n">
        <x:f>E990*Q990</x:f>
        <x:v>0</x:v>
      </x:c>
      <x:c r="T990" s="12" t="n">
        <x:f>ROUND(S990*F990+0.000000001,2)</x:f>
        <x:v>0</x:v>
      </x:c>
      <x:c r="U990" s="12" t="n">
        <x:f>E990*R990</x:f>
        <x:v>0</x:v>
      </x:c>
      <x:c r="V990" t="str">
        <x:f>IF(AND(C990="Active",Q990=0),"Active Zero Sales","Not Zero Sales")</x:f>
        <x:v>Not Zero Sales</x:v>
      </x:c>
      <x:c r="W990" s="12" t="n">
        <x:f>IF(V990="Active Zero Sales",U990,0)</x:f>
        <x:v>0</x:v>
      </x:c>
      <x:c r="X990" t="str">
        <x:f>IF(E990&lt;25,"Low &lt; 25",IF(E990&lt;100,"Medium 25-99",IF(E990&lt;300,"High 100-299","Premium 300+")))</x:f>
        <x:v>High 100-299</x:v>
      </x:c>
      <x:c r="Y990" t="n">
        <x:f>IF(C990="Active",1,0)</x:f>
        <x:v>0</x:v>
      </x:c>
    </x:row>
    <x:row r="991">
      <x:c r="A991" t="str">
        <x:v>SKU00990</x:v>
      </x:c>
      <x:c r="B991" t="str">
        <x:v>Sample Product 00990</x:v>
      </x:c>
      <x:c r="C991" t="str">
        <x:v>Active</x:v>
      </x:c>
      <x:c r="D991" t="str">
        <x:v>2026-01</x:v>
      </x:c>
      <x:c r="E991" s="12" t="n">
        <x:v>36.08</x:v>
      </x:c>
      <x:c r="F991" s="10" t="n">
        <x:v>0.472</x:v>
      </x:c>
      <x:c r="G991" t="str">
        <x:v>General Merchandise</x:v>
      </x:c>
      <x:c r="H991" t="str">
        <x:v>Seasonal Care</x:v>
      </x:c>
      <x:c r="I991" t="str">
        <x:v>MFG004</x:v>
      </x:c>
      <x:c r="J991" t="str">
        <x:v>Manufacturer 004</x:v>
      </x:c>
      <x:c r="K991" t="str">
        <x:v>SUP009</x:v>
      </x:c>
      <x:c r="L991" t="str">
        <x:v>Supplier 009</x:v>
      </x:c>
      <x:c r="M991" t="str">
        <x:v>REG-730523</x:v>
      </x:c>
      <x:c r="N991" t="str">
        <x:v>Generic Ingredient 012</x:v>
      </x:c>
      <x:c r="O991" t="str">
        <x:v>Pharmacy Only</x:v>
      </x:c>
      <x:c r="P991" t="n">
        <x:v>39</x:v>
      </x:c>
      <x:c r="Q991" t="n">
        <x:v>12</x:v>
      </x:c>
      <x:c r="R991" t="n">
        <x:v>13</x:v>
      </x:c>
      <x:c r="S991" s="12" t="n">
        <x:f>E991*Q991</x:f>
        <x:v>432.96</x:v>
      </x:c>
      <x:c r="T991" s="12" t="n">
        <x:f>ROUND(S991*F991+0.000000001,2)</x:f>
        <x:v>204.36</x:v>
      </x:c>
      <x:c r="U991" s="12" t="n">
        <x:f>E991*R991</x:f>
        <x:v>469.03999999999996</x:v>
      </x:c>
      <x:c r="V991" t="str">
        <x:f>IF(AND(C991="Active",Q991=0),"Active Zero Sales","Not Zero Sales")</x:f>
        <x:v>Not Zero Sales</x:v>
      </x:c>
      <x:c r="W991" s="12" t="n">
        <x:f>IF(V991="Active Zero Sales",U991,0)</x:f>
        <x:v>0</x:v>
      </x:c>
      <x:c r="X991" t="str">
        <x:f>IF(E991&lt;25,"Low &lt; 25",IF(E991&lt;100,"Medium 25-99",IF(E991&lt;300,"High 100-299","Premium 300+")))</x:f>
        <x:v>Medium 25-99</x:v>
      </x:c>
      <x:c r="Y991" t="n">
        <x:f>IF(C991="Active",1,0)</x:f>
        <x:v>1</x:v>
      </x:c>
    </x:row>
    <x:row r="992">
      <x:c r="A992" t="str">
        <x:v>SKU00991</x:v>
      </x:c>
      <x:c r="B992" t="str">
        <x:v>Sample Product 00991</x:v>
      </x:c>
      <x:c r="C992" t="str">
        <x:v>Active</x:v>
      </x:c>
      <x:c r="D992" t="str">
        <x:v>2026-03</x:v>
      </x:c>
      <x:c r="E992" s="12" t="n">
        <x:v>70.31</x:v>
      </x:c>
      <x:c r="F992" s="10" t="n">
        <x:v>0.179</x:v>
      </x:c>
      <x:c r="G992" t="str">
        <x:v>Medical Devices</x:v>
      </x:c>
      <x:c r="H992" t="str">
        <x:v>Home Diagnostics</x:v>
      </x:c>
      <x:c r="I992" t="str">
        <x:v>MFG020</x:v>
      </x:c>
      <x:c r="J992" t="str">
        <x:v>Manufacturer 020</x:v>
      </x:c>
      <x:c r="K992" t="str">
        <x:v>SUP003</x:v>
      </x:c>
      <x:c r="L992" t="str">
        <x:v>Supplier 003</x:v>
      </x:c>
      <x:c r="M992" t="str">
        <x:v>REG-601508</x:v>
      </x:c>
      <x:c r="N992" t="str">
        <x:v>Generic Ingredient 075</x:v>
      </x:c>
      <x:c r="O992" t="str">
        <x:v>Pharmacy Only</x:v>
      </x:c>
      <x:c r="P992" t="n">
        <x:v>48</x:v>
      </x:c>
      <x:c r="Q992" t="n">
        <x:v>4</x:v>
      </x:c>
      <x:c r="R992" t="n">
        <x:v>23</x:v>
      </x:c>
      <x:c r="S992" s="12" t="n">
        <x:f>E992*Q992</x:f>
        <x:v>281.24</x:v>
      </x:c>
      <x:c r="T992" s="12" t="n">
        <x:f>ROUND(S992*F992+0.000000001,2)</x:f>
        <x:v>50.34</x:v>
      </x:c>
      <x:c r="U992" s="12" t="n">
        <x:f>E992*R992</x:f>
        <x:v>1617.13</x:v>
      </x:c>
      <x:c r="V992" t="str">
        <x:f>IF(AND(C992="Active",Q992=0),"Active Zero Sales","Not Zero Sales")</x:f>
        <x:v>Not Zero Sales</x:v>
      </x:c>
      <x:c r="W992" s="12" t="n">
        <x:f>IF(V992="Active Zero Sales",U992,0)</x:f>
        <x:v>0</x:v>
      </x:c>
      <x:c r="X992" t="str">
        <x:f>IF(E992&lt;25,"Low &lt; 25",IF(E992&lt;100,"Medium 25-99",IF(E992&lt;300,"High 100-299","Premium 300+")))</x:f>
        <x:v>Medium 25-99</x:v>
      </x:c>
      <x:c r="Y992" t="n">
        <x:f>IF(C992="Active",1,0)</x:f>
        <x:v>1</x:v>
      </x:c>
    </x:row>
    <x:row r="993">
      <x:c r="A993" t="str">
        <x:v>SKU00992</x:v>
      </x:c>
      <x:c r="B993" t="str">
        <x:v>Sample Product 00992</x:v>
      </x:c>
      <x:c r="C993" t="str">
        <x:v>Active</x:v>
      </x:c>
      <x:c r="D993" t="str">
        <x:v>2026-05</x:v>
      </x:c>
      <x:c r="E993" s="12" t="n">
        <x:v>81.8</x:v>
      </x:c>
      <x:c r="F993" s="10" t="n">
        <x:v>0.228</x:v>
      </x:c>
      <x:c r="G993" t="str">
        <x:v>General Merchandise</x:v>
      </x:c>
      <x:c r="H993" t="str">
        <x:v>Travel Health</x:v>
      </x:c>
      <x:c r="I993" t="str">
        <x:v>MFG008</x:v>
      </x:c>
      <x:c r="J993" t="str">
        <x:v>Manufacturer 008</x:v>
      </x:c>
      <x:c r="K993" t="str">
        <x:v>SUP019</x:v>
      </x:c>
      <x:c r="L993" t="str">
        <x:v>Supplier 019</x:v>
      </x:c>
      <x:c r="M993" t="str">
        <x:v>REG-583113</x:v>
      </x:c>
      <x:c r="N993" t="str">
        <x:v>Generic Ingredient 144</x:v>
      </x:c>
      <x:c r="O993" t="str">
        <x:v>General Sale</x:v>
      </x:c>
      <x:c r="P993" t="n">
        <x:v>64</x:v>
      </x:c>
      <x:c r="Q993" t="n">
        <x:v>17</x:v>
      </x:c>
      <x:c r="R993" t="n">
        <x:v>24</x:v>
      </x:c>
      <x:c r="S993" s="12" t="n">
        <x:f>E993*Q993</x:f>
        <x:v>1390.6</x:v>
      </x:c>
      <x:c r="T993" s="12" t="n">
        <x:f>ROUND(S993*F993+0.000000001,2)</x:f>
        <x:v>317.06</x:v>
      </x:c>
      <x:c r="U993" s="12" t="n">
        <x:f>E993*R993</x:f>
        <x:v>1963.1999999999998</x:v>
      </x:c>
      <x:c r="V993" t="str">
        <x:f>IF(AND(C993="Active",Q993=0),"Active Zero Sales","Not Zero Sales")</x:f>
        <x:v>Not Zero Sales</x:v>
      </x:c>
      <x:c r="W993" s="12" t="n">
        <x:f>IF(V993="Active Zero Sales",U993,0)</x:f>
        <x:v>0</x:v>
      </x:c>
      <x:c r="X993" t="str">
        <x:f>IF(E993&lt;25,"Low &lt; 25",IF(E993&lt;100,"Medium 25-99",IF(E993&lt;300,"High 100-299","Premium 300+")))</x:f>
        <x:v>Medium 25-99</x:v>
      </x:c>
      <x:c r="Y993" t="n">
        <x:f>IF(C993="Active",1,0)</x:f>
        <x:v>1</x:v>
      </x:c>
    </x:row>
    <x:row r="994">
      <x:c r="A994" t="str">
        <x:v>SKU00993</x:v>
      </x:c>
      <x:c r="B994" t="str">
        <x:v>Sample Product 00993</x:v>
      </x:c>
      <x:c r="C994" t="str">
        <x:v>Active</x:v>
      </x:c>
      <x:c r="D994" t="str">
        <x:v>2026-04</x:v>
      </x:c>
      <x:c r="E994" s="12" t="n">
        <x:v>28.6</x:v>
      </x:c>
      <x:c r="F994" s="10" t="n">
        <x:v>0.306</x:v>
      </x:c>
      <x:c r="G994" t="str">
        <x:v>Personal Care</x:v>
      </x:c>
      <x:c r="H994" t="str">
        <x:v>Skin Care</x:v>
      </x:c>
      <x:c r="I994" t="str">
        <x:v>MFG018</x:v>
      </x:c>
      <x:c r="J994" t="str">
        <x:v>Manufacturer 018</x:v>
      </x:c>
      <x:c r="K994" t="str">
        <x:v>SUP010</x:v>
      </x:c>
      <x:c r="L994" t="str">
        <x:v>Supplier 010</x:v>
      </x:c>
      <x:c r="M994" t="str">
        <x:v>REG-885906</x:v>
      </x:c>
      <x:c r="N994" t="str">
        <x:v>Generic Ingredient 029</x:v>
      </x:c>
      <x:c r="O994" t="str">
        <x:v>General Sale</x:v>
      </x:c>
      <x:c r="P994" t="n">
        <x:v>123</x:v>
      </x:c>
      <x:c r="Q994" t="n">
        <x:v>59</x:v>
      </x:c>
      <x:c r="R994" t="n">
        <x:v>19</x:v>
      </x:c>
      <x:c r="S994" s="12" t="n">
        <x:f>E994*Q994</x:f>
        <x:v>1687.4</x:v>
      </x:c>
      <x:c r="T994" s="12" t="n">
        <x:f>ROUND(S994*F994+0.000000001,2)</x:f>
        <x:v>516.34</x:v>
      </x:c>
      <x:c r="U994" s="12" t="n">
        <x:f>E994*R994</x:f>
        <x:v>543.4</x:v>
      </x:c>
      <x:c r="V994" t="str">
        <x:f>IF(AND(C994="Active",Q994=0),"Active Zero Sales","Not Zero Sales")</x:f>
        <x:v>Not Zero Sales</x:v>
      </x:c>
      <x:c r="W994" s="12" t="n">
        <x:f>IF(V994="Active Zero Sales",U994,0)</x:f>
        <x:v>0</x:v>
      </x:c>
      <x:c r="X994" t="str">
        <x:f>IF(E994&lt;25,"Low &lt; 25",IF(E994&lt;100,"Medium 25-99",IF(E994&lt;300,"High 100-299","Premium 300+")))</x:f>
        <x:v>Medium 25-99</x:v>
      </x:c>
      <x:c r="Y994" t="n">
        <x:f>IF(C994="Active",1,0)</x:f>
        <x:v>1</x:v>
      </x:c>
    </x:row>
    <x:row r="995">
      <x:c r="A995" t="str">
        <x:v>SKU00994</x:v>
      </x:c>
      <x:c r="B995" t="str">
        <x:v>Sample Product 00994</x:v>
      </x:c>
      <x:c r="C995" t="str">
        <x:v>Active</x:v>
      </x:c>
      <x:c r="D995" t="str">
        <x:v>2026-06</x:v>
      </x:c>
      <x:c r="E995" s="12" t="n">
        <x:v>142.63</x:v>
      </x:c>
      <x:c r="F995" s="10" t="n">
        <x:v>0.371</x:v>
      </x:c>
      <x:c r="G995" t="str">
        <x:v>Personal Care</x:v>
      </x:c>
      <x:c r="H995" t="str">
        <x:v>Hygiene</x:v>
      </x:c>
      <x:c r="I995" t="str">
        <x:v>MFG019</x:v>
      </x:c>
      <x:c r="J995" t="str">
        <x:v>Manufacturer 019</x:v>
      </x:c>
      <x:c r="K995" t="str">
        <x:v>SUP006</x:v>
      </x:c>
      <x:c r="L995" t="str">
        <x:v>Supplier 006</x:v>
      </x:c>
      <x:c r="M995" t="str">
        <x:v>REG-452044</x:v>
      </x:c>
      <x:c r="N995" t="str">
        <x:v>Generic Ingredient 101</x:v>
      </x:c>
      <x:c r="O995" t="str">
        <x:v>General Sale</x:v>
      </x:c>
      <x:c r="P995" t="n">
        <x:v>0</x:v>
      </x:c>
      <x:c r="Q995" t="n">
        <x:v>4</x:v>
      </x:c>
      <x:c r="R995" t="n">
        <x:v>0</x:v>
      </x:c>
      <x:c r="S995" s="12" t="n">
        <x:f>E995*Q995</x:f>
        <x:v>570.52</x:v>
      </x:c>
      <x:c r="T995" s="12" t="n">
        <x:f>ROUND(S995*F995+0.000000001,2)</x:f>
        <x:v>211.66</x:v>
      </x:c>
      <x:c r="U995" s="12" t="n">
        <x:f>E995*R995</x:f>
        <x:v>0</x:v>
      </x:c>
      <x:c r="V995" t="str">
        <x:f>IF(AND(C995="Active",Q995=0),"Active Zero Sales","Not Zero Sales")</x:f>
        <x:v>Not Zero Sales</x:v>
      </x:c>
      <x:c r="W995" s="12" t="n">
        <x:f>IF(V995="Active Zero Sales",U995,0)</x:f>
        <x:v>0</x:v>
      </x:c>
      <x:c r="X995" t="str">
        <x:f>IF(E995&lt;25,"Low &lt; 25",IF(E995&lt;100,"Medium 25-99",IF(E995&lt;300,"High 100-299","Premium 300+")))</x:f>
        <x:v>High 100-299</x:v>
      </x:c>
      <x:c r="Y995" t="n">
        <x:f>IF(C995="Active",1,0)</x:f>
        <x:v>1</x:v>
      </x:c>
    </x:row>
    <x:row r="996">
      <x:c r="A996" t="str">
        <x:v>SKU00995</x:v>
      </x:c>
      <x:c r="B996" t="str">
        <x:v>Sample Product 00995</x:v>
      </x:c>
      <x:c r="C996" t="str">
        <x:v>Active</x:v>
      </x:c>
      <x:c r="D996" t="str">
        <x:v>2026-03</x:v>
      </x:c>
      <x:c r="E996" s="12" t="n">
        <x:v>441.16</x:v>
      </x:c>
      <x:c r="F996" s="10" t="n">
        <x:v>0.265</x:v>
      </x:c>
      <x:c r="G996" t="str">
        <x:v>Medical Devices</x:v>
      </x:c>
      <x:c r="H996" t="str">
        <x:v>Home Diagnostics</x:v>
      </x:c>
      <x:c r="I996" t="str">
        <x:v>MFG006</x:v>
      </x:c>
      <x:c r="J996" t="str">
        <x:v>Manufacturer 006</x:v>
      </x:c>
      <x:c r="K996" t="str">
        <x:v>SUP003</x:v>
      </x:c>
      <x:c r="L996" t="str">
        <x:v>Supplier 003</x:v>
      </x:c>
      <x:c r="M996" t="str">
        <x:v>REG-682266</x:v>
      </x:c>
      <x:c r="N996" t="str">
        <x:v>Generic Ingredient 172</x:v>
      </x:c>
      <x:c r="O996" t="str">
        <x:v>General Sale</x:v>
      </x:c>
      <x:c r="P996" t="n">
        <x:v>41</x:v>
      </x:c>
      <x:c r="Q996" t="n">
        <x:v>7</x:v>
      </x:c>
      <x:c r="R996" t="n">
        <x:v>5</x:v>
      </x:c>
      <x:c r="S996" s="12" t="n">
        <x:f>E996*Q996</x:f>
        <x:v>3088.1200000000003</x:v>
      </x:c>
      <x:c r="T996" s="12" t="n">
        <x:f>ROUND(S996*F996+0.000000001,2)</x:f>
        <x:v>818.35</x:v>
      </x:c>
      <x:c r="U996" s="12" t="n">
        <x:f>E996*R996</x:f>
        <x:v>2205.8</x:v>
      </x:c>
      <x:c r="V996" t="str">
        <x:f>IF(AND(C996="Active",Q996=0),"Active Zero Sales","Not Zero Sales")</x:f>
        <x:v>Not Zero Sales</x:v>
      </x:c>
      <x:c r="W996" s="12" t="n">
        <x:f>IF(V996="Active Zero Sales",U996,0)</x:f>
        <x:v>0</x:v>
      </x:c>
      <x:c r="X996" t="str">
        <x:f>IF(E996&lt;25,"Low &lt; 25",IF(E996&lt;100,"Medium 25-99",IF(E996&lt;300,"High 100-299","Premium 300+")))</x:f>
        <x:v>Premium 300+</x:v>
      </x:c>
      <x:c r="Y996" t="n">
        <x:f>IF(C996="Active",1,0)</x:f>
        <x:v>1</x:v>
      </x:c>
    </x:row>
    <x:row r="997">
      <x:c r="A997" t="str">
        <x:v>SKU00996</x:v>
      </x:c>
      <x:c r="B997" t="str">
        <x:v>Sample Product 00996</x:v>
      </x:c>
      <x:c r="C997" t="str">
        <x:v>Active</x:v>
      </x:c>
      <x:c r="D997" t="str">
        <x:v>2026-01</x:v>
      </x:c>
      <x:c r="E997" s="12" t="n">
        <x:v>156.19</x:v>
      </x:c>
      <x:c r="F997" s="10" t="n">
        <x:v>0.388</x:v>
      </x:c>
      <x:c r="G997" t="str">
        <x:v>General Merchandise</x:v>
      </x:c>
      <x:c r="H997" t="str">
        <x:v>Accessories</x:v>
      </x:c>
      <x:c r="I997" t="str">
        <x:v>MFG013</x:v>
      </x:c>
      <x:c r="J997" t="str">
        <x:v>Manufacturer 013</x:v>
      </x:c>
      <x:c r="K997" t="str">
        <x:v>SUP015</x:v>
      </x:c>
      <x:c r="L997" t="str">
        <x:v>Supplier 015</x:v>
      </x:c>
      <x:c r="M997" t="str">
        <x:v>REG-254205</x:v>
      </x:c>
      <x:c r="N997" t="str">
        <x:v>Generic Ingredient 077</x:v>
      </x:c>
      <x:c r="O997" t="str">
        <x:v>General Sale</x:v>
      </x:c>
      <x:c r="P997" t="n">
        <x:v>8</x:v>
      </x:c>
      <x:c r="Q997" t="n">
        <x:v>6</x:v>
      </x:c>
      <x:c r="R997" t="n">
        <x:v>9</x:v>
      </x:c>
      <x:c r="S997" s="12" t="n">
        <x:f>E997*Q997</x:f>
        <x:v>937.14</x:v>
      </x:c>
      <x:c r="T997" s="12" t="n">
        <x:f>ROUND(S997*F997+0.000000001,2)</x:f>
        <x:v>363.61</x:v>
      </x:c>
      <x:c r="U997" s="12" t="n">
        <x:f>E997*R997</x:f>
        <x:v>1405.71</x:v>
      </x:c>
      <x:c r="V997" t="str">
        <x:f>IF(AND(C997="Active",Q997=0),"Active Zero Sales","Not Zero Sales")</x:f>
        <x:v>Not Zero Sales</x:v>
      </x:c>
      <x:c r="W997" s="12" t="n">
        <x:f>IF(V997="Active Zero Sales",U997,0)</x:f>
        <x:v>0</x:v>
      </x:c>
      <x:c r="X997" t="str">
        <x:f>IF(E997&lt;25,"Low &lt; 25",IF(E997&lt;100,"Medium 25-99",IF(E997&lt;300,"High 100-299","Premium 300+")))</x:f>
        <x:v>High 100-299</x:v>
      </x:c>
      <x:c r="Y997" t="n">
        <x:f>IF(C997="Active",1,0)</x:f>
        <x:v>1</x:v>
      </x:c>
    </x:row>
    <x:row r="998">
      <x:c r="A998" t="str">
        <x:v>SKU00997</x:v>
      </x:c>
      <x:c r="B998" t="str">
        <x:v>Sample Product 00997</x:v>
      </x:c>
      <x:c r="C998" t="str">
        <x:v>Active</x:v>
      </x:c>
      <x:c r="D998" t="str">
        <x:v>2026-05</x:v>
      </x:c>
      <x:c r="E998" s="12" t="n">
        <x:v>86.82</x:v>
      </x:c>
      <x:c r="F998" s="10" t="n">
        <x:v>0.248</x:v>
      </x:c>
      <x:c r="G998" t="str">
        <x:v>Medical Devices</x:v>
      </x:c>
      <x:c r="H998" t="str">
        <x:v>Mobility Aids</x:v>
      </x:c>
      <x:c r="I998" t="str">
        <x:v>MFG015</x:v>
      </x:c>
      <x:c r="J998" t="str">
        <x:v>Manufacturer 015</x:v>
      </x:c>
      <x:c r="K998" t="str">
        <x:v>SUP011</x:v>
      </x:c>
      <x:c r="L998" t="str">
        <x:v>Supplier 011</x:v>
      </x:c>
      <x:c r="M998" t="str">
        <x:v>REG-350125</x:v>
      </x:c>
      <x:c r="N998" t="str">
        <x:v>Generic Ingredient 042</x:v>
      </x:c>
      <x:c r="O998" t="str">
        <x:v>General Sale</x:v>
      </x:c>
      <x:c r="P998" t="n">
        <x:v>30</x:v>
      </x:c>
      <x:c r="Q998" t="n">
        <x:v>9</x:v>
      </x:c>
      <x:c r="R998" t="n">
        <x:v>0</x:v>
      </x:c>
      <x:c r="S998" s="12" t="n">
        <x:f>E998*Q998</x:f>
        <x:v>781.3799999999999</x:v>
      </x:c>
      <x:c r="T998" s="12" t="n">
        <x:f>ROUND(S998*F998+0.000000001,2)</x:f>
        <x:v>193.78</x:v>
      </x:c>
      <x:c r="U998" s="12" t="n">
        <x:f>E998*R998</x:f>
        <x:v>0</x:v>
      </x:c>
      <x:c r="V998" t="str">
        <x:f>IF(AND(C998="Active",Q998=0),"Active Zero Sales","Not Zero Sales")</x:f>
        <x:v>Not Zero Sales</x:v>
      </x:c>
      <x:c r="W998" s="12" t="n">
        <x:f>IF(V998="Active Zero Sales",U998,0)</x:f>
        <x:v>0</x:v>
      </x:c>
      <x:c r="X998" t="str">
        <x:f>IF(E998&lt;25,"Low &lt; 25",IF(E998&lt;100,"Medium 25-99",IF(E998&lt;300,"High 100-299","Premium 300+")))</x:f>
        <x:v>Medium 25-99</x:v>
      </x:c>
      <x:c r="Y998" t="n">
        <x:f>IF(C998="Active",1,0)</x:f>
        <x:v>1</x:v>
      </x:c>
    </x:row>
    <x:row r="999">
      <x:c r="A999" t="str">
        <x:v>SKU00998</x:v>
      </x:c>
      <x:c r="B999" t="str">
        <x:v>Sample Product 00998</x:v>
      </x:c>
      <x:c r="C999" t="str">
        <x:v>Blocked</x:v>
      </x:c>
      <x:c r="D999" t="str">
        <x:v>2026-06</x:v>
      </x:c>
      <x:c r="E999" s="12" t="n">
        <x:v>22.14</x:v>
      </x:c>
      <x:c r="F999" s="10" t="n">
        <x:v>0.414</x:v>
      </x:c>
      <x:c r="G999" t="str">
        <x:v>OTC &amp; Wellness</x:v>
      </x:c>
      <x:c r="H999" t="str">
        <x:v>Vitamins</x:v>
      </x:c>
      <x:c r="I999" t="str">
        <x:v>MFG019</x:v>
      </x:c>
      <x:c r="J999" t="str">
        <x:v>Manufacturer 019</x:v>
      </x:c>
      <x:c r="K999" t="str">
        <x:v>SUP013</x:v>
      </x:c>
      <x:c r="L999" t="str">
        <x:v>Supplier 013</x:v>
      </x:c>
      <x:c r="M999" t="str">
        <x:v>REG-868577</x:v>
      </x:c>
      <x:c r="N999" t="str">
        <x:v>Generic Ingredient 066</x:v>
      </x:c>
      <x:c r="O999" t="str">
        <x:v>General Sale</x:v>
      </x:c>
      <x:c r="P999" t="n">
        <x:v>5</x:v>
      </x:c>
      <x:c r="Q999" t="n">
        <x:v>0</x:v>
      </x:c>
      <x:c r="R999" t="n">
        <x:v>0</x:v>
      </x:c>
      <x:c r="S999" s="12" t="n">
        <x:f>E999*Q999</x:f>
        <x:v>0</x:v>
      </x:c>
      <x:c r="T999" s="12" t="n">
        <x:f>ROUND(S999*F999+0.000000001,2)</x:f>
        <x:v>0</x:v>
      </x:c>
      <x:c r="U999" s="12" t="n">
        <x:f>E999*R999</x:f>
        <x:v>0</x:v>
      </x:c>
      <x:c r="V999" t="str">
        <x:f>IF(AND(C999="Active",Q999=0),"Active Zero Sales","Not Zero Sales")</x:f>
        <x:v>Not Zero Sales</x:v>
      </x:c>
      <x:c r="W999" s="12" t="n">
        <x:f>IF(V999="Active Zero Sales",U999,0)</x:f>
        <x:v>0</x:v>
      </x:c>
      <x:c r="X999" t="str">
        <x:f>IF(E999&lt;25,"Low &lt; 25",IF(E999&lt;100,"Medium 25-99",IF(E999&lt;300,"High 100-299","Premium 300+")))</x:f>
        <x:v>Low &lt; 25</x:v>
      </x:c>
      <x:c r="Y999" t="n">
        <x:f>IF(C999="Active",1,0)</x:f>
        <x:v>0</x:v>
      </x:c>
    </x:row>
    <x:row r="1000">
      <x:c r="A1000" t="str">
        <x:v>SKU00999</x:v>
      </x:c>
      <x:c r="B1000" t="str">
        <x:v>Sample Product 00999</x:v>
      </x:c>
      <x:c r="C1000" t="str">
        <x:v>Active</x:v>
      </x:c>
      <x:c r="D1000" t="str">
        <x:v>2026-06</x:v>
      </x:c>
      <x:c r="E1000" s="12" t="n">
        <x:v>14.25</x:v>
      </x:c>
      <x:c r="F1000" s="10" t="n">
        <x:v>0.371</x:v>
      </x:c>
      <x:c r="G1000" t="str">
        <x:v>OTC &amp; Wellness</x:v>
      </x:c>
      <x:c r="H1000" t="str">
        <x:v>Digestive Care</x:v>
      </x:c>
      <x:c r="I1000" t="str">
        <x:v>MFG015</x:v>
      </x:c>
      <x:c r="J1000" t="str">
        <x:v>Manufacturer 015</x:v>
      </x:c>
      <x:c r="K1000" t="str">
        <x:v>SUP022</x:v>
      </x:c>
      <x:c r="L1000" t="str">
        <x:v>Supplier 022</x:v>
      </x:c>
      <x:c r="M1000" t="str">
        <x:v>REG-870009</x:v>
      </x:c>
      <x:c r="N1000" t="str">
        <x:v>Generic Ingredient 158</x:v>
      </x:c>
      <x:c r="O1000" t="str">
        <x:v>Pharmacy Only</x:v>
      </x:c>
      <x:c r="P1000" t="n">
        <x:v>125</x:v>
      </x:c>
      <x:c r="Q1000" t="n">
        <x:v>72</x:v>
      </x:c>
      <x:c r="R1000" t="n">
        <x:v>18</x:v>
      </x:c>
      <x:c r="S1000" s="12" t="n">
        <x:f>E1000*Q1000</x:f>
        <x:v>1026</x:v>
      </x:c>
      <x:c r="T1000" s="12" t="n">
        <x:f>ROUND(S1000*F1000+0.000000001,2)</x:f>
        <x:v>380.65</x:v>
      </x:c>
      <x:c r="U1000" s="12" t="n">
        <x:f>E1000*R1000</x:f>
        <x:v>256.5</x:v>
      </x:c>
      <x:c r="V1000" t="str">
        <x:f>IF(AND(C1000="Active",Q1000=0),"Active Zero Sales","Not Zero Sales")</x:f>
        <x:v>Not Zero Sales</x:v>
      </x:c>
      <x:c r="W1000" s="12" t="n">
        <x:f>IF(V1000="Active Zero Sales",U1000,0)</x:f>
        <x:v>0</x:v>
      </x:c>
      <x:c r="X1000" t="str">
        <x:f>IF(E1000&lt;25,"Low &lt; 25",IF(E1000&lt;100,"Medium 25-99",IF(E1000&lt;300,"High 100-299","Premium 300+")))</x:f>
        <x:v>Low &lt; 25</x:v>
      </x:c>
      <x:c r="Y1000" t="n">
        <x:f>IF(C1000="Active",1,0)</x:f>
        <x:v>1</x:v>
      </x:c>
    </x:row>
    <x:row r="1001">
      <x:c r="A1001" t="str">
        <x:v>SKU01000</x:v>
      </x:c>
      <x:c r="B1001" t="str">
        <x:v>Sample Product 01000</x:v>
      </x:c>
      <x:c r="C1001" t="str">
        <x:v>Active</x:v>
      </x:c>
      <x:c r="D1001" t="str">
        <x:v>2026-04</x:v>
      </x:c>
      <x:c r="E1001" s="12" t="n">
        <x:v>11.44</x:v>
      </x:c>
      <x:c r="F1001" s="10" t="n">
        <x:v>0.41</x:v>
      </x:c>
      <x:c r="G1001" t="str">
        <x:v>Personal Care</x:v>
      </x:c>
      <x:c r="H1001" t="str">
        <x:v>Oral Care</x:v>
      </x:c>
      <x:c r="I1001" t="str">
        <x:v>MFG010</x:v>
      </x:c>
      <x:c r="J1001" t="str">
        <x:v>Manufacturer 010</x:v>
      </x:c>
      <x:c r="K1001" t="str">
        <x:v>SUP018</x:v>
      </x:c>
      <x:c r="L1001" t="str">
        <x:v>Supplier 018</x:v>
      </x:c>
      <x:c r="M1001" t="str">
        <x:v>REG-525179</x:v>
      </x:c>
      <x:c r="N1001" t="str">
        <x:v>Generic Ingredient 020</x:v>
      </x:c>
      <x:c r="O1001" t="str">
        <x:v>Pharmacy Only</x:v>
      </x:c>
      <x:c r="P1001" t="n">
        <x:v>67</x:v>
      </x:c>
      <x:c r="Q1001" t="n">
        <x:v>36</x:v>
      </x:c>
      <x:c r="R1001" t="n">
        <x:v>16</x:v>
      </x:c>
      <x:c r="S1001" s="12" t="n">
        <x:f>E1001*Q1001</x:f>
        <x:v>411.84</x:v>
      </x:c>
      <x:c r="T1001" s="12" t="n">
        <x:f>ROUND(S1001*F1001+0.000000001,2)</x:f>
        <x:v>168.85</x:v>
      </x:c>
      <x:c r="U1001" s="12" t="n">
        <x:f>E1001*R1001</x:f>
        <x:v>183.04</x:v>
      </x:c>
      <x:c r="V1001" t="str">
        <x:f>IF(AND(C1001="Active",Q1001=0),"Active Zero Sales","Not Zero Sales")</x:f>
        <x:v>Not Zero Sales</x:v>
      </x:c>
      <x:c r="W1001" s="12" t="n">
        <x:f>IF(V1001="Active Zero Sales",U1001,0)</x:f>
        <x:v>0</x:v>
      </x:c>
      <x:c r="X1001" t="str">
        <x:f>IF(E1001&lt;25,"Low &lt; 25",IF(E1001&lt;100,"Medium 25-99",IF(E1001&lt;300,"High 100-299","Premium 300+")))</x:f>
        <x:v>Low &lt; 25</x:v>
      </x:c>
      <x:c r="Y1001" t="n">
        <x:f>IF(C1001="Active",1,0)</x:f>
        <x:v>1</x:v>
      </x:c>
    </x:row>
    <x:row r="1002">
      <x:c r="A1002" t="str">
        <x:v>SKU01001</x:v>
      </x:c>
      <x:c r="B1002" t="str">
        <x:v>Sample Product 01001</x:v>
      </x:c>
      <x:c r="C1002" t="str">
        <x:v>Active</x:v>
      </x:c>
      <x:c r="D1002" t="str">
        <x:v>2026-02</x:v>
      </x:c>
      <x:c r="E1002" s="12" t="n">
        <x:v>8.67</x:v>
      </x:c>
      <x:c r="F1002" s="10" t="n">
        <x:v>0.225</x:v>
      </x:c>
      <x:c r="G1002" t="str">
        <x:v>Personal Care</x:v>
      </x:c>
      <x:c r="H1002" t="str">
        <x:v>Hygiene</x:v>
      </x:c>
      <x:c r="I1002" t="str">
        <x:v>MFG011</x:v>
      </x:c>
      <x:c r="J1002" t="str">
        <x:v>Manufacturer 011</x:v>
      </x:c>
      <x:c r="K1002" t="str">
        <x:v>SUP030</x:v>
      </x:c>
      <x:c r="L1002" t="str">
        <x:v>Supplier 030</x:v>
      </x:c>
      <x:c r="M1002" t="str">
        <x:v>REG-957695</x:v>
      </x:c>
      <x:c r="N1002" t="str">
        <x:v>Generic Ingredient 141</x:v>
      </x:c>
      <x:c r="O1002" t="str">
        <x:v>General Sale</x:v>
      </x:c>
      <x:c r="P1002" t="n">
        <x:v>22</x:v>
      </x:c>
      <x:c r="Q1002" t="n">
        <x:v>19</x:v>
      </x:c>
      <x:c r="R1002" t="n">
        <x:v>0</x:v>
      </x:c>
      <x:c r="S1002" s="12" t="n">
        <x:f>E1002*Q1002</x:f>
        <x:v>164.73</x:v>
      </x:c>
      <x:c r="T1002" s="12" t="n">
        <x:f>ROUND(S1002*F1002+0.000000001,2)</x:f>
        <x:v>37.06</x:v>
      </x:c>
      <x:c r="U1002" s="12" t="n">
        <x:f>E1002*R1002</x:f>
        <x:v>0</x:v>
      </x:c>
      <x:c r="V1002" t="str">
        <x:f>IF(AND(C1002="Active",Q1002=0),"Active Zero Sales","Not Zero Sales")</x:f>
        <x:v>Not Zero Sales</x:v>
      </x:c>
      <x:c r="W1002" s="12" t="n">
        <x:f>IF(V1002="Active Zero Sales",U1002,0)</x:f>
        <x:v>0</x:v>
      </x:c>
      <x:c r="X1002" t="str">
        <x:f>IF(E1002&lt;25,"Low &lt; 25",IF(E1002&lt;100,"Medium 25-99",IF(E1002&lt;300,"High 100-299","Premium 300+")))</x:f>
        <x:v>Low &lt; 25</x:v>
      </x:c>
      <x:c r="Y1002" t="n">
        <x:f>IF(C1002="Active",1,0)</x:f>
        <x:v>1</x:v>
      </x:c>
    </x:row>
    <x:row r="1003">
      <x:c r="A1003" t="str">
        <x:v>SKU01002</x:v>
      </x:c>
      <x:c r="B1003" t="str">
        <x:v>Sample Product 01002</x:v>
      </x:c>
      <x:c r="C1003" t="str">
        <x:v>Active</x:v>
      </x:c>
      <x:c r="D1003" t="str">
        <x:v>2026-06</x:v>
      </x:c>
      <x:c r="E1003" s="12" t="n">
        <x:v>43.89</x:v>
      </x:c>
      <x:c r="F1003" s="10" t="n">
        <x:v>0.346</x:v>
      </x:c>
      <x:c r="G1003" t="str">
        <x:v>Personal Care</x:v>
      </x:c>
      <x:c r="H1003" t="str">
        <x:v>Hygiene</x:v>
      </x:c>
      <x:c r="I1003" t="str">
        <x:v>MFG013</x:v>
      </x:c>
      <x:c r="J1003" t="str">
        <x:v>Manufacturer 013</x:v>
      </x:c>
      <x:c r="K1003" t="str">
        <x:v>SUP002</x:v>
      </x:c>
      <x:c r="L1003" t="str">
        <x:v>Supplier 002</x:v>
      </x:c>
      <x:c r="M1003" t="str">
        <x:v>REG-280194</x:v>
      </x:c>
      <x:c r="N1003" t="str">
        <x:v>Generic Ingredient 047</x:v>
      </x:c>
      <x:c r="O1003" t="str">
        <x:v>Pharmacy Only</x:v>
      </x:c>
      <x:c r="P1003" t="n">
        <x:v>83</x:v>
      </x:c>
      <x:c r="Q1003" t="n">
        <x:v>0</x:v>
      </x:c>
      <x:c r="R1003" t="n">
        <x:v>42</x:v>
      </x:c>
      <x:c r="S1003" s="12" t="n">
        <x:f>E1003*Q1003</x:f>
        <x:v>0</x:v>
      </x:c>
      <x:c r="T1003" s="12" t="n">
        <x:f>ROUND(S1003*F1003+0.000000001,2)</x:f>
        <x:v>0</x:v>
      </x:c>
      <x:c r="U1003" s="12" t="n">
        <x:f>E1003*R1003</x:f>
        <x:v>1843.38</x:v>
      </x:c>
      <x:c r="V1003" t="str">
        <x:f>IF(AND(C1003="Active",Q1003=0),"Active Zero Sales","Not Zero Sales")</x:f>
        <x:v>Active Zero Sales</x:v>
      </x:c>
      <x:c r="W1003" s="12" t="n">
        <x:f>IF(V1003="Active Zero Sales",U1003,0)</x:f>
        <x:v>1843.38</x:v>
      </x:c>
      <x:c r="X1003" t="str">
        <x:f>IF(E1003&lt;25,"Low &lt; 25",IF(E1003&lt;100,"Medium 25-99",IF(E1003&lt;300,"High 100-299","Premium 300+")))</x:f>
        <x:v>Medium 25-99</x:v>
      </x:c>
      <x:c r="Y1003" t="n">
        <x:f>IF(C1003="Active",1,0)</x:f>
        <x:v>1</x:v>
      </x:c>
    </x:row>
    <x:row r="1004">
      <x:c r="A1004" t="str">
        <x:v>SKU01003</x:v>
      </x:c>
      <x:c r="B1004" t="str">
        <x:v>Sample Product 01003</x:v>
      </x:c>
      <x:c r="C1004" t="str">
        <x:v>Active</x:v>
      </x:c>
      <x:c r="D1004" t="str">
        <x:v>2026-05</x:v>
      </x:c>
      <x:c r="E1004" s="12" t="n">
        <x:v>89.78</x:v>
      </x:c>
      <x:c r="F1004" s="10" t="n">
        <x:v>0.338</x:v>
      </x:c>
      <x:c r="G1004" t="str">
        <x:v>General Merchandise</x:v>
      </x:c>
      <x:c r="H1004" t="str">
        <x:v>Seasonal Care</x:v>
      </x:c>
      <x:c r="I1004" t="str">
        <x:v>MFG006</x:v>
      </x:c>
      <x:c r="J1004" t="str">
        <x:v>Manufacturer 006</x:v>
      </x:c>
      <x:c r="K1004" t="str">
        <x:v>SUP002</x:v>
      </x:c>
      <x:c r="L1004" t="str">
        <x:v>Supplier 002</x:v>
      </x:c>
      <x:c r="M1004" t="str">
        <x:v>REG-512113</x:v>
      </x:c>
      <x:c r="N1004" t="str">
        <x:v>Generic Ingredient 125</x:v>
      </x:c>
      <x:c r="O1004" t="str">
        <x:v>Pharmacy Only</x:v>
      </x:c>
      <x:c r="P1004" t="n">
        <x:v>64</x:v>
      </x:c>
      <x:c r="Q1004" t="n">
        <x:v>25</x:v>
      </x:c>
      <x:c r="R1004" t="n">
        <x:v>14</x:v>
      </x:c>
      <x:c r="S1004" s="12" t="n">
        <x:f>E1004*Q1004</x:f>
        <x:v>2244.5</x:v>
      </x:c>
      <x:c r="T1004" s="12" t="n">
        <x:f>ROUND(S1004*F1004+0.000000001,2)</x:f>
        <x:v>758.64</x:v>
      </x:c>
      <x:c r="U1004" s="12" t="n">
        <x:f>E1004*R1004</x:f>
        <x:v>1256.92</x:v>
      </x:c>
      <x:c r="V1004" t="str">
        <x:f>IF(AND(C1004="Active",Q1004=0),"Active Zero Sales","Not Zero Sales")</x:f>
        <x:v>Not Zero Sales</x:v>
      </x:c>
      <x:c r="W1004" s="12" t="n">
        <x:f>IF(V1004="Active Zero Sales",U1004,0)</x:f>
        <x:v>0</x:v>
      </x:c>
      <x:c r="X1004" t="str">
        <x:f>IF(E1004&lt;25,"Low &lt; 25",IF(E1004&lt;100,"Medium 25-99",IF(E1004&lt;300,"High 100-299","Premium 300+")))</x:f>
        <x:v>Medium 25-99</x:v>
      </x:c>
      <x:c r="Y1004" t="n">
        <x:f>IF(C1004="Active",1,0)</x:f>
        <x:v>1</x:v>
      </x:c>
    </x:row>
    <x:row r="1005">
      <x:c r="A1005" t="str">
        <x:v>SKU01004</x:v>
      </x:c>
      <x:c r="B1005" t="str">
        <x:v>Sample Product 01004</x:v>
      </x:c>
      <x:c r="C1005" t="str">
        <x:v>Active</x:v>
      </x:c>
      <x:c r="D1005" t="str">
        <x:v>2026-01</x:v>
      </x:c>
      <x:c r="E1005" s="12" t="n">
        <x:v>14.69</x:v>
      </x:c>
      <x:c r="F1005" s="10" t="n">
        <x:v>0.336</x:v>
      </x:c>
      <x:c r="G1005" t="str">
        <x:v>OTC &amp; Wellness</x:v>
      </x:c>
      <x:c r="H1005" t="str">
        <x:v>Pain Relief</x:v>
      </x:c>
      <x:c r="I1005" t="str">
        <x:v>MFG017</x:v>
      </x:c>
      <x:c r="J1005" t="str">
        <x:v>Manufacturer 017</x:v>
      </x:c>
      <x:c r="K1005" t="str">
        <x:v>SUP014</x:v>
      </x:c>
      <x:c r="L1005" t="str">
        <x:v>Supplier 014</x:v>
      </x:c>
      <x:c r="M1005" t="str">
        <x:v>REG-744508</x:v>
      </x:c>
      <x:c r="N1005" t="str">
        <x:v>Generic Ingredient 136</x:v>
      </x:c>
      <x:c r="O1005" t="str">
        <x:v>General Sale</x:v>
      </x:c>
      <x:c r="P1005" t="n">
        <x:v>63</x:v>
      </x:c>
      <x:c r="Q1005" t="n">
        <x:v>31</x:v>
      </x:c>
      <x:c r="R1005" t="n">
        <x:v>0</x:v>
      </x:c>
      <x:c r="S1005" s="12" t="n">
        <x:f>E1005*Q1005</x:f>
        <x:v>455.39</x:v>
      </x:c>
      <x:c r="T1005" s="12" t="n">
        <x:f>ROUND(S1005*F1005+0.000000001,2)</x:f>
        <x:v>153.01</x:v>
      </x:c>
      <x:c r="U1005" s="12" t="n">
        <x:f>E1005*R1005</x:f>
        <x:v>0</x:v>
      </x:c>
      <x:c r="V1005" t="str">
        <x:f>IF(AND(C1005="Active",Q1005=0),"Active Zero Sales","Not Zero Sales")</x:f>
        <x:v>Not Zero Sales</x:v>
      </x:c>
      <x:c r="W1005" s="12" t="n">
        <x:f>IF(V1005="Active Zero Sales",U1005,0)</x:f>
        <x:v>0</x:v>
      </x:c>
      <x:c r="X1005" t="str">
        <x:f>IF(E1005&lt;25,"Low &lt; 25",IF(E1005&lt;100,"Medium 25-99",IF(E1005&lt;300,"High 100-299","Premium 300+")))</x:f>
        <x:v>Low &lt; 25</x:v>
      </x:c>
      <x:c r="Y1005" t="n">
        <x:f>IF(C1005="Active",1,0)</x:f>
        <x:v>1</x:v>
      </x:c>
    </x:row>
    <x:row r="1006">
      <x:c r="A1006" t="str">
        <x:v>SKU01005</x:v>
      </x:c>
      <x:c r="B1006" t="str">
        <x:v>Sample Product 01005</x:v>
      </x:c>
      <x:c r="C1006" t="str">
        <x:v>Active</x:v>
      </x:c>
      <x:c r="D1006" t="str">
        <x:v>2026-04</x:v>
      </x:c>
      <x:c r="E1006" s="12" t="n">
        <x:v>91.28</x:v>
      </x:c>
      <x:c r="F1006" s="10" t="n">
        <x:v>0.392</x:v>
      </x:c>
      <x:c r="G1006" t="str">
        <x:v>General Merchandise</x:v>
      </x:c>
      <x:c r="H1006" t="str">
        <x:v>Travel Health</x:v>
      </x:c>
      <x:c r="I1006" t="str">
        <x:v>MFG014</x:v>
      </x:c>
      <x:c r="J1006" t="str">
        <x:v>Manufacturer 014</x:v>
      </x:c>
      <x:c r="K1006" t="str">
        <x:v>SUP019</x:v>
      </x:c>
      <x:c r="L1006" t="str">
        <x:v>Supplier 019</x:v>
      </x:c>
      <x:c r="M1006" t="str">
        <x:v>REG-374558</x:v>
      </x:c>
      <x:c r="N1006" t="str">
        <x:v>Generic Ingredient 099</x:v>
      </x:c>
      <x:c r="O1006" t="str">
        <x:v>General Sale</x:v>
      </x:c>
      <x:c r="P1006" t="n">
        <x:v>66</x:v>
      </x:c>
      <x:c r="Q1006" t="n">
        <x:v>37</x:v>
      </x:c>
      <x:c r="R1006" t="n">
        <x:v>9</x:v>
      </x:c>
      <x:c r="S1006" s="12" t="n">
        <x:f>E1006*Q1006</x:f>
        <x:v>3377.36</x:v>
      </x:c>
      <x:c r="T1006" s="12" t="n">
        <x:f>ROUND(S1006*F1006+0.000000001,2)</x:f>
        <x:v>1323.93</x:v>
      </x:c>
      <x:c r="U1006" s="12" t="n">
        <x:f>E1006*R1006</x:f>
        <x:v>821.52</x:v>
      </x:c>
      <x:c r="V1006" t="str">
        <x:f>IF(AND(C1006="Active",Q1006=0),"Active Zero Sales","Not Zero Sales")</x:f>
        <x:v>Not Zero Sales</x:v>
      </x:c>
      <x:c r="W1006" s="12" t="n">
        <x:f>IF(V1006="Active Zero Sales",U1006,0)</x:f>
        <x:v>0</x:v>
      </x:c>
      <x:c r="X1006" t="str">
        <x:f>IF(E1006&lt;25,"Low &lt; 25",IF(E1006&lt;100,"Medium 25-99",IF(E1006&lt;300,"High 100-299","Premium 300+")))</x:f>
        <x:v>Medium 25-99</x:v>
      </x:c>
      <x:c r="Y1006" t="n">
        <x:f>IF(C1006="Active",1,0)</x:f>
        <x:v>1</x:v>
      </x:c>
    </x:row>
    <x:row r="1007">
      <x:c r="A1007" t="str">
        <x:v>SKU01006</x:v>
      </x:c>
      <x:c r="B1007" t="str">
        <x:v>Sample Product 01006</x:v>
      </x:c>
      <x:c r="C1007" t="str">
        <x:v>Active</x:v>
      </x:c>
      <x:c r="D1007" t="str">
        <x:v>2026-06</x:v>
      </x:c>
      <x:c r="E1007" s="12" t="n">
        <x:v>50.07</x:v>
      </x:c>
      <x:c r="F1007" s="10" t="n">
        <x:v>0.481</x:v>
      </x:c>
      <x:c r="G1007" t="str">
        <x:v>Personal Care</x:v>
      </x:c>
      <x:c r="H1007" t="str">
        <x:v>Skin Care</x:v>
      </x:c>
      <x:c r="I1007" t="str">
        <x:v>MFG003</x:v>
      </x:c>
      <x:c r="J1007" t="str">
        <x:v>Manufacturer 003</x:v>
      </x:c>
      <x:c r="K1007" t="str">
        <x:v>SUP009</x:v>
      </x:c>
      <x:c r="L1007" t="str">
        <x:v>Supplier 009</x:v>
      </x:c>
      <x:c r="M1007" t="str">
        <x:v>REG-930151</x:v>
      </x:c>
      <x:c r="N1007" t="str">
        <x:v>Generic Ingredient 131</x:v>
      </x:c>
      <x:c r="O1007" t="str">
        <x:v>General Sale</x:v>
      </x:c>
      <x:c r="P1007" t="n">
        <x:v>108</x:v>
      </x:c>
      <x:c r="Q1007" t="n">
        <x:v>47</x:v>
      </x:c>
      <x:c r="R1007" t="n">
        <x:v>14</x:v>
      </x:c>
      <x:c r="S1007" s="12" t="n">
        <x:f>E1007*Q1007</x:f>
        <x:v>2353.29</x:v>
      </x:c>
      <x:c r="T1007" s="12" t="n">
        <x:f>ROUND(S1007*F1007+0.000000001,2)</x:f>
        <x:v>1131.93</x:v>
      </x:c>
      <x:c r="U1007" s="12" t="n">
        <x:f>E1007*R1007</x:f>
        <x:v>700.98</x:v>
      </x:c>
      <x:c r="V1007" t="str">
        <x:f>IF(AND(C1007="Active",Q1007=0),"Active Zero Sales","Not Zero Sales")</x:f>
        <x:v>Not Zero Sales</x:v>
      </x:c>
      <x:c r="W1007" s="12" t="n">
        <x:f>IF(V1007="Active Zero Sales",U1007,0)</x:f>
        <x:v>0</x:v>
      </x:c>
      <x:c r="X1007" t="str">
        <x:f>IF(E1007&lt;25,"Low &lt; 25",IF(E1007&lt;100,"Medium 25-99",IF(E1007&lt;300,"High 100-299","Premium 300+")))</x:f>
        <x:v>Medium 25-99</x:v>
      </x:c>
      <x:c r="Y1007" t="n">
        <x:f>IF(C1007="Active",1,0)</x:f>
        <x:v>1</x:v>
      </x:c>
    </x:row>
    <x:row r="1008">
      <x:c r="A1008" t="str">
        <x:v>SKU01007</x:v>
      </x:c>
      <x:c r="B1008" t="str">
        <x:v>Sample Product 01007</x:v>
      </x:c>
      <x:c r="C1008" t="str">
        <x:v>Active</x:v>
      </x:c>
      <x:c r="D1008" t="str">
        <x:v>2026-03</x:v>
      </x:c>
      <x:c r="E1008" s="12" t="n">
        <x:v>77.11</x:v>
      </x:c>
      <x:c r="F1008" s="10" t="n">
        <x:v>0.411</x:v>
      </x:c>
      <x:c r="G1008" t="str">
        <x:v>General Merchandise</x:v>
      </x:c>
      <x:c r="H1008" t="str">
        <x:v>Accessories</x:v>
      </x:c>
      <x:c r="I1008" t="str">
        <x:v>MFG007</x:v>
      </x:c>
      <x:c r="J1008" t="str">
        <x:v>Manufacturer 007</x:v>
      </x:c>
      <x:c r="K1008" t="str">
        <x:v>SUP009</x:v>
      </x:c>
      <x:c r="L1008" t="str">
        <x:v>Supplier 009</x:v>
      </x:c>
      <x:c r="M1008" t="str">
        <x:v>REG-804706</x:v>
      </x:c>
      <x:c r="N1008" t="str">
        <x:v>Generic Ingredient 150</x:v>
      </x:c>
      <x:c r="O1008" t="str">
        <x:v>General Sale</x:v>
      </x:c>
      <x:c r="P1008" t="n">
        <x:v>67</x:v>
      </x:c>
      <x:c r="Q1008" t="n">
        <x:v>24</x:v>
      </x:c>
      <x:c r="R1008" t="n">
        <x:v>8</x:v>
      </x:c>
      <x:c r="S1008" s="12" t="n">
        <x:f>E1008*Q1008</x:f>
        <x:v>1850.6399999999999</x:v>
      </x:c>
      <x:c r="T1008" s="12" t="n">
        <x:f>ROUND(S1008*F1008+0.000000001,2)</x:f>
        <x:v>760.61</x:v>
      </x:c>
      <x:c r="U1008" s="12" t="n">
        <x:f>E1008*R1008</x:f>
        <x:v>616.88</x:v>
      </x:c>
      <x:c r="V1008" t="str">
        <x:f>IF(AND(C1008="Active",Q1008=0),"Active Zero Sales","Not Zero Sales")</x:f>
        <x:v>Not Zero Sales</x:v>
      </x:c>
      <x:c r="W1008" s="12" t="n">
        <x:f>IF(V1008="Active Zero Sales",U1008,0)</x:f>
        <x:v>0</x:v>
      </x:c>
      <x:c r="X1008" t="str">
        <x:f>IF(E1008&lt;25,"Low &lt; 25",IF(E1008&lt;100,"Medium 25-99",IF(E1008&lt;300,"High 100-299","Premium 300+")))</x:f>
        <x:v>Medium 25-99</x:v>
      </x:c>
      <x:c r="Y1008" t="n">
        <x:f>IF(C1008="Active",1,0)</x:f>
        <x:v>1</x:v>
      </x:c>
    </x:row>
    <x:row r="1009">
      <x:c r="A1009" t="str">
        <x:v>SKU01008</x:v>
      </x:c>
      <x:c r="B1009" t="str">
        <x:v>Sample Product 01008</x:v>
      </x:c>
      <x:c r="C1009" t="str">
        <x:v>Active</x:v>
      </x:c>
      <x:c r="D1009" t="str">
        <x:v>2026-06</x:v>
      </x:c>
      <x:c r="E1009" s="12" t="n">
        <x:v>12.03</x:v>
      </x:c>
      <x:c r="F1009" s="10" t="n">
        <x:v>0.213</x:v>
      </x:c>
      <x:c r="G1009" t="str">
        <x:v>Medical Devices</x:v>
      </x:c>
      <x:c r="H1009" t="str">
        <x:v>First Aid</x:v>
      </x:c>
      <x:c r="I1009" t="str">
        <x:v>MFG001</x:v>
      </x:c>
      <x:c r="J1009" t="str">
        <x:v>Manufacturer 001</x:v>
      </x:c>
      <x:c r="K1009" t="str">
        <x:v>SUP003</x:v>
      </x:c>
      <x:c r="L1009" t="str">
        <x:v>Supplier 003</x:v>
      </x:c>
      <x:c r="M1009" t="str">
        <x:v>REG-996823</x:v>
      </x:c>
      <x:c r="N1009" t="str">
        <x:v>Generic Ingredient 089</x:v>
      </x:c>
      <x:c r="O1009" t="str">
        <x:v>General Sale</x:v>
      </x:c>
      <x:c r="P1009" t="n">
        <x:v>117</x:v>
      </x:c>
      <x:c r="Q1009" t="n">
        <x:v>90</x:v>
      </x:c>
      <x:c r="R1009" t="n">
        <x:v>6</x:v>
      </x:c>
      <x:c r="S1009" s="12" t="n">
        <x:f>E1009*Q1009</x:f>
        <x:v>1082.7</x:v>
      </x:c>
      <x:c r="T1009" s="12" t="n">
        <x:f>ROUND(S1009*F1009+0.000000001,2)</x:f>
        <x:v>230.62</x:v>
      </x:c>
      <x:c r="U1009" s="12" t="n">
        <x:f>E1009*R1009</x:f>
        <x:v>72.17999999999999</x:v>
      </x:c>
      <x:c r="V1009" t="str">
        <x:f>IF(AND(C1009="Active",Q1009=0),"Active Zero Sales","Not Zero Sales")</x:f>
        <x:v>Not Zero Sales</x:v>
      </x:c>
      <x:c r="W1009" s="12" t="n">
        <x:f>IF(V1009="Active Zero Sales",U1009,0)</x:f>
        <x:v>0</x:v>
      </x:c>
      <x:c r="X1009" t="str">
        <x:f>IF(E1009&lt;25,"Low &lt; 25",IF(E1009&lt;100,"Medium 25-99",IF(E1009&lt;300,"High 100-299","Premium 300+")))</x:f>
        <x:v>Low &lt; 25</x:v>
      </x:c>
      <x:c r="Y1009" t="n">
        <x:f>IF(C1009="Active",1,0)</x:f>
        <x:v>1</x:v>
      </x:c>
    </x:row>
    <x:row r="1010">
      <x:c r="A1010" t="str">
        <x:v>SKU01009</x:v>
      </x:c>
      <x:c r="B1010" t="str">
        <x:v>Sample Product 01009</x:v>
      </x:c>
      <x:c r="C1010" t="str">
        <x:v>Active</x:v>
      </x:c>
      <x:c r="D1010" t="str">
        <x:v>2026-05</x:v>
      </x:c>
      <x:c r="E1010" s="12" t="n">
        <x:v>42.48</x:v>
      </x:c>
      <x:c r="F1010" s="10" t="n">
        <x:v>0.394</x:v>
      </x:c>
      <x:c r="G1010" t="str">
        <x:v>Medical Devices</x:v>
      </x:c>
      <x:c r="H1010" t="str">
        <x:v>First Aid</x:v>
      </x:c>
      <x:c r="I1010" t="str">
        <x:v>MFG009</x:v>
      </x:c>
      <x:c r="J1010" t="str">
        <x:v>Manufacturer 009</x:v>
      </x:c>
      <x:c r="K1010" t="str">
        <x:v>SUP019</x:v>
      </x:c>
      <x:c r="L1010" t="str">
        <x:v>Supplier 019</x:v>
      </x:c>
      <x:c r="M1010" t="str">
        <x:v>REG-986786</x:v>
      </x:c>
      <x:c r="N1010" t="str">
        <x:v>Generic Ingredient 004</x:v>
      </x:c>
      <x:c r="O1010" t="str">
        <x:v>General Sale</x:v>
      </x:c>
      <x:c r="P1010" t="n">
        <x:v>20</x:v>
      </x:c>
      <x:c r="Q1010" t="n">
        <x:v>10</x:v>
      </x:c>
      <x:c r="R1010" t="n">
        <x:v>7</x:v>
      </x:c>
      <x:c r="S1010" s="12" t="n">
        <x:f>E1010*Q1010</x:f>
        <x:v>424.79999999999995</x:v>
      </x:c>
      <x:c r="T1010" s="12" t="n">
        <x:f>ROUND(S1010*F1010+0.000000001,2)</x:f>
        <x:v>167.37</x:v>
      </x:c>
      <x:c r="U1010" s="12" t="n">
        <x:f>E1010*R1010</x:f>
        <x:v>297.35999999999996</x:v>
      </x:c>
      <x:c r="V1010" t="str">
        <x:f>IF(AND(C1010="Active",Q1010=0),"Active Zero Sales","Not Zero Sales")</x:f>
        <x:v>Not Zero Sales</x:v>
      </x:c>
      <x:c r="W1010" s="12" t="n">
        <x:f>IF(V1010="Active Zero Sales",U1010,0)</x:f>
        <x:v>0</x:v>
      </x:c>
      <x:c r="X1010" t="str">
        <x:f>IF(E1010&lt;25,"Low &lt; 25",IF(E1010&lt;100,"Medium 25-99",IF(E1010&lt;300,"High 100-299","Premium 300+")))</x:f>
        <x:v>Medium 25-99</x:v>
      </x:c>
      <x:c r="Y1010" t="n">
        <x:f>IF(C1010="Active",1,0)</x:f>
        <x:v>1</x:v>
      </x:c>
    </x:row>
    <x:row r="1011">
      <x:c r="A1011" t="str">
        <x:v>SKU01010</x:v>
      </x:c>
      <x:c r="B1011" t="str">
        <x:v>Sample Product 01010</x:v>
      </x:c>
      <x:c r="C1011" t="str">
        <x:v>Active</x:v>
      </x:c>
      <x:c r="D1011" t="str">
        <x:v>2026-01</x:v>
      </x:c>
      <x:c r="E1011" s="12" t="n">
        <x:v>12.29</x:v>
      </x:c>
      <x:c r="F1011" s="10" t="n">
        <x:v>0.263</x:v>
      </x:c>
      <x:c r="G1011" t="str">
        <x:v>OTC &amp; Wellness</x:v>
      </x:c>
      <x:c r="H1011" t="str">
        <x:v>Vitamins</x:v>
      </x:c>
      <x:c r="I1011" t="str">
        <x:v>MFG019</x:v>
      </x:c>
      <x:c r="J1011" t="str">
        <x:v>Manufacturer 019</x:v>
      </x:c>
      <x:c r="K1011" t="str">
        <x:v>SUP004</x:v>
      </x:c>
      <x:c r="L1011" t="str">
        <x:v>Supplier 004</x:v>
      </x:c>
      <x:c r="M1011" t="str">
        <x:v>REG-956151</x:v>
      </x:c>
      <x:c r="N1011" t="str">
        <x:v>Generic Ingredient 050</x:v>
      </x:c>
      <x:c r="O1011" t="str">
        <x:v>General Sale</x:v>
      </x:c>
      <x:c r="P1011" t="n">
        <x:v>69</x:v>
      </x:c>
      <x:c r="Q1011" t="n">
        <x:v>51</x:v>
      </x:c>
      <x:c r="R1011" t="n">
        <x:v>26</x:v>
      </x:c>
      <x:c r="S1011" s="12" t="n">
        <x:f>E1011*Q1011</x:f>
        <x:v>626.79</x:v>
      </x:c>
      <x:c r="T1011" s="12" t="n">
        <x:f>ROUND(S1011*F1011+0.000000001,2)</x:f>
        <x:v>164.85</x:v>
      </x:c>
      <x:c r="U1011" s="12" t="n">
        <x:f>E1011*R1011</x:f>
        <x:v>319.53999999999996</x:v>
      </x:c>
      <x:c r="V1011" t="str">
        <x:f>IF(AND(C1011="Active",Q1011=0),"Active Zero Sales","Not Zero Sales")</x:f>
        <x:v>Not Zero Sales</x:v>
      </x:c>
      <x:c r="W1011" s="12" t="n">
        <x:f>IF(V1011="Active Zero Sales",U1011,0)</x:f>
        <x:v>0</x:v>
      </x:c>
      <x:c r="X1011" t="str">
        <x:f>IF(E1011&lt;25,"Low &lt; 25",IF(E1011&lt;100,"Medium 25-99",IF(E1011&lt;300,"High 100-299","Premium 300+")))</x:f>
        <x:v>Low &lt; 25</x:v>
      </x:c>
      <x:c r="Y1011" t="n">
        <x:f>IF(C1011="Active",1,0)</x:f>
        <x:v>1</x:v>
      </x:c>
    </x:row>
    <x:row r="1012">
      <x:c r="A1012" t="str">
        <x:v>SKU01011</x:v>
      </x:c>
      <x:c r="B1012" t="str">
        <x:v>Sample Product 01011</x:v>
      </x:c>
      <x:c r="C1012" t="str">
        <x:v>Active</x:v>
      </x:c>
      <x:c r="D1012" t="str">
        <x:v>2026-04</x:v>
      </x:c>
      <x:c r="E1012" s="12" t="n">
        <x:v>7.28</x:v>
      </x:c>
      <x:c r="F1012" s="10" t="n">
        <x:v>0.265</x:v>
      </x:c>
      <x:c r="G1012" t="str">
        <x:v>Personal Care</x:v>
      </x:c>
      <x:c r="H1012" t="str">
        <x:v>Hygiene</x:v>
      </x:c>
      <x:c r="I1012" t="str">
        <x:v>MFG015</x:v>
      </x:c>
      <x:c r="J1012" t="str">
        <x:v>Manufacturer 015</x:v>
      </x:c>
      <x:c r="K1012" t="str">
        <x:v>SUP029</x:v>
      </x:c>
      <x:c r="L1012" t="str">
        <x:v>Supplier 029</x:v>
      </x:c>
      <x:c r="M1012" t="str">
        <x:v>REG-287216</x:v>
      </x:c>
      <x:c r="N1012" t="str">
        <x:v>Generic Ingredient 053</x:v>
      </x:c>
      <x:c r="O1012" t="str">
        <x:v>General Sale</x:v>
      </x:c>
      <x:c r="P1012" t="n">
        <x:v>61</x:v>
      </x:c>
      <x:c r="Q1012" t="n">
        <x:v>34</x:v>
      </x:c>
      <x:c r="R1012" t="n">
        <x:v>31</x:v>
      </x:c>
      <x:c r="S1012" s="12" t="n">
        <x:f>E1012*Q1012</x:f>
        <x:v>247.52</x:v>
      </x:c>
      <x:c r="T1012" s="12" t="n">
        <x:f>ROUND(S1012*F1012+0.000000001,2)</x:f>
        <x:v>65.59</x:v>
      </x:c>
      <x:c r="U1012" s="12" t="n">
        <x:f>E1012*R1012</x:f>
        <x:v>225.68</x:v>
      </x:c>
      <x:c r="V1012" t="str">
        <x:f>IF(AND(C1012="Active",Q1012=0),"Active Zero Sales","Not Zero Sales")</x:f>
        <x:v>Not Zero Sales</x:v>
      </x:c>
      <x:c r="W1012" s="12" t="n">
        <x:f>IF(V1012="Active Zero Sales",U1012,0)</x:f>
        <x:v>0</x:v>
      </x:c>
      <x:c r="X1012" t="str">
        <x:f>IF(E1012&lt;25,"Low &lt; 25",IF(E1012&lt;100,"Medium 25-99",IF(E1012&lt;300,"High 100-299","Premium 300+")))</x:f>
        <x:v>Low &lt; 25</x:v>
      </x:c>
      <x:c r="Y1012" t="n">
        <x:f>IF(C1012="Active",1,0)</x:f>
        <x:v>1</x:v>
      </x:c>
    </x:row>
    <x:row r="1013">
      <x:c r="A1013" t="str">
        <x:v>SKU01012</x:v>
      </x:c>
      <x:c r="B1013" t="str">
        <x:v>Sample Product 01012</x:v>
      </x:c>
      <x:c r="C1013" t="str">
        <x:v>Active</x:v>
      </x:c>
      <x:c r="D1013" t="str">
        <x:v>2026-04</x:v>
      </x:c>
      <x:c r="E1013" s="12" t="n">
        <x:v>21.97</x:v>
      </x:c>
      <x:c r="F1013" s="10" t="n">
        <x:v>0.441</x:v>
      </x:c>
      <x:c r="G1013" t="str">
        <x:v>General Merchandise</x:v>
      </x:c>
      <x:c r="H1013" t="str">
        <x:v>Seasonal Care</x:v>
      </x:c>
      <x:c r="I1013" t="str">
        <x:v>MFG020</x:v>
      </x:c>
      <x:c r="J1013" t="str">
        <x:v>Manufacturer 020</x:v>
      </x:c>
      <x:c r="K1013" t="str">
        <x:v>SUP021</x:v>
      </x:c>
      <x:c r="L1013" t="str">
        <x:v>Supplier 021</x:v>
      </x:c>
      <x:c r="M1013" t="str">
        <x:v>REG-982922</x:v>
      </x:c>
      <x:c r="N1013" t="str">
        <x:v>Generic Ingredient 146</x:v>
      </x:c>
      <x:c r="O1013" t="str">
        <x:v>Pharmacy Only</x:v>
      </x:c>
      <x:c r="P1013" t="n">
        <x:v>103</x:v>
      </x:c>
      <x:c r="Q1013" t="n">
        <x:v>0</x:v>
      </x:c>
      <x:c r="R1013" t="n">
        <x:v>61</x:v>
      </x:c>
      <x:c r="S1013" s="12" t="n">
        <x:f>E1013*Q1013</x:f>
        <x:v>0</x:v>
      </x:c>
      <x:c r="T1013" s="12" t="n">
        <x:f>ROUND(S1013*F1013+0.000000001,2)</x:f>
        <x:v>0</x:v>
      </x:c>
      <x:c r="U1013" s="12" t="n">
        <x:f>E1013*R1013</x:f>
        <x:v>1340.1699999999998</x:v>
      </x:c>
      <x:c r="V1013" t="str">
        <x:f>IF(AND(C1013="Active",Q1013=0),"Active Zero Sales","Not Zero Sales")</x:f>
        <x:v>Active Zero Sales</x:v>
      </x:c>
      <x:c r="W1013" s="12" t="n">
        <x:f>IF(V1013="Active Zero Sales",U1013,0)</x:f>
        <x:v>1340.1699999999998</x:v>
      </x:c>
      <x:c r="X1013" t="str">
        <x:f>IF(E1013&lt;25,"Low &lt; 25",IF(E1013&lt;100,"Medium 25-99",IF(E1013&lt;300,"High 100-299","Premium 300+")))</x:f>
        <x:v>Low &lt; 25</x:v>
      </x:c>
      <x:c r="Y1013" t="n">
        <x:f>IF(C1013="Active",1,0)</x:f>
        <x:v>1</x:v>
      </x:c>
    </x:row>
    <x:row r="1014">
      <x:c r="A1014" t="str">
        <x:v>SKU01013</x:v>
      </x:c>
      <x:c r="B1014" t="str">
        <x:v>Sample Product 01013</x:v>
      </x:c>
      <x:c r="C1014" t="str">
        <x:v>Active</x:v>
      </x:c>
      <x:c r="D1014" t="str">
        <x:v>2026-02</x:v>
      </x:c>
      <x:c r="E1014" s="12" t="n">
        <x:v>57.86</x:v>
      </x:c>
      <x:c r="F1014" s="10" t="n">
        <x:v>0.467</x:v>
      </x:c>
      <x:c r="G1014" t="str">
        <x:v>General Merchandise</x:v>
      </x:c>
      <x:c r="H1014" t="str">
        <x:v>Seasonal Care</x:v>
      </x:c>
      <x:c r="I1014" t="str">
        <x:v>MFG006</x:v>
      </x:c>
      <x:c r="J1014" t="str">
        <x:v>Manufacturer 006</x:v>
      </x:c>
      <x:c r="K1014" t="str">
        <x:v>SUP007</x:v>
      </x:c>
      <x:c r="L1014" t="str">
        <x:v>Supplier 007</x:v>
      </x:c>
      <x:c r="M1014" t="str">
        <x:v>REG-904917</x:v>
      </x:c>
      <x:c r="N1014" t="str">
        <x:v>Generic Ingredient 134</x:v>
      </x:c>
      <x:c r="O1014" t="str">
        <x:v>General Sale</x:v>
      </x:c>
      <x:c r="P1014" t="n">
        <x:v>34</x:v>
      </x:c>
      <x:c r="Q1014" t="n">
        <x:v>17</x:v>
      </x:c>
      <x:c r="R1014" t="n">
        <x:v>0</x:v>
      </x:c>
      <x:c r="S1014" s="12" t="n">
        <x:f>E1014*Q1014</x:f>
        <x:v>983.62</x:v>
      </x:c>
      <x:c r="T1014" s="12" t="n">
        <x:f>ROUND(S1014*F1014+0.000000001,2)</x:f>
        <x:v>459.35</x:v>
      </x:c>
      <x:c r="U1014" s="12" t="n">
        <x:f>E1014*R1014</x:f>
        <x:v>0</x:v>
      </x:c>
      <x:c r="V1014" t="str">
        <x:f>IF(AND(C1014="Active",Q1014=0),"Active Zero Sales","Not Zero Sales")</x:f>
        <x:v>Not Zero Sales</x:v>
      </x:c>
      <x:c r="W1014" s="12" t="n">
        <x:f>IF(V1014="Active Zero Sales",U1014,0)</x:f>
        <x:v>0</x:v>
      </x:c>
      <x:c r="X1014" t="str">
        <x:f>IF(E1014&lt;25,"Low &lt; 25",IF(E1014&lt;100,"Medium 25-99",IF(E1014&lt;300,"High 100-299","Premium 300+")))</x:f>
        <x:v>Medium 25-99</x:v>
      </x:c>
      <x:c r="Y1014" t="n">
        <x:f>IF(C1014="Active",1,0)</x:f>
        <x:v>1</x:v>
      </x:c>
    </x:row>
    <x:row r="1015">
      <x:c r="A1015" t="str">
        <x:v>SKU01014</x:v>
      </x:c>
      <x:c r="B1015" t="str">
        <x:v>Sample Product 01014</x:v>
      </x:c>
      <x:c r="C1015" t="str">
        <x:v>Active</x:v>
      </x:c>
      <x:c r="D1015" t="str">
        <x:v>2026-05</x:v>
      </x:c>
      <x:c r="E1015" s="12" t="n">
        <x:v>74.81</x:v>
      </x:c>
      <x:c r="F1015" s="10" t="n">
        <x:v>0.401</x:v>
      </x:c>
      <x:c r="G1015" t="str">
        <x:v>Medical Devices</x:v>
      </x:c>
      <x:c r="H1015" t="str">
        <x:v>Monitoring Supplies</x:v>
      </x:c>
      <x:c r="I1015" t="str">
        <x:v>MFG008</x:v>
      </x:c>
      <x:c r="J1015" t="str">
        <x:v>Manufacturer 008</x:v>
      </x:c>
      <x:c r="K1015" t="str">
        <x:v>SUP028</x:v>
      </x:c>
      <x:c r="L1015" t="str">
        <x:v>Supplier 028</x:v>
      </x:c>
      <x:c r="M1015" t="str">
        <x:v>REG-114027</x:v>
      </x:c>
      <x:c r="N1015" t="str">
        <x:v>Generic Ingredient 081</x:v>
      </x:c>
      <x:c r="O1015" t="str">
        <x:v>General Sale</x:v>
      </x:c>
      <x:c r="P1015" t="n">
        <x:v>64</x:v>
      </x:c>
      <x:c r="Q1015" t="n">
        <x:v>16</x:v>
      </x:c>
      <x:c r="R1015" t="n">
        <x:v>1</x:v>
      </x:c>
      <x:c r="S1015" s="12" t="n">
        <x:f>E1015*Q1015</x:f>
        <x:v>1196.96</x:v>
      </x:c>
      <x:c r="T1015" s="12" t="n">
        <x:f>ROUND(S1015*F1015+0.000000001,2)</x:f>
        <x:v>479.98</x:v>
      </x:c>
      <x:c r="U1015" s="12" t="n">
        <x:f>E1015*R1015</x:f>
        <x:v>74.81</x:v>
      </x:c>
      <x:c r="V1015" t="str">
        <x:f>IF(AND(C1015="Active",Q1015=0),"Active Zero Sales","Not Zero Sales")</x:f>
        <x:v>Not Zero Sales</x:v>
      </x:c>
      <x:c r="W1015" s="12" t="n">
        <x:f>IF(V1015="Active Zero Sales",U1015,0)</x:f>
        <x:v>0</x:v>
      </x:c>
      <x:c r="X1015" t="str">
        <x:f>IF(E1015&lt;25,"Low &lt; 25",IF(E1015&lt;100,"Medium 25-99",IF(E1015&lt;300,"High 100-299","Premium 300+")))</x:f>
        <x:v>Medium 25-99</x:v>
      </x:c>
      <x:c r="Y1015" t="n">
        <x:f>IF(C1015="Active",1,0)</x:f>
        <x:v>1</x:v>
      </x:c>
    </x:row>
    <x:row r="1016">
      <x:c r="A1016" t="str">
        <x:v>SKU01015</x:v>
      </x:c>
      <x:c r="B1016" t="str">
        <x:v>Sample Product 01015</x:v>
      </x:c>
      <x:c r="C1016" t="str">
        <x:v>Active</x:v>
      </x:c>
      <x:c r="D1016" t="str">
        <x:v>2026-03</x:v>
      </x:c>
      <x:c r="E1016" s="12" t="n">
        <x:v>14.27</x:v>
      </x:c>
      <x:c r="F1016" s="10" t="n">
        <x:v>0.231</x:v>
      </x:c>
      <x:c r="G1016" t="str">
        <x:v>OTC &amp; Wellness</x:v>
      </x:c>
      <x:c r="H1016" t="str">
        <x:v>Digestive Care</x:v>
      </x:c>
      <x:c r="I1016" t="str">
        <x:v>MFG012</x:v>
      </x:c>
      <x:c r="J1016" t="str">
        <x:v>Manufacturer 012</x:v>
      </x:c>
      <x:c r="K1016" t="str">
        <x:v>SUP022</x:v>
      </x:c>
      <x:c r="L1016" t="str">
        <x:v>Supplier 022</x:v>
      </x:c>
      <x:c r="M1016" t="str">
        <x:v>REG-819301</x:v>
      </x:c>
      <x:c r="N1016" t="str">
        <x:v>Generic Ingredient 005</x:v>
      </x:c>
      <x:c r="O1016" t="str">
        <x:v>Pharmacy Only</x:v>
      </x:c>
      <x:c r="P1016" t="n">
        <x:v>13</x:v>
      </x:c>
      <x:c r="Q1016" t="n">
        <x:v>12</x:v>
      </x:c>
      <x:c r="R1016" t="n">
        <x:v>0</x:v>
      </x:c>
      <x:c r="S1016" s="12" t="n">
        <x:f>E1016*Q1016</x:f>
        <x:v>171.24</x:v>
      </x:c>
      <x:c r="T1016" s="12" t="n">
        <x:f>ROUND(S1016*F1016+0.000000001,2)</x:f>
        <x:v>39.56</x:v>
      </x:c>
      <x:c r="U1016" s="12" t="n">
        <x:f>E1016*R1016</x:f>
        <x:v>0</x:v>
      </x:c>
      <x:c r="V1016" t="str">
        <x:f>IF(AND(C1016="Active",Q1016=0),"Active Zero Sales","Not Zero Sales")</x:f>
        <x:v>Not Zero Sales</x:v>
      </x:c>
      <x:c r="W1016" s="12" t="n">
        <x:f>IF(V1016="Active Zero Sales",U1016,0)</x:f>
        <x:v>0</x:v>
      </x:c>
      <x:c r="X1016" t="str">
        <x:f>IF(E1016&lt;25,"Low &lt; 25",IF(E1016&lt;100,"Medium 25-99",IF(E1016&lt;300,"High 100-299","Premium 300+")))</x:f>
        <x:v>Low &lt; 25</x:v>
      </x:c>
      <x:c r="Y1016" t="n">
        <x:f>IF(C1016="Active",1,0)</x:f>
        <x:v>1</x:v>
      </x:c>
    </x:row>
    <x:row r="1017">
      <x:c r="A1017" t="str">
        <x:v>SKU01016</x:v>
      </x:c>
      <x:c r="B1017" t="str">
        <x:v>Sample Product 01016</x:v>
      </x:c>
      <x:c r="C1017" t="str">
        <x:v>Active</x:v>
      </x:c>
      <x:c r="D1017" t="str">
        <x:v>2026-05</x:v>
      </x:c>
      <x:c r="E1017" s="12" t="n">
        <x:v>22.98</x:v>
      </x:c>
      <x:c r="F1017" s="10" t="n">
        <x:v>0.388</x:v>
      </x:c>
      <x:c r="G1017" t="str">
        <x:v>General Merchandise</x:v>
      </x:c>
      <x:c r="H1017" t="str">
        <x:v>Accessories</x:v>
      </x:c>
      <x:c r="I1017" t="str">
        <x:v>MFG006</x:v>
      </x:c>
      <x:c r="J1017" t="str">
        <x:v>Manufacturer 006</x:v>
      </x:c>
      <x:c r="K1017" t="str">
        <x:v>SUP020</x:v>
      </x:c>
      <x:c r="L1017" t="str">
        <x:v>Supplier 020</x:v>
      </x:c>
      <x:c r="M1017" t="str">
        <x:v>REG-338500</x:v>
      </x:c>
      <x:c r="N1017" t="str">
        <x:v>Generic Ingredient 111</x:v>
      </x:c>
      <x:c r="O1017" t="str">
        <x:v>Pharmacy Only</x:v>
      </x:c>
      <x:c r="P1017" t="n">
        <x:v>99</x:v>
      </x:c>
      <x:c r="Q1017" t="n">
        <x:v>49</x:v>
      </x:c>
      <x:c r="R1017" t="n">
        <x:v>27</x:v>
      </x:c>
      <x:c r="S1017" s="12" t="n">
        <x:f>E1017*Q1017</x:f>
        <x:v>1126.02</x:v>
      </x:c>
      <x:c r="T1017" s="12" t="n">
        <x:f>ROUND(S1017*F1017+0.000000001,2)</x:f>
        <x:v>436.9</x:v>
      </x:c>
      <x:c r="U1017" s="12" t="n">
        <x:f>E1017*R1017</x:f>
        <x:v>620.46</x:v>
      </x:c>
      <x:c r="V1017" t="str">
        <x:f>IF(AND(C1017="Active",Q1017=0),"Active Zero Sales","Not Zero Sales")</x:f>
        <x:v>Not Zero Sales</x:v>
      </x:c>
      <x:c r="W1017" s="12" t="n">
        <x:f>IF(V1017="Active Zero Sales",U1017,0)</x:f>
        <x:v>0</x:v>
      </x:c>
      <x:c r="X1017" t="str">
        <x:f>IF(E1017&lt;25,"Low &lt; 25",IF(E1017&lt;100,"Medium 25-99",IF(E1017&lt;300,"High 100-299","Premium 300+")))</x:f>
        <x:v>Low &lt; 25</x:v>
      </x:c>
      <x:c r="Y1017" t="n">
        <x:f>IF(C1017="Active",1,0)</x:f>
        <x:v>1</x:v>
      </x:c>
    </x:row>
    <x:row r="1018">
      <x:c r="A1018" t="str">
        <x:v>SKU01017</x:v>
      </x:c>
      <x:c r="B1018" t="str">
        <x:v>Sample Product 01017</x:v>
      </x:c>
      <x:c r="C1018" t="str">
        <x:v>Active</x:v>
      </x:c>
      <x:c r="D1018" t="str">
        <x:v>2026-06</x:v>
      </x:c>
      <x:c r="E1018" s="12" t="n">
        <x:v>188.95</x:v>
      </x:c>
      <x:c r="F1018" s="10" t="n">
        <x:v>0.342</x:v>
      </x:c>
      <x:c r="G1018" t="str">
        <x:v>Personal Care</x:v>
      </x:c>
      <x:c r="H1018" t="str">
        <x:v>Oral Care</x:v>
      </x:c>
      <x:c r="I1018" t="str">
        <x:v>MFG013</x:v>
      </x:c>
      <x:c r="J1018" t="str">
        <x:v>Manufacturer 013</x:v>
      </x:c>
      <x:c r="K1018" t="str">
        <x:v>SUP023</x:v>
      </x:c>
      <x:c r="L1018" t="str">
        <x:v>Supplier 023</x:v>
      </x:c>
      <x:c r="M1018" t="str">
        <x:v>REG-976991</x:v>
      </x:c>
      <x:c r="N1018" t="str">
        <x:v>Generic Ingredient 138</x:v>
      </x:c>
      <x:c r="O1018" t="str">
        <x:v>General Sale</x:v>
      </x:c>
      <x:c r="P1018" t="n">
        <x:v>53</x:v>
      </x:c>
      <x:c r="Q1018" t="n">
        <x:v>0</x:v>
      </x:c>
      <x:c r="R1018" t="n">
        <x:v>5</x:v>
      </x:c>
      <x:c r="S1018" s="12" t="n">
        <x:f>E1018*Q1018</x:f>
        <x:v>0</x:v>
      </x:c>
      <x:c r="T1018" s="12" t="n">
        <x:f>ROUND(S1018*F1018+0.000000001,2)</x:f>
        <x:v>0</x:v>
      </x:c>
      <x:c r="U1018" s="12" t="n">
        <x:f>E1018*R1018</x:f>
        <x:v>944.75</x:v>
      </x:c>
      <x:c r="V1018" t="str">
        <x:f>IF(AND(C1018="Active",Q1018=0),"Active Zero Sales","Not Zero Sales")</x:f>
        <x:v>Active Zero Sales</x:v>
      </x:c>
      <x:c r="W1018" s="12" t="n">
        <x:f>IF(V1018="Active Zero Sales",U1018,0)</x:f>
        <x:v>944.75</x:v>
      </x:c>
      <x:c r="X1018" t="str">
        <x:f>IF(E1018&lt;25,"Low &lt; 25",IF(E1018&lt;100,"Medium 25-99",IF(E1018&lt;300,"High 100-299","Premium 300+")))</x:f>
        <x:v>High 100-299</x:v>
      </x:c>
      <x:c r="Y1018" t="n">
        <x:f>IF(C1018="Active",1,0)</x:f>
        <x:v>1</x:v>
      </x:c>
    </x:row>
    <x:row r="1019">
      <x:c r="A1019" t="str">
        <x:v>SKU01018</x:v>
      </x:c>
      <x:c r="B1019" t="str">
        <x:v>Sample Product 01018</x:v>
      </x:c>
      <x:c r="C1019" t="str">
        <x:v>Active</x:v>
      </x:c>
      <x:c r="D1019" t="str">
        <x:v>2026-06</x:v>
      </x:c>
      <x:c r="E1019" s="12" t="n">
        <x:v>75.34</x:v>
      </x:c>
      <x:c r="F1019" s="10" t="n">
        <x:v>0.19</x:v>
      </x:c>
      <x:c r="G1019" t="str">
        <x:v>General Merchandise</x:v>
      </x:c>
      <x:c r="H1019" t="str">
        <x:v>Accessories</x:v>
      </x:c>
      <x:c r="I1019" t="str">
        <x:v>MFG019</x:v>
      </x:c>
      <x:c r="J1019" t="str">
        <x:v>Manufacturer 019</x:v>
      </x:c>
      <x:c r="K1019" t="str">
        <x:v>SUP010</x:v>
      </x:c>
      <x:c r="L1019" t="str">
        <x:v>Supplier 010</x:v>
      </x:c>
      <x:c r="M1019" t="str">
        <x:v>REG-956430</x:v>
      </x:c>
      <x:c r="N1019" t="str">
        <x:v>Generic Ingredient 051</x:v>
      </x:c>
      <x:c r="O1019" t="str">
        <x:v>General Sale</x:v>
      </x:c>
      <x:c r="P1019" t="n">
        <x:v>89</x:v>
      </x:c>
      <x:c r="Q1019" t="n">
        <x:v>58</x:v>
      </x:c>
      <x:c r="R1019" t="n">
        <x:v>26</x:v>
      </x:c>
      <x:c r="S1019" s="12" t="n">
        <x:f>E1019*Q1019</x:f>
        <x:v>4369.72</x:v>
      </x:c>
      <x:c r="T1019" s="12" t="n">
        <x:f>ROUND(S1019*F1019+0.000000001,2)</x:f>
        <x:v>830.25</x:v>
      </x:c>
      <x:c r="U1019" s="12" t="n">
        <x:f>E1019*R1019</x:f>
        <x:v>1958.8400000000001</x:v>
      </x:c>
      <x:c r="V1019" t="str">
        <x:f>IF(AND(C1019="Active",Q1019=0),"Active Zero Sales","Not Zero Sales")</x:f>
        <x:v>Not Zero Sales</x:v>
      </x:c>
      <x:c r="W1019" s="12" t="n">
        <x:f>IF(V1019="Active Zero Sales",U1019,0)</x:f>
        <x:v>0</x:v>
      </x:c>
      <x:c r="X1019" t="str">
        <x:f>IF(E1019&lt;25,"Low &lt; 25",IF(E1019&lt;100,"Medium 25-99",IF(E1019&lt;300,"High 100-299","Premium 300+")))</x:f>
        <x:v>Medium 25-99</x:v>
      </x:c>
      <x:c r="Y1019" t="n">
        <x:f>IF(C1019="Active",1,0)</x:f>
        <x:v>1</x:v>
      </x:c>
    </x:row>
    <x:row r="1020">
      <x:c r="A1020" t="str">
        <x:v>SKU01019</x:v>
      </x:c>
      <x:c r="B1020" t="str">
        <x:v>Sample Product 01019</x:v>
      </x:c>
      <x:c r="C1020" t="str">
        <x:v>Active</x:v>
      </x:c>
      <x:c r="D1020" t="str">
        <x:v>2026-05</x:v>
      </x:c>
      <x:c r="E1020" s="12" t="n">
        <x:v>75.91</x:v>
      </x:c>
      <x:c r="F1020" s="10" t="n">
        <x:v>0.443</x:v>
      </x:c>
      <x:c r="G1020" t="str">
        <x:v>OTC &amp; Wellness</x:v>
      </x:c>
      <x:c r="H1020" t="str">
        <x:v>Digestive Care</x:v>
      </x:c>
      <x:c r="I1020" t="str">
        <x:v>MFG009</x:v>
      </x:c>
      <x:c r="J1020" t="str">
        <x:v>Manufacturer 009</x:v>
      </x:c>
      <x:c r="K1020" t="str">
        <x:v>SUP019</x:v>
      </x:c>
      <x:c r="L1020" t="str">
        <x:v>Supplier 019</x:v>
      </x:c>
      <x:c r="M1020" t="str">
        <x:v>REG-249245</x:v>
      </x:c>
      <x:c r="N1020" t="str">
        <x:v>Generic Ingredient 080</x:v>
      </x:c>
      <x:c r="O1020" t="str">
        <x:v>General Sale</x:v>
      </x:c>
      <x:c r="P1020" t="n">
        <x:v>35</x:v>
      </x:c>
      <x:c r="Q1020" t="n">
        <x:v>0</x:v>
      </x:c>
      <x:c r="R1020" t="n">
        <x:v>21</x:v>
      </x:c>
      <x:c r="S1020" s="12" t="n">
        <x:f>E1020*Q1020</x:f>
        <x:v>0</x:v>
      </x:c>
      <x:c r="T1020" s="12" t="n">
        <x:f>ROUND(S1020*F1020+0.000000001,2)</x:f>
        <x:v>0</x:v>
      </x:c>
      <x:c r="U1020" s="12" t="n">
        <x:f>E1020*R1020</x:f>
        <x:v>1594.11</x:v>
      </x:c>
      <x:c r="V1020" t="str">
        <x:f>IF(AND(C1020="Active",Q1020=0),"Active Zero Sales","Not Zero Sales")</x:f>
        <x:v>Active Zero Sales</x:v>
      </x:c>
      <x:c r="W1020" s="12" t="n">
        <x:f>IF(V1020="Active Zero Sales",U1020,0)</x:f>
        <x:v>1594.11</x:v>
      </x:c>
      <x:c r="X1020" t="str">
        <x:f>IF(E1020&lt;25,"Low &lt; 25",IF(E1020&lt;100,"Medium 25-99",IF(E1020&lt;300,"High 100-299","Premium 300+")))</x:f>
        <x:v>Medium 25-99</x:v>
      </x:c>
      <x:c r="Y1020" t="n">
        <x:f>IF(C1020="Active",1,0)</x:f>
        <x:v>1</x:v>
      </x:c>
    </x:row>
    <x:row r="1021">
      <x:c r="A1021" t="str">
        <x:v>SKU01020</x:v>
      </x:c>
      <x:c r="B1021" t="str">
        <x:v>Sample Product 01020</x:v>
      </x:c>
      <x:c r="C1021" t="str">
        <x:v>Active</x:v>
      </x:c>
      <x:c r="D1021" t="str">
        <x:v>2026-03</x:v>
      </x:c>
      <x:c r="E1021" s="12" t="n">
        <x:v>99.63</x:v>
      </x:c>
      <x:c r="F1021" s="10" t="n">
        <x:v>0.151</x:v>
      </x:c>
      <x:c r="G1021" t="str">
        <x:v>Nutrition</x:v>
      </x:c>
      <x:c r="H1021" t="str">
        <x:v>Healthy Snacks</x:v>
      </x:c>
      <x:c r="I1021" t="str">
        <x:v>MFG007</x:v>
      </x:c>
      <x:c r="J1021" t="str">
        <x:v>Manufacturer 007</x:v>
      </x:c>
      <x:c r="K1021" t="str">
        <x:v>SUP012</x:v>
      </x:c>
      <x:c r="L1021" t="str">
        <x:v>Supplier 012</x:v>
      </x:c>
      <x:c r="M1021" t="str">
        <x:v>REG-856047</x:v>
      </x:c>
      <x:c r="N1021" t="str">
        <x:v>Generic Ingredient 179</x:v>
      </x:c>
      <x:c r="O1021" t="str">
        <x:v>General Sale</x:v>
      </x:c>
      <x:c r="P1021" t="n">
        <x:v>55</x:v>
      </x:c>
      <x:c r="Q1021" t="n">
        <x:v>16</x:v>
      </x:c>
      <x:c r="R1021" t="n">
        <x:v>4</x:v>
      </x:c>
      <x:c r="S1021" s="12" t="n">
        <x:f>E1021*Q1021</x:f>
        <x:v>1594.08</x:v>
      </x:c>
      <x:c r="T1021" s="12" t="n">
        <x:f>ROUND(S1021*F1021+0.000000001,2)</x:f>
        <x:v>240.71</x:v>
      </x:c>
      <x:c r="U1021" s="12" t="n">
        <x:f>E1021*R1021</x:f>
        <x:v>398.52</x:v>
      </x:c>
      <x:c r="V1021" t="str">
        <x:f>IF(AND(C1021="Active",Q1021=0),"Active Zero Sales","Not Zero Sales")</x:f>
        <x:v>Not Zero Sales</x:v>
      </x:c>
      <x:c r="W1021" s="12" t="n">
        <x:f>IF(V1021="Active Zero Sales",U1021,0)</x:f>
        <x:v>0</x:v>
      </x:c>
      <x:c r="X1021" t="str">
        <x:f>IF(E1021&lt;25,"Low &lt; 25",IF(E1021&lt;100,"Medium 25-99",IF(E1021&lt;300,"High 100-299","Premium 300+")))</x:f>
        <x:v>Medium 25-99</x:v>
      </x:c>
      <x:c r="Y1021" t="n">
        <x:f>IF(C1021="Active",1,0)</x:f>
        <x:v>1</x:v>
      </x:c>
    </x:row>
    <x:row r="1022">
      <x:c r="A1022" t="str">
        <x:v>SKU01021</x:v>
      </x:c>
      <x:c r="B1022" t="str">
        <x:v>Sample Product 01021</x:v>
      </x:c>
      <x:c r="C1022" t="str">
        <x:v>Active</x:v>
      </x:c>
      <x:c r="D1022" t="str">
        <x:v>2026-01</x:v>
      </x:c>
      <x:c r="E1022" s="12" t="n">
        <x:v>79.68</x:v>
      </x:c>
      <x:c r="F1022" s="10" t="n">
        <x:v>0.306</x:v>
      </x:c>
      <x:c r="G1022" t="str">
        <x:v>Medical Devices</x:v>
      </x:c>
      <x:c r="H1022" t="str">
        <x:v>First Aid</x:v>
      </x:c>
      <x:c r="I1022" t="str">
        <x:v>MFG015</x:v>
      </x:c>
      <x:c r="J1022" t="str">
        <x:v>Manufacturer 015</x:v>
      </x:c>
      <x:c r="K1022" t="str">
        <x:v>SUP005</x:v>
      </x:c>
      <x:c r="L1022" t="str">
        <x:v>Supplier 005</x:v>
      </x:c>
      <x:c r="M1022" t="str">
        <x:v>REG-282957</x:v>
      </x:c>
      <x:c r="N1022" t="str">
        <x:v>Generic Ingredient 178</x:v>
      </x:c>
      <x:c r="O1022" t="str">
        <x:v>General Sale</x:v>
      </x:c>
      <x:c r="P1022" t="n">
        <x:v>81</x:v>
      </x:c>
      <x:c r="Q1022" t="n">
        <x:v>44</x:v>
      </x:c>
      <x:c r="R1022" t="n">
        <x:v>13</x:v>
      </x:c>
      <x:c r="S1022" s="12" t="n">
        <x:f>E1022*Q1022</x:f>
        <x:v>3505.92</x:v>
      </x:c>
      <x:c r="T1022" s="12" t="n">
        <x:f>ROUND(S1022*F1022+0.000000001,2)</x:f>
        <x:v>1072.81</x:v>
      </x:c>
      <x:c r="U1022" s="12" t="n">
        <x:f>E1022*R1022</x:f>
        <x:v>1035.8400000000001</x:v>
      </x:c>
      <x:c r="V1022" t="str">
        <x:f>IF(AND(C1022="Active",Q1022=0),"Active Zero Sales","Not Zero Sales")</x:f>
        <x:v>Not Zero Sales</x:v>
      </x:c>
      <x:c r="W1022" s="12" t="n">
        <x:f>IF(V1022="Active Zero Sales",U1022,0)</x:f>
        <x:v>0</x:v>
      </x:c>
      <x:c r="X1022" t="str">
        <x:f>IF(E1022&lt;25,"Low &lt; 25",IF(E1022&lt;100,"Medium 25-99",IF(E1022&lt;300,"High 100-299","Premium 300+")))</x:f>
        <x:v>Medium 25-99</x:v>
      </x:c>
      <x:c r="Y1022" t="n">
        <x:f>IF(C1022="Active",1,0)</x:f>
        <x:v>1</x:v>
      </x:c>
    </x:row>
    <x:row r="1023">
      <x:c r="A1023" t="str">
        <x:v>SKU01022</x:v>
      </x:c>
      <x:c r="B1023" t="str">
        <x:v>Sample Product 01022</x:v>
      </x:c>
      <x:c r="C1023" t="str">
        <x:v>Active</x:v>
      </x:c>
      <x:c r="D1023" t="str">
        <x:v>2026-05</x:v>
      </x:c>
      <x:c r="E1023" s="12" t="n">
        <x:v>7.38</x:v>
      </x:c>
      <x:c r="F1023" s="10" t="n">
        <x:v>0.188</x:v>
      </x:c>
      <x:c r="G1023" t="str">
        <x:v>Medical Devices</x:v>
      </x:c>
      <x:c r="H1023" t="str">
        <x:v>Monitoring Supplies</x:v>
      </x:c>
      <x:c r="I1023" t="str">
        <x:v>MFG010</x:v>
      </x:c>
      <x:c r="J1023" t="str">
        <x:v>Manufacturer 010</x:v>
      </x:c>
      <x:c r="K1023" t="str">
        <x:v>SUP002</x:v>
      </x:c>
      <x:c r="L1023" t="str">
        <x:v>Supplier 002</x:v>
      </x:c>
      <x:c r="M1023" t="str">
        <x:v>REG-460703</x:v>
      </x:c>
      <x:c r="N1023" t="str">
        <x:v>Generic Ingredient 111</x:v>
      </x:c>
      <x:c r="O1023" t="str">
        <x:v>General Sale</x:v>
      </x:c>
      <x:c r="P1023" t="n">
        <x:v>68</x:v>
      </x:c>
      <x:c r="Q1023" t="n">
        <x:v>0</x:v>
      </x:c>
      <x:c r="R1023" t="n">
        <x:v>27</x:v>
      </x:c>
      <x:c r="S1023" s="12" t="n">
        <x:f>E1023*Q1023</x:f>
        <x:v>0</x:v>
      </x:c>
      <x:c r="T1023" s="12" t="n">
        <x:f>ROUND(S1023*F1023+0.000000001,2)</x:f>
        <x:v>0</x:v>
      </x:c>
      <x:c r="U1023" s="12" t="n">
        <x:f>E1023*R1023</x:f>
        <x:v>199.26</x:v>
      </x:c>
      <x:c r="V1023" t="str">
        <x:f>IF(AND(C1023="Active",Q1023=0),"Active Zero Sales","Not Zero Sales")</x:f>
        <x:v>Active Zero Sales</x:v>
      </x:c>
      <x:c r="W1023" s="12" t="n">
        <x:f>IF(V1023="Active Zero Sales",U1023,0)</x:f>
        <x:v>199.26</x:v>
      </x:c>
      <x:c r="X1023" t="str">
        <x:f>IF(E1023&lt;25,"Low &lt; 25",IF(E1023&lt;100,"Medium 25-99",IF(E1023&lt;300,"High 100-299","Premium 300+")))</x:f>
        <x:v>Low &lt; 25</x:v>
      </x:c>
      <x:c r="Y1023" t="n">
        <x:f>IF(C1023="Active",1,0)</x:f>
        <x:v>1</x:v>
      </x:c>
    </x:row>
    <x:row r="1024">
      <x:c r="A1024" t="str">
        <x:v>SKU01023</x:v>
      </x:c>
      <x:c r="B1024" t="str">
        <x:v>Sample Product 01023</x:v>
      </x:c>
      <x:c r="C1024" t="str">
        <x:v>Active</x:v>
      </x:c>
      <x:c r="D1024" t="str">
        <x:v>2026-01</x:v>
      </x:c>
      <x:c r="E1024" s="12" t="n">
        <x:v>92.82</x:v>
      </x:c>
      <x:c r="F1024" s="10" t="n">
        <x:v>0.439</x:v>
      </x:c>
      <x:c r="G1024" t="str">
        <x:v>Nutrition</x:v>
      </x:c>
      <x:c r="H1024" t="str">
        <x:v>Hydration</x:v>
      </x:c>
      <x:c r="I1024" t="str">
        <x:v>MFG017</x:v>
      </x:c>
      <x:c r="J1024" t="str">
        <x:v>Manufacturer 017</x:v>
      </x:c>
      <x:c r="K1024" t="str">
        <x:v>SUP022</x:v>
      </x:c>
      <x:c r="L1024" t="str">
        <x:v>Supplier 022</x:v>
      </x:c>
      <x:c r="M1024" t="str">
        <x:v>REG-197661</x:v>
      </x:c>
      <x:c r="N1024" t="str">
        <x:v>Generic Ingredient 095</x:v>
      </x:c>
      <x:c r="O1024" t="str">
        <x:v>Pharmacy Only</x:v>
      </x:c>
      <x:c r="P1024" t="n">
        <x:v>1</x:v>
      </x:c>
      <x:c r="Q1024" t="n">
        <x:v>6</x:v>
      </x:c>
      <x:c r="R1024" t="n">
        <x:v>5</x:v>
      </x:c>
      <x:c r="S1024" s="12" t="n">
        <x:f>E1024*Q1024</x:f>
        <x:v>556.92</x:v>
      </x:c>
      <x:c r="T1024" s="12" t="n">
        <x:f>ROUND(S1024*F1024+0.000000001,2)</x:f>
        <x:v>244.49</x:v>
      </x:c>
      <x:c r="U1024" s="12" t="n">
        <x:f>E1024*R1024</x:f>
        <x:v>464.09999999999997</x:v>
      </x:c>
      <x:c r="V1024" t="str">
        <x:f>IF(AND(C1024="Active",Q1024=0),"Active Zero Sales","Not Zero Sales")</x:f>
        <x:v>Not Zero Sales</x:v>
      </x:c>
      <x:c r="W1024" s="12" t="n">
        <x:f>IF(V1024="Active Zero Sales",U1024,0)</x:f>
        <x:v>0</x:v>
      </x:c>
      <x:c r="X1024" t="str">
        <x:f>IF(E1024&lt;25,"Low &lt; 25",IF(E1024&lt;100,"Medium 25-99",IF(E1024&lt;300,"High 100-299","Premium 300+")))</x:f>
        <x:v>Medium 25-99</x:v>
      </x:c>
      <x:c r="Y1024" t="n">
        <x:f>IF(C1024="Active",1,0)</x:f>
        <x:v>1</x:v>
      </x:c>
    </x:row>
    <x:row r="1025">
      <x:c r="A1025" t="str">
        <x:v>SKU01024</x:v>
      </x:c>
      <x:c r="B1025" t="str">
        <x:v>Sample Product 01024</x:v>
      </x:c>
      <x:c r="C1025" t="str">
        <x:v>Active</x:v>
      </x:c>
      <x:c r="D1025" t="str">
        <x:v>2026-05</x:v>
      </x:c>
      <x:c r="E1025" s="12" t="n">
        <x:v>152.83</x:v>
      </x:c>
      <x:c r="F1025" s="10" t="n">
        <x:v>0.291</x:v>
      </x:c>
      <x:c r="G1025" t="str">
        <x:v>Nutrition</x:v>
      </x:c>
      <x:c r="H1025" t="str">
        <x:v>Healthy Snacks</x:v>
      </x:c>
      <x:c r="I1025" t="str">
        <x:v>MFG010</x:v>
      </x:c>
      <x:c r="J1025" t="str">
        <x:v>Manufacturer 010</x:v>
      </x:c>
      <x:c r="K1025" t="str">
        <x:v>SUP014</x:v>
      </x:c>
      <x:c r="L1025" t="str">
        <x:v>Supplier 014</x:v>
      </x:c>
      <x:c r="M1025" t="str">
        <x:v>REG-673339</x:v>
      </x:c>
      <x:c r="N1025" t="str">
        <x:v>Generic Ingredient 104</x:v>
      </x:c>
      <x:c r="O1025" t="str">
        <x:v>General Sale</x:v>
      </x:c>
      <x:c r="P1025" t="n">
        <x:v>52</x:v>
      </x:c>
      <x:c r="Q1025" t="n">
        <x:v>21</x:v>
      </x:c>
      <x:c r="R1025" t="n">
        <x:v>0</x:v>
      </x:c>
      <x:c r="S1025" s="12" t="n">
        <x:f>E1025*Q1025</x:f>
        <x:v>3209.4300000000003</x:v>
      </x:c>
      <x:c r="T1025" s="12" t="n">
        <x:f>ROUND(S1025*F1025+0.000000001,2)</x:f>
        <x:v>933.94</x:v>
      </x:c>
      <x:c r="U1025" s="12" t="n">
        <x:f>E1025*R1025</x:f>
        <x:v>0</x:v>
      </x:c>
      <x:c r="V1025" t="str">
        <x:f>IF(AND(C1025="Active",Q1025=0),"Active Zero Sales","Not Zero Sales")</x:f>
        <x:v>Not Zero Sales</x:v>
      </x:c>
      <x:c r="W1025" s="12" t="n">
        <x:f>IF(V1025="Active Zero Sales",U1025,0)</x:f>
        <x:v>0</x:v>
      </x:c>
      <x:c r="X1025" t="str">
        <x:f>IF(E1025&lt;25,"Low &lt; 25",IF(E1025&lt;100,"Medium 25-99",IF(E1025&lt;300,"High 100-299","Premium 300+")))</x:f>
        <x:v>High 100-299</x:v>
      </x:c>
      <x:c r="Y1025" t="n">
        <x:f>IF(C1025="Active",1,0)</x:f>
        <x:v>1</x:v>
      </x:c>
    </x:row>
    <x:row r="1026">
      <x:c r="A1026" t="str">
        <x:v>SKU01025</x:v>
      </x:c>
      <x:c r="B1026" t="str">
        <x:v>Sample Product 01025</x:v>
      </x:c>
      <x:c r="C1026" t="str">
        <x:v>Active</x:v>
      </x:c>
      <x:c r="D1026" t="str">
        <x:v>2026-05</x:v>
      </x:c>
      <x:c r="E1026" s="12" t="n">
        <x:v>116.11</x:v>
      </x:c>
      <x:c r="F1026" s="10" t="n">
        <x:v>0.402</x:v>
      </x:c>
      <x:c r="G1026" t="str">
        <x:v>Personal Care</x:v>
      </x:c>
      <x:c r="H1026" t="str">
        <x:v>Oral Care</x:v>
      </x:c>
      <x:c r="I1026" t="str">
        <x:v>MFG014</x:v>
      </x:c>
      <x:c r="J1026" t="str">
        <x:v>Manufacturer 014</x:v>
      </x:c>
      <x:c r="K1026" t="str">
        <x:v>SUP006</x:v>
      </x:c>
      <x:c r="L1026" t="str">
        <x:v>Supplier 006</x:v>
      </x:c>
      <x:c r="M1026" t="str">
        <x:v>REG-905675</x:v>
      </x:c>
      <x:c r="N1026" t="str">
        <x:v>Generic Ingredient 107</x:v>
      </x:c>
      <x:c r="O1026" t="str">
        <x:v>General Sale</x:v>
      </x:c>
      <x:c r="P1026" t="n">
        <x:v>45</x:v>
      </x:c>
      <x:c r="Q1026" t="n">
        <x:v>0</x:v>
      </x:c>
      <x:c r="R1026" t="n">
        <x:v>41</x:v>
      </x:c>
      <x:c r="S1026" s="12" t="n">
        <x:f>E1026*Q1026</x:f>
        <x:v>0</x:v>
      </x:c>
      <x:c r="T1026" s="12" t="n">
        <x:f>ROUND(S1026*F1026+0.000000001,2)</x:f>
        <x:v>0</x:v>
      </x:c>
      <x:c r="U1026" s="12" t="n">
        <x:f>E1026*R1026</x:f>
        <x:v>4760.51</x:v>
      </x:c>
      <x:c r="V1026" t="str">
        <x:f>IF(AND(C1026="Active",Q1026=0),"Active Zero Sales","Not Zero Sales")</x:f>
        <x:v>Active Zero Sales</x:v>
      </x:c>
      <x:c r="W1026" s="12" t="n">
        <x:f>IF(V1026="Active Zero Sales",U1026,0)</x:f>
        <x:v>4760.51</x:v>
      </x:c>
      <x:c r="X1026" t="str">
        <x:f>IF(E1026&lt;25,"Low &lt; 25",IF(E1026&lt;100,"Medium 25-99",IF(E1026&lt;300,"High 100-299","Premium 300+")))</x:f>
        <x:v>High 100-299</x:v>
      </x:c>
      <x:c r="Y1026" t="n">
        <x:f>IF(C1026="Active",1,0)</x:f>
        <x:v>1</x:v>
      </x:c>
    </x:row>
    <x:row r="1027">
      <x:c r="A1027" t="str">
        <x:v>SKU01026</x:v>
      </x:c>
      <x:c r="B1027" t="str">
        <x:v>Sample Product 01026</x:v>
      </x:c>
      <x:c r="C1027" t="str">
        <x:v>Active</x:v>
      </x:c>
      <x:c r="D1027" t="str">
        <x:v>2026-02</x:v>
      </x:c>
      <x:c r="E1027" s="12" t="n">
        <x:v>27.01</x:v>
      </x:c>
      <x:c r="F1027" s="10" t="n">
        <x:v>0.185</x:v>
      </x:c>
      <x:c r="G1027" t="str">
        <x:v>Nutrition</x:v>
      </x:c>
      <x:c r="H1027" t="str">
        <x:v>Hydration</x:v>
      </x:c>
      <x:c r="I1027" t="str">
        <x:v>MFG020</x:v>
      </x:c>
      <x:c r="J1027" t="str">
        <x:v>Manufacturer 020</x:v>
      </x:c>
      <x:c r="K1027" t="str">
        <x:v>SUP013</x:v>
      </x:c>
      <x:c r="L1027" t="str">
        <x:v>Supplier 013</x:v>
      </x:c>
      <x:c r="M1027" t="str">
        <x:v>REG-466800</x:v>
      </x:c>
      <x:c r="N1027" t="str">
        <x:v>Generic Ingredient 124</x:v>
      </x:c>
      <x:c r="O1027" t="str">
        <x:v>General Sale</x:v>
      </x:c>
      <x:c r="P1027" t="n">
        <x:v>65</x:v>
      </x:c>
      <x:c r="Q1027" t="n">
        <x:v>56</x:v>
      </x:c>
      <x:c r="R1027" t="n">
        <x:v>12</x:v>
      </x:c>
      <x:c r="S1027" s="12" t="n">
        <x:f>E1027*Q1027</x:f>
        <x:v>1512.5600000000002</x:v>
      </x:c>
      <x:c r="T1027" s="12" t="n">
        <x:f>ROUND(S1027*F1027+0.000000001,2)</x:f>
        <x:v>279.82</x:v>
      </x:c>
      <x:c r="U1027" s="12" t="n">
        <x:f>E1027*R1027</x:f>
        <x:v>324.12</x:v>
      </x:c>
      <x:c r="V1027" t="str">
        <x:f>IF(AND(C1027="Active",Q1027=0),"Active Zero Sales","Not Zero Sales")</x:f>
        <x:v>Not Zero Sales</x:v>
      </x:c>
      <x:c r="W1027" s="12" t="n">
        <x:f>IF(V1027="Active Zero Sales",U1027,0)</x:f>
        <x:v>0</x:v>
      </x:c>
      <x:c r="X1027" t="str">
        <x:f>IF(E1027&lt;25,"Low &lt; 25",IF(E1027&lt;100,"Medium 25-99",IF(E1027&lt;300,"High 100-299","Premium 300+")))</x:f>
        <x:v>Medium 25-99</x:v>
      </x:c>
      <x:c r="Y1027" t="n">
        <x:f>IF(C1027="Active",1,0)</x:f>
        <x:v>1</x:v>
      </x:c>
    </x:row>
    <x:row r="1028">
      <x:c r="A1028" t="str">
        <x:v>SKU01027</x:v>
      </x:c>
      <x:c r="B1028" t="str">
        <x:v>Sample Product 01027</x:v>
      </x:c>
      <x:c r="C1028" t="str">
        <x:v>Active</x:v>
      </x:c>
      <x:c r="D1028" t="str">
        <x:v>2026-02</x:v>
      </x:c>
      <x:c r="E1028" s="12" t="n">
        <x:v>58.82</x:v>
      </x:c>
      <x:c r="F1028" s="10" t="n">
        <x:v>0.375</x:v>
      </x:c>
      <x:c r="G1028" t="str">
        <x:v>Medical Devices</x:v>
      </x:c>
      <x:c r="H1028" t="str">
        <x:v>Home Diagnostics</x:v>
      </x:c>
      <x:c r="I1028" t="str">
        <x:v>MFG011</x:v>
      </x:c>
      <x:c r="J1028" t="str">
        <x:v>Manufacturer 011</x:v>
      </x:c>
      <x:c r="K1028" t="str">
        <x:v>SUP003</x:v>
      </x:c>
      <x:c r="L1028" t="str">
        <x:v>Supplier 003</x:v>
      </x:c>
      <x:c r="M1028" t="str">
        <x:v>REG-919070</x:v>
      </x:c>
      <x:c r="N1028" t="str">
        <x:v>Generic Ingredient 029</x:v>
      </x:c>
      <x:c r="O1028" t="str">
        <x:v>General Sale</x:v>
      </x:c>
      <x:c r="P1028" t="n">
        <x:v>43</x:v>
      </x:c>
      <x:c r="Q1028" t="n">
        <x:v>17</x:v>
      </x:c>
      <x:c r="R1028" t="n">
        <x:v>0</x:v>
      </x:c>
      <x:c r="S1028" s="12" t="n">
        <x:f>E1028*Q1028</x:f>
        <x:v>999.94</x:v>
      </x:c>
      <x:c r="T1028" s="12" t="n">
        <x:f>ROUND(S1028*F1028+0.000000001,2)</x:f>
        <x:v>374.98</x:v>
      </x:c>
      <x:c r="U1028" s="12" t="n">
        <x:f>E1028*R1028</x:f>
        <x:v>0</x:v>
      </x:c>
      <x:c r="V1028" t="str">
        <x:f>IF(AND(C1028="Active",Q1028=0),"Active Zero Sales","Not Zero Sales")</x:f>
        <x:v>Not Zero Sales</x:v>
      </x:c>
      <x:c r="W1028" s="12" t="n">
        <x:f>IF(V1028="Active Zero Sales",U1028,0)</x:f>
        <x:v>0</x:v>
      </x:c>
      <x:c r="X1028" t="str">
        <x:f>IF(E1028&lt;25,"Low &lt; 25",IF(E1028&lt;100,"Medium 25-99",IF(E1028&lt;300,"High 100-299","Premium 300+")))</x:f>
        <x:v>Medium 25-99</x:v>
      </x:c>
      <x:c r="Y1028" t="n">
        <x:f>IF(C1028="Active",1,0)</x:f>
        <x:v>1</x:v>
      </x:c>
    </x:row>
    <x:row r="1029">
      <x:c r="A1029" t="str">
        <x:v>SKU01028</x:v>
      </x:c>
      <x:c r="B1029" t="str">
        <x:v>Sample Product 01028</x:v>
      </x:c>
      <x:c r="C1029" t="str">
        <x:v>Active</x:v>
      </x:c>
      <x:c r="D1029" t="str">
        <x:v>2026-03</x:v>
      </x:c>
      <x:c r="E1029" s="12" t="n">
        <x:v>23.99</x:v>
      </x:c>
      <x:c r="F1029" s="10" t="n">
        <x:v>0.431</x:v>
      </x:c>
      <x:c r="G1029" t="str">
        <x:v>OTC &amp; Wellness</x:v>
      </x:c>
      <x:c r="H1029" t="str">
        <x:v>Digestive Care</x:v>
      </x:c>
      <x:c r="I1029" t="str">
        <x:v>MFG003</x:v>
      </x:c>
      <x:c r="J1029" t="str">
        <x:v>Manufacturer 003</x:v>
      </x:c>
      <x:c r="K1029" t="str">
        <x:v>SUP023</x:v>
      </x:c>
      <x:c r="L1029" t="str">
        <x:v>Supplier 023</x:v>
      </x:c>
      <x:c r="M1029" t="str">
        <x:v>REG-287560</x:v>
      </x:c>
      <x:c r="N1029" t="str">
        <x:v>Generic Ingredient 059</x:v>
      </x:c>
      <x:c r="O1029" t="str">
        <x:v>General Sale</x:v>
      </x:c>
      <x:c r="P1029" t="n">
        <x:v>19</x:v>
      </x:c>
      <x:c r="Q1029" t="n">
        <x:v>12</x:v>
      </x:c>
      <x:c r="R1029" t="n">
        <x:v>0</x:v>
      </x:c>
      <x:c r="S1029" s="12" t="n">
        <x:f>E1029*Q1029</x:f>
        <x:v>287.88</x:v>
      </x:c>
      <x:c r="T1029" s="12" t="n">
        <x:f>ROUND(S1029*F1029+0.000000001,2)</x:f>
        <x:v>124.08</x:v>
      </x:c>
      <x:c r="U1029" s="12" t="n">
        <x:f>E1029*R1029</x:f>
        <x:v>0</x:v>
      </x:c>
      <x:c r="V1029" t="str">
        <x:f>IF(AND(C1029="Active",Q1029=0),"Active Zero Sales","Not Zero Sales")</x:f>
        <x:v>Not Zero Sales</x:v>
      </x:c>
      <x:c r="W1029" s="12" t="n">
        <x:f>IF(V1029="Active Zero Sales",U1029,0)</x:f>
        <x:v>0</x:v>
      </x:c>
      <x:c r="X1029" t="str">
        <x:f>IF(E1029&lt;25,"Low &lt; 25",IF(E1029&lt;100,"Medium 25-99",IF(E1029&lt;300,"High 100-299","Premium 300+")))</x:f>
        <x:v>Low &lt; 25</x:v>
      </x:c>
      <x:c r="Y1029" t="n">
        <x:f>IF(C1029="Active",1,0)</x:f>
        <x:v>1</x:v>
      </x:c>
    </x:row>
    <x:row r="1030">
      <x:c r="A1030" t="str">
        <x:v>SKU01029</x:v>
      </x:c>
      <x:c r="B1030" t="str">
        <x:v>Sample Product 01029</x:v>
      </x:c>
      <x:c r="C1030" t="str">
        <x:v>Active</x:v>
      </x:c>
      <x:c r="D1030" t="str">
        <x:v>2026-02</x:v>
      </x:c>
      <x:c r="E1030" s="12" t="n">
        <x:v>400.14</x:v>
      </x:c>
      <x:c r="F1030" s="10" t="n">
        <x:v>0.326</x:v>
      </x:c>
      <x:c r="G1030" t="str">
        <x:v>Medical Devices</x:v>
      </x:c>
      <x:c r="H1030" t="str">
        <x:v>Home Diagnostics</x:v>
      </x:c>
      <x:c r="I1030" t="str">
        <x:v>MFG007</x:v>
      </x:c>
      <x:c r="J1030" t="str">
        <x:v>Manufacturer 007</x:v>
      </x:c>
      <x:c r="K1030" t="str">
        <x:v>SUP003</x:v>
      </x:c>
      <x:c r="L1030" t="str">
        <x:v>Supplier 003</x:v>
      </x:c>
      <x:c r="M1030" t="str">
        <x:v>REG-644621</x:v>
      </x:c>
      <x:c r="N1030" t="str">
        <x:v>Generic Ingredient 138</x:v>
      </x:c>
      <x:c r="O1030" t="str">
        <x:v>Pharmacy Only</x:v>
      </x:c>
      <x:c r="P1030" t="n">
        <x:v>10</x:v>
      </x:c>
      <x:c r="Q1030" t="n">
        <x:v>17</x:v>
      </x:c>
      <x:c r="R1030" t="n">
        <x:v>0</x:v>
      </x:c>
      <x:c r="S1030" s="12" t="n">
        <x:f>E1030*Q1030</x:f>
        <x:v>6802.38</x:v>
      </x:c>
      <x:c r="T1030" s="12" t="n">
        <x:f>ROUND(S1030*F1030+0.000000001,2)</x:f>
        <x:v>2217.58</x:v>
      </x:c>
      <x:c r="U1030" s="12" t="n">
        <x:f>E1030*R1030</x:f>
        <x:v>0</x:v>
      </x:c>
      <x:c r="V1030" t="str">
        <x:f>IF(AND(C1030="Active",Q1030=0),"Active Zero Sales","Not Zero Sales")</x:f>
        <x:v>Not Zero Sales</x:v>
      </x:c>
      <x:c r="W1030" s="12" t="n">
        <x:f>IF(V1030="Active Zero Sales",U1030,0)</x:f>
        <x:v>0</x:v>
      </x:c>
      <x:c r="X1030" t="str">
        <x:f>IF(E1030&lt;25,"Low &lt; 25",IF(E1030&lt;100,"Medium 25-99",IF(E1030&lt;300,"High 100-299","Premium 300+")))</x:f>
        <x:v>Premium 300+</x:v>
      </x:c>
      <x:c r="Y1030" t="n">
        <x:f>IF(C1030="Active",1,0)</x:f>
        <x:v>1</x:v>
      </x:c>
    </x:row>
    <x:row r="1031">
      <x:c r="A1031" t="str">
        <x:v>SKU01030</x:v>
      </x:c>
      <x:c r="B1031" t="str">
        <x:v>Sample Product 01030</x:v>
      </x:c>
      <x:c r="C1031" t="str">
        <x:v>Active</x:v>
      </x:c>
      <x:c r="D1031" t="str">
        <x:v>2026-01</x:v>
      </x:c>
      <x:c r="E1031" s="12" t="n">
        <x:v>34.49</x:v>
      </x:c>
      <x:c r="F1031" s="10" t="n">
        <x:v>0.492</x:v>
      </x:c>
      <x:c r="G1031" t="str">
        <x:v>OTC &amp; Wellness</x:v>
      </x:c>
      <x:c r="H1031" t="str">
        <x:v>Vitamins</x:v>
      </x:c>
      <x:c r="I1031" t="str">
        <x:v>MFG018</x:v>
      </x:c>
      <x:c r="J1031" t="str">
        <x:v>Manufacturer 018</x:v>
      </x:c>
      <x:c r="K1031" t="str">
        <x:v>SUP024</x:v>
      </x:c>
      <x:c r="L1031" t="str">
        <x:v>Supplier 024</x:v>
      </x:c>
      <x:c r="M1031" t="str">
        <x:v>REG-944502</x:v>
      </x:c>
      <x:c r="N1031" t="str">
        <x:v>Generic Ingredient 146</x:v>
      </x:c>
      <x:c r="O1031" t="str">
        <x:v>General Sale</x:v>
      </x:c>
      <x:c r="P1031" t="n">
        <x:v>60</x:v>
      </x:c>
      <x:c r="Q1031" t="n">
        <x:v>15</x:v>
      </x:c>
      <x:c r="R1031" t="n">
        <x:v>9</x:v>
      </x:c>
      <x:c r="S1031" s="12" t="n">
        <x:f>E1031*Q1031</x:f>
        <x:v>517.35</x:v>
      </x:c>
      <x:c r="T1031" s="12" t="n">
        <x:f>ROUND(S1031*F1031+0.000000001,2)</x:f>
        <x:v>254.54</x:v>
      </x:c>
      <x:c r="U1031" s="12" t="n">
        <x:f>E1031*R1031</x:f>
        <x:v>310.41</x:v>
      </x:c>
      <x:c r="V1031" t="str">
        <x:f>IF(AND(C1031="Active",Q1031=0),"Active Zero Sales","Not Zero Sales")</x:f>
        <x:v>Not Zero Sales</x:v>
      </x:c>
      <x:c r="W1031" s="12" t="n">
        <x:f>IF(V1031="Active Zero Sales",U1031,0)</x:f>
        <x:v>0</x:v>
      </x:c>
      <x:c r="X1031" t="str">
        <x:f>IF(E1031&lt;25,"Low &lt; 25",IF(E1031&lt;100,"Medium 25-99",IF(E1031&lt;300,"High 100-299","Premium 300+")))</x:f>
        <x:v>Medium 25-99</x:v>
      </x:c>
      <x:c r="Y1031" t="n">
        <x:f>IF(C1031="Active",1,0)</x:f>
        <x:v>1</x:v>
      </x:c>
    </x:row>
    <x:row r="1032">
      <x:c r="A1032" t="str">
        <x:v>SKU01031</x:v>
      </x:c>
      <x:c r="B1032" t="str">
        <x:v>Sample Product 01031</x:v>
      </x:c>
      <x:c r="C1032" t="str">
        <x:v>Active</x:v>
      </x:c>
      <x:c r="D1032" t="str">
        <x:v>2026-01</x:v>
      </x:c>
      <x:c r="E1032" s="12" t="n">
        <x:v>192.1</x:v>
      </x:c>
      <x:c r="F1032" s="10" t="n">
        <x:v>0.302</x:v>
      </x:c>
      <x:c r="G1032" t="str">
        <x:v>General Merchandise</x:v>
      </x:c>
      <x:c r="H1032" t="str">
        <x:v>Seasonal Care</x:v>
      </x:c>
      <x:c r="I1032" t="str">
        <x:v>MFG006</x:v>
      </x:c>
      <x:c r="J1032" t="str">
        <x:v>Manufacturer 006</x:v>
      </x:c>
      <x:c r="K1032" t="str">
        <x:v>SUP004</x:v>
      </x:c>
      <x:c r="L1032" t="str">
        <x:v>Supplier 004</x:v>
      </x:c>
      <x:c r="M1032" t="str">
        <x:v>REG-971685</x:v>
      </x:c>
      <x:c r="N1032" t="str">
        <x:v>Generic Ingredient 127</x:v>
      </x:c>
      <x:c r="O1032" t="str">
        <x:v>General Sale</x:v>
      </x:c>
      <x:c r="P1032" t="n">
        <x:v>60</x:v>
      </x:c>
      <x:c r="Q1032" t="n">
        <x:v>28</x:v>
      </x:c>
      <x:c r="R1032" t="n">
        <x:v>0</x:v>
      </x:c>
      <x:c r="S1032" s="12" t="n">
        <x:f>E1032*Q1032</x:f>
        <x:v>5378.8</x:v>
      </x:c>
      <x:c r="T1032" s="12" t="n">
        <x:f>ROUND(S1032*F1032+0.000000001,2)</x:f>
        <x:v>1624.4</x:v>
      </x:c>
      <x:c r="U1032" s="12" t="n">
        <x:f>E1032*R1032</x:f>
        <x:v>0</x:v>
      </x:c>
      <x:c r="V1032" t="str">
        <x:f>IF(AND(C1032="Active",Q1032=0),"Active Zero Sales","Not Zero Sales")</x:f>
        <x:v>Not Zero Sales</x:v>
      </x:c>
      <x:c r="W1032" s="12" t="n">
        <x:f>IF(V1032="Active Zero Sales",U1032,0)</x:f>
        <x:v>0</x:v>
      </x:c>
      <x:c r="X1032" t="str">
        <x:f>IF(E1032&lt;25,"Low &lt; 25",IF(E1032&lt;100,"Medium 25-99",IF(E1032&lt;300,"High 100-299","Premium 300+")))</x:f>
        <x:v>High 100-299</x:v>
      </x:c>
      <x:c r="Y1032" t="n">
        <x:f>IF(C1032="Active",1,0)</x:f>
        <x:v>1</x:v>
      </x:c>
    </x:row>
    <x:row r="1033">
      <x:c r="A1033" t="str">
        <x:v>SKU01032</x:v>
      </x:c>
      <x:c r="B1033" t="str">
        <x:v>Sample Product 01032</x:v>
      </x:c>
      <x:c r="C1033" t="str">
        <x:v>Blocked</x:v>
      </x:c>
      <x:c r="D1033" t="str">
        <x:v>2026-01</x:v>
      </x:c>
      <x:c r="E1033" s="12" t="n">
        <x:v>270.68</x:v>
      </x:c>
      <x:c r="F1033" s="10" t="n">
        <x:v>0.345</x:v>
      </x:c>
      <x:c r="G1033" t="str">
        <x:v>OTC &amp; Wellness</x:v>
      </x:c>
      <x:c r="H1033" t="str">
        <x:v>Pain Relief</x:v>
      </x:c>
      <x:c r="I1033" t="str">
        <x:v>MFG015</x:v>
      </x:c>
      <x:c r="J1033" t="str">
        <x:v>Manufacturer 015</x:v>
      </x:c>
      <x:c r="K1033" t="str">
        <x:v>SUP020</x:v>
      </x:c>
      <x:c r="L1033" t="str">
        <x:v>Supplier 020</x:v>
      </x:c>
      <x:c r="M1033" t="str">
        <x:v>REG-762983</x:v>
      </x:c>
      <x:c r="N1033" t="str">
        <x:v>Generic Ingredient 062</x:v>
      </x:c>
      <x:c r="O1033" t="str">
        <x:v>General Sale</x:v>
      </x:c>
      <x:c r="P1033" t="n">
        <x:v>0</x:v>
      </x:c>
      <x:c r="Q1033" t="n">
        <x:v>0</x:v>
      </x:c>
      <x:c r="R1033" t="n">
        <x:v>0</x:v>
      </x:c>
      <x:c r="S1033" s="12" t="n">
        <x:f>E1033*Q1033</x:f>
        <x:v>0</x:v>
      </x:c>
      <x:c r="T1033" s="12" t="n">
        <x:f>ROUND(S1033*F1033+0.000000001,2)</x:f>
        <x:v>0</x:v>
      </x:c>
      <x:c r="U1033" s="12" t="n">
        <x:f>E1033*R1033</x:f>
        <x:v>0</x:v>
      </x:c>
      <x:c r="V1033" t="str">
        <x:f>IF(AND(C1033="Active",Q1033=0),"Active Zero Sales","Not Zero Sales")</x:f>
        <x:v>Not Zero Sales</x:v>
      </x:c>
      <x:c r="W1033" s="12" t="n">
        <x:f>IF(V1033="Active Zero Sales",U1033,0)</x:f>
        <x:v>0</x:v>
      </x:c>
      <x:c r="X1033" t="str">
        <x:f>IF(E1033&lt;25,"Low &lt; 25",IF(E1033&lt;100,"Medium 25-99",IF(E1033&lt;300,"High 100-299","Premium 300+")))</x:f>
        <x:v>High 100-299</x:v>
      </x:c>
      <x:c r="Y1033" t="n">
        <x:f>IF(C1033="Active",1,0)</x:f>
        <x:v>0</x:v>
      </x:c>
    </x:row>
    <x:row r="1034">
      <x:c r="A1034" t="str">
        <x:v>SKU01033</x:v>
      </x:c>
      <x:c r="B1034" t="str">
        <x:v>Sample Product 01033</x:v>
      </x:c>
      <x:c r="C1034" t="str">
        <x:v>Active</x:v>
      </x:c>
      <x:c r="D1034" t="str">
        <x:v>2026-06</x:v>
      </x:c>
      <x:c r="E1034" s="12" t="n">
        <x:v>87.34</x:v>
      </x:c>
      <x:c r="F1034" s="10" t="n">
        <x:v>0.373</x:v>
      </x:c>
      <x:c r="G1034" t="str">
        <x:v>Nutrition</x:v>
      </x:c>
      <x:c r="H1034" t="str">
        <x:v>Sports Nutrition</x:v>
      </x:c>
      <x:c r="I1034" t="str">
        <x:v>MFG020</x:v>
      </x:c>
      <x:c r="J1034" t="str">
        <x:v>Manufacturer 020</x:v>
      </x:c>
      <x:c r="K1034" t="str">
        <x:v>SUP024</x:v>
      </x:c>
      <x:c r="L1034" t="str">
        <x:v>Supplier 024</x:v>
      </x:c>
      <x:c r="M1034" t="str">
        <x:v>REG-247161</x:v>
      </x:c>
      <x:c r="N1034" t="str">
        <x:v>Generic Ingredient 038</x:v>
      </x:c>
      <x:c r="O1034" t="str">
        <x:v>General Sale</x:v>
      </x:c>
      <x:c r="P1034" t="n">
        <x:v>57</x:v>
      </x:c>
      <x:c r="Q1034" t="n">
        <x:v>20</x:v>
      </x:c>
      <x:c r="R1034" t="n">
        <x:v>20</x:v>
      </x:c>
      <x:c r="S1034" s="12" t="n">
        <x:f>E1034*Q1034</x:f>
        <x:v>1746.8000000000002</x:v>
      </x:c>
      <x:c r="T1034" s="12" t="n">
        <x:f>ROUND(S1034*F1034+0.000000001,2)</x:f>
        <x:v>651.56</x:v>
      </x:c>
      <x:c r="U1034" s="12" t="n">
        <x:f>E1034*R1034</x:f>
        <x:v>1746.8000000000002</x:v>
      </x:c>
      <x:c r="V1034" t="str">
        <x:f>IF(AND(C1034="Active",Q1034=0),"Active Zero Sales","Not Zero Sales")</x:f>
        <x:v>Not Zero Sales</x:v>
      </x:c>
      <x:c r="W1034" s="12" t="n">
        <x:f>IF(V1034="Active Zero Sales",U1034,0)</x:f>
        <x:v>0</x:v>
      </x:c>
      <x:c r="X1034" t="str">
        <x:f>IF(E1034&lt;25,"Low &lt; 25",IF(E1034&lt;100,"Medium 25-99",IF(E1034&lt;300,"High 100-299","Premium 300+")))</x:f>
        <x:v>Medium 25-99</x:v>
      </x:c>
      <x:c r="Y1034" t="n">
        <x:f>IF(C1034="Active",1,0)</x:f>
        <x:v>1</x:v>
      </x:c>
    </x:row>
    <x:row r="1035">
      <x:c r="A1035" t="str">
        <x:v>SKU01034</x:v>
      </x:c>
      <x:c r="B1035" t="str">
        <x:v>Sample Product 01034</x:v>
      </x:c>
      <x:c r="C1035" t="str">
        <x:v>Active</x:v>
      </x:c>
      <x:c r="D1035" t="str">
        <x:v>2026-02</x:v>
      </x:c>
      <x:c r="E1035" s="12" t="n">
        <x:v>7.77</x:v>
      </x:c>
      <x:c r="F1035" s="10" t="n">
        <x:v>0.201</x:v>
      </x:c>
      <x:c r="G1035" t="str">
        <x:v>OTC &amp; Wellness</x:v>
      </x:c>
      <x:c r="H1035" t="str">
        <x:v>Vitamins</x:v>
      </x:c>
      <x:c r="I1035" t="str">
        <x:v>MFG007</x:v>
      </x:c>
      <x:c r="J1035" t="str">
        <x:v>Manufacturer 007</x:v>
      </x:c>
      <x:c r="K1035" t="str">
        <x:v>SUP009</x:v>
      </x:c>
      <x:c r="L1035" t="str">
        <x:v>Supplier 009</x:v>
      </x:c>
      <x:c r="M1035" t="str">
        <x:v>REG-393151</x:v>
      </x:c>
      <x:c r="N1035" t="str">
        <x:v>Generic Ingredient 122</x:v>
      </x:c>
      <x:c r="O1035" t="str">
        <x:v>General Sale</x:v>
      </x:c>
      <x:c r="P1035" t="n">
        <x:v>65</x:v>
      </x:c>
      <x:c r="Q1035" t="n">
        <x:v>25</x:v>
      </x:c>
      <x:c r="R1035" t="n">
        <x:v>2</x:v>
      </x:c>
      <x:c r="S1035" s="12" t="n">
        <x:f>E1035*Q1035</x:f>
        <x:v>194.25</x:v>
      </x:c>
      <x:c r="T1035" s="12" t="n">
        <x:f>ROUND(S1035*F1035+0.000000001,2)</x:f>
        <x:v>39.04</x:v>
      </x:c>
      <x:c r="U1035" s="12" t="n">
        <x:f>E1035*R1035</x:f>
        <x:v>15.54</x:v>
      </x:c>
      <x:c r="V1035" t="str">
        <x:f>IF(AND(C1035="Active",Q1035=0),"Active Zero Sales","Not Zero Sales")</x:f>
        <x:v>Not Zero Sales</x:v>
      </x:c>
      <x:c r="W1035" s="12" t="n">
        <x:f>IF(V1035="Active Zero Sales",U1035,0)</x:f>
        <x:v>0</x:v>
      </x:c>
      <x:c r="X1035" t="str">
        <x:f>IF(E1035&lt;25,"Low &lt; 25",IF(E1035&lt;100,"Medium 25-99",IF(E1035&lt;300,"High 100-299","Premium 300+")))</x:f>
        <x:v>Low &lt; 25</x:v>
      </x:c>
      <x:c r="Y1035" t="n">
        <x:f>IF(C1035="Active",1,0)</x:f>
        <x:v>1</x:v>
      </x:c>
    </x:row>
    <x:row r="1036">
      <x:c r="A1036" t="str">
        <x:v>SKU01035</x:v>
      </x:c>
      <x:c r="B1036" t="str">
        <x:v>Sample Product 01035</x:v>
      </x:c>
      <x:c r="C1036" t="str">
        <x:v>Active</x:v>
      </x:c>
      <x:c r="D1036" t="str">
        <x:v>2026-03</x:v>
      </x:c>
      <x:c r="E1036" s="12" t="n">
        <x:v>9.83</x:v>
      </x:c>
      <x:c r="F1036" s="10" t="n">
        <x:v>0.265</x:v>
      </x:c>
      <x:c r="G1036" t="str">
        <x:v>Nutrition</x:v>
      </x:c>
      <x:c r="H1036" t="str">
        <x:v>Hydration</x:v>
      </x:c>
      <x:c r="I1036" t="str">
        <x:v>MFG018</x:v>
      </x:c>
      <x:c r="J1036" t="str">
        <x:v>Manufacturer 018</x:v>
      </x:c>
      <x:c r="K1036" t="str">
        <x:v>SUP012</x:v>
      </x:c>
      <x:c r="L1036" t="str">
        <x:v>Supplier 012</x:v>
      </x:c>
      <x:c r="M1036" t="str">
        <x:v>REG-373862</x:v>
      </x:c>
      <x:c r="N1036" t="str">
        <x:v>Generic Ingredient 120</x:v>
      </x:c>
      <x:c r="O1036" t="str">
        <x:v>General Sale</x:v>
      </x:c>
      <x:c r="P1036" t="n">
        <x:v>29</x:v>
      </x:c>
      <x:c r="Q1036" t="n">
        <x:v>28</x:v>
      </x:c>
      <x:c r="R1036" t="n">
        <x:v>3</x:v>
      </x:c>
      <x:c r="S1036" s="12" t="n">
        <x:f>E1036*Q1036</x:f>
        <x:v>275.24</x:v>
      </x:c>
      <x:c r="T1036" s="12" t="n">
        <x:f>ROUND(S1036*F1036+0.000000001,2)</x:f>
        <x:v>72.94</x:v>
      </x:c>
      <x:c r="U1036" s="12" t="n">
        <x:f>E1036*R1036</x:f>
        <x:v>29.490000000000002</x:v>
      </x:c>
      <x:c r="V1036" t="str">
        <x:f>IF(AND(C1036="Active",Q1036=0),"Active Zero Sales","Not Zero Sales")</x:f>
        <x:v>Not Zero Sales</x:v>
      </x:c>
      <x:c r="W1036" s="12" t="n">
        <x:f>IF(V1036="Active Zero Sales",U1036,0)</x:f>
        <x:v>0</x:v>
      </x:c>
      <x:c r="X1036" t="str">
        <x:f>IF(E1036&lt;25,"Low &lt; 25",IF(E1036&lt;100,"Medium 25-99",IF(E1036&lt;300,"High 100-299","Premium 300+")))</x:f>
        <x:v>Low &lt; 25</x:v>
      </x:c>
      <x:c r="Y1036" t="n">
        <x:f>IF(C1036="Active",1,0)</x:f>
        <x:v>1</x:v>
      </x:c>
    </x:row>
    <x:row r="1037">
      <x:c r="A1037" t="str">
        <x:v>SKU01036</x:v>
      </x:c>
      <x:c r="B1037" t="str">
        <x:v>Sample Product 01036</x:v>
      </x:c>
      <x:c r="C1037" t="str">
        <x:v>Active</x:v>
      </x:c>
      <x:c r="D1037" t="str">
        <x:v>2026-03</x:v>
      </x:c>
      <x:c r="E1037" s="12" t="n">
        <x:v>21.56</x:v>
      </x:c>
      <x:c r="F1037" s="10" t="n">
        <x:v>0.396</x:v>
      </x:c>
      <x:c r="G1037" t="str">
        <x:v>Nutrition</x:v>
      </x:c>
      <x:c r="H1037" t="str">
        <x:v>Adult Nutrition</x:v>
      </x:c>
      <x:c r="I1037" t="str">
        <x:v>MFG018</x:v>
      </x:c>
      <x:c r="J1037" t="str">
        <x:v>Manufacturer 018</x:v>
      </x:c>
      <x:c r="K1037" t="str">
        <x:v>SUP030</x:v>
      </x:c>
      <x:c r="L1037" t="str">
        <x:v>Supplier 030</x:v>
      </x:c>
      <x:c r="M1037" t="str">
        <x:v>REG-739615</x:v>
      </x:c>
      <x:c r="N1037" t="str">
        <x:v>Generic Ingredient 011</x:v>
      </x:c>
      <x:c r="O1037" t="str">
        <x:v>Pharmacy Only</x:v>
      </x:c>
      <x:c r="P1037" t="n">
        <x:v>44</x:v>
      </x:c>
      <x:c r="Q1037" t="n">
        <x:v>45</x:v>
      </x:c>
      <x:c r="R1037" t="n">
        <x:v>1</x:v>
      </x:c>
      <x:c r="S1037" s="12" t="n">
        <x:f>E1037*Q1037</x:f>
        <x:v>970.1999999999999</x:v>
      </x:c>
      <x:c r="T1037" s="12" t="n">
        <x:f>ROUND(S1037*F1037+0.000000001,2)</x:f>
        <x:v>384.2</x:v>
      </x:c>
      <x:c r="U1037" s="12" t="n">
        <x:f>E1037*R1037</x:f>
        <x:v>21.56</x:v>
      </x:c>
      <x:c r="V1037" t="str">
        <x:f>IF(AND(C1037="Active",Q1037=0),"Active Zero Sales","Not Zero Sales")</x:f>
        <x:v>Not Zero Sales</x:v>
      </x:c>
      <x:c r="W1037" s="12" t="n">
        <x:f>IF(V1037="Active Zero Sales",U1037,0)</x:f>
        <x:v>0</x:v>
      </x:c>
      <x:c r="X1037" t="str">
        <x:f>IF(E1037&lt;25,"Low &lt; 25",IF(E1037&lt;100,"Medium 25-99",IF(E1037&lt;300,"High 100-299","Premium 300+")))</x:f>
        <x:v>Low &lt; 25</x:v>
      </x:c>
      <x:c r="Y1037" t="n">
        <x:f>IF(C1037="Active",1,0)</x:f>
        <x:v>1</x:v>
      </x:c>
    </x:row>
    <x:row r="1038">
      <x:c r="A1038" t="str">
        <x:v>SKU01037</x:v>
      </x:c>
      <x:c r="B1038" t="str">
        <x:v>Sample Product 01037</x:v>
      </x:c>
      <x:c r="C1038" t="str">
        <x:v>Active</x:v>
      </x:c>
      <x:c r="D1038" t="str">
        <x:v>2026-04</x:v>
      </x:c>
      <x:c r="E1038" s="12" t="n">
        <x:v>4.51</x:v>
      </x:c>
      <x:c r="F1038" s="10" t="n">
        <x:v>0.305</x:v>
      </x:c>
      <x:c r="G1038" t="str">
        <x:v>Personal Care</x:v>
      </x:c>
      <x:c r="H1038" t="str">
        <x:v>Hygiene</x:v>
      </x:c>
      <x:c r="I1038" t="str">
        <x:v>MFG007</x:v>
      </x:c>
      <x:c r="J1038" t="str">
        <x:v>Manufacturer 007</x:v>
      </x:c>
      <x:c r="K1038" t="str">
        <x:v>SUP026</x:v>
      </x:c>
      <x:c r="L1038" t="str">
        <x:v>Supplier 026</x:v>
      </x:c>
      <x:c r="M1038" t="str">
        <x:v>REG-994982</x:v>
      </x:c>
      <x:c r="N1038" t="str">
        <x:v>Generic Ingredient 122</x:v>
      </x:c>
      <x:c r="O1038" t="str">
        <x:v>General Sale</x:v>
      </x:c>
      <x:c r="P1038" t="n">
        <x:v>19</x:v>
      </x:c>
      <x:c r="Q1038" t="n">
        <x:v>12</x:v>
      </x:c>
      <x:c r="R1038" t="n">
        <x:v>0</x:v>
      </x:c>
      <x:c r="S1038" s="12" t="n">
        <x:f>E1038*Q1038</x:f>
        <x:v>54.12</x:v>
      </x:c>
      <x:c r="T1038" s="12" t="n">
        <x:f>ROUND(S1038*F1038+0.000000001,2)</x:f>
        <x:v>16.51</x:v>
      </x:c>
      <x:c r="U1038" s="12" t="n">
        <x:f>E1038*R1038</x:f>
        <x:v>0</x:v>
      </x:c>
      <x:c r="V1038" t="str">
        <x:f>IF(AND(C1038="Active",Q1038=0),"Active Zero Sales","Not Zero Sales")</x:f>
        <x:v>Not Zero Sales</x:v>
      </x:c>
      <x:c r="W1038" s="12" t="n">
        <x:f>IF(V1038="Active Zero Sales",U1038,0)</x:f>
        <x:v>0</x:v>
      </x:c>
      <x:c r="X1038" t="str">
        <x:f>IF(E1038&lt;25,"Low &lt; 25",IF(E1038&lt;100,"Medium 25-99",IF(E1038&lt;300,"High 100-299","Premium 300+")))</x:f>
        <x:v>Low &lt; 25</x:v>
      </x:c>
      <x:c r="Y1038" t="n">
        <x:f>IF(C1038="Active",1,0)</x:f>
        <x:v>1</x:v>
      </x:c>
    </x:row>
    <x:row r="1039">
      <x:c r="A1039" t="str">
        <x:v>SKU01038</x:v>
      </x:c>
      <x:c r="B1039" t="str">
        <x:v>Sample Product 01038</x:v>
      </x:c>
      <x:c r="C1039" t="str">
        <x:v>Active</x:v>
      </x:c>
      <x:c r="D1039" t="str">
        <x:v>2026-01</x:v>
      </x:c>
      <x:c r="E1039" s="12" t="n">
        <x:v>21.2</x:v>
      </x:c>
      <x:c r="F1039" s="10" t="n">
        <x:v>0.403</x:v>
      </x:c>
      <x:c r="G1039" t="str">
        <x:v>Personal Care</x:v>
      </x:c>
      <x:c r="H1039" t="str">
        <x:v>Skin Care</x:v>
      </x:c>
      <x:c r="I1039" t="str">
        <x:v>MFG016</x:v>
      </x:c>
      <x:c r="J1039" t="str">
        <x:v>Manufacturer 016</x:v>
      </x:c>
      <x:c r="K1039" t="str">
        <x:v>SUP028</x:v>
      </x:c>
      <x:c r="L1039" t="str">
        <x:v>Supplier 028</x:v>
      </x:c>
      <x:c r="M1039" t="str">
        <x:v>REG-278536</x:v>
      </x:c>
      <x:c r="N1039" t="str">
        <x:v>Generic Ingredient 062</x:v>
      </x:c>
      <x:c r="O1039" t="str">
        <x:v>General Sale</x:v>
      </x:c>
      <x:c r="P1039" t="n">
        <x:v>41</x:v>
      </x:c>
      <x:c r="Q1039" t="n">
        <x:v>17</x:v>
      </x:c>
      <x:c r="R1039" t="n">
        <x:v>8</x:v>
      </x:c>
      <x:c r="S1039" s="12" t="n">
        <x:f>E1039*Q1039</x:f>
        <x:v>360.4</x:v>
      </x:c>
      <x:c r="T1039" s="12" t="n">
        <x:f>ROUND(S1039*F1039+0.000000001,2)</x:f>
        <x:v>145.24</x:v>
      </x:c>
      <x:c r="U1039" s="12" t="n">
        <x:f>E1039*R1039</x:f>
        <x:v>169.6</x:v>
      </x:c>
      <x:c r="V1039" t="str">
        <x:f>IF(AND(C1039="Active",Q1039=0),"Active Zero Sales","Not Zero Sales")</x:f>
        <x:v>Not Zero Sales</x:v>
      </x:c>
      <x:c r="W1039" s="12" t="n">
        <x:f>IF(V1039="Active Zero Sales",U1039,0)</x:f>
        <x:v>0</x:v>
      </x:c>
      <x:c r="X1039" t="str">
        <x:f>IF(E1039&lt;25,"Low &lt; 25",IF(E1039&lt;100,"Medium 25-99",IF(E1039&lt;300,"High 100-299","Premium 300+")))</x:f>
        <x:v>Low &lt; 25</x:v>
      </x:c>
      <x:c r="Y1039" t="n">
        <x:f>IF(C1039="Active",1,0)</x:f>
        <x:v>1</x:v>
      </x:c>
    </x:row>
    <x:row r="1040">
      <x:c r="A1040" t="str">
        <x:v>SKU01039</x:v>
      </x:c>
      <x:c r="B1040" t="str">
        <x:v>Sample Product 01039</x:v>
      </x:c>
      <x:c r="C1040" t="str">
        <x:v>Blocked</x:v>
      </x:c>
      <x:c r="D1040" t="str">
        <x:v>2026-05</x:v>
      </x:c>
      <x:c r="E1040" s="12" t="n">
        <x:v>58</x:v>
      </x:c>
      <x:c r="F1040" s="10" t="n">
        <x:v>0.434</x:v>
      </x:c>
      <x:c r="G1040" t="str">
        <x:v>Personal Care</x:v>
      </x:c>
      <x:c r="H1040" t="str">
        <x:v>Hygiene</x:v>
      </x:c>
      <x:c r="I1040" t="str">
        <x:v>MFG010</x:v>
      </x:c>
      <x:c r="J1040" t="str">
        <x:v>Manufacturer 010</x:v>
      </x:c>
      <x:c r="K1040" t="str">
        <x:v>SUP014</x:v>
      </x:c>
      <x:c r="L1040" t="str">
        <x:v>Supplier 014</x:v>
      </x:c>
      <x:c r="M1040" t="str">
        <x:v>REG-629073</x:v>
      </x:c>
      <x:c r="N1040" t="str">
        <x:v>Generic Ingredient 001</x:v>
      </x:c>
      <x:c r="O1040" t="str">
        <x:v>General Sale</x:v>
      </x:c>
      <x:c r="P1040" t="n">
        <x:v>51</x:v>
      </x:c>
      <x:c r="Q1040" t="n">
        <x:v>0</x:v>
      </x:c>
      <x:c r="R1040" t="n">
        <x:v>12</x:v>
      </x:c>
      <x:c r="S1040" s="12" t="n">
        <x:f>E1040*Q1040</x:f>
        <x:v>0</x:v>
      </x:c>
      <x:c r="T1040" s="12" t="n">
        <x:f>ROUND(S1040*F1040+0.000000001,2)</x:f>
        <x:v>0</x:v>
      </x:c>
      <x:c r="U1040" s="12" t="n">
        <x:f>E1040*R1040</x:f>
        <x:v>696</x:v>
      </x:c>
      <x:c r="V1040" t="str">
        <x:f>IF(AND(C1040="Active",Q1040=0),"Active Zero Sales","Not Zero Sales")</x:f>
        <x:v>Not Zero Sales</x:v>
      </x:c>
      <x:c r="W1040" s="12" t="n">
        <x:f>IF(V1040="Active Zero Sales",U1040,0)</x:f>
        <x:v>0</x:v>
      </x:c>
      <x:c r="X1040" t="str">
        <x:f>IF(E1040&lt;25,"Low &lt; 25",IF(E1040&lt;100,"Medium 25-99",IF(E1040&lt;300,"High 100-299","Premium 300+")))</x:f>
        <x:v>Medium 25-99</x:v>
      </x:c>
      <x:c r="Y1040" t="n">
        <x:f>IF(C1040="Active",1,0)</x:f>
        <x:v>0</x:v>
      </x:c>
    </x:row>
    <x:row r="1041">
      <x:c r="A1041" t="str">
        <x:v>SKU01040</x:v>
      </x:c>
      <x:c r="B1041" t="str">
        <x:v>Sample Product 01040</x:v>
      </x:c>
      <x:c r="C1041" t="str">
        <x:v>Active</x:v>
      </x:c>
      <x:c r="D1041" t="str">
        <x:v>2026-05</x:v>
      </x:c>
      <x:c r="E1041" s="12" t="n">
        <x:v>253.66</x:v>
      </x:c>
      <x:c r="F1041" s="10" t="n">
        <x:v>0.24</x:v>
      </x:c>
      <x:c r="G1041" t="str">
        <x:v>Medical Devices</x:v>
      </x:c>
      <x:c r="H1041" t="str">
        <x:v>Home Diagnostics</x:v>
      </x:c>
      <x:c r="I1041" t="str">
        <x:v>MFG002</x:v>
      </x:c>
      <x:c r="J1041" t="str">
        <x:v>Manufacturer 002</x:v>
      </x:c>
      <x:c r="K1041" t="str">
        <x:v>SUP003</x:v>
      </x:c>
      <x:c r="L1041" t="str">
        <x:v>Supplier 003</x:v>
      </x:c>
      <x:c r="M1041" t="str">
        <x:v>REG-978504</x:v>
      </x:c>
      <x:c r="N1041" t="str">
        <x:v>Generic Ingredient 060</x:v>
      </x:c>
      <x:c r="O1041" t="str">
        <x:v>General Sale</x:v>
      </x:c>
      <x:c r="P1041" t="n">
        <x:v>61</x:v>
      </x:c>
      <x:c r="Q1041" t="n">
        <x:v>25</x:v>
      </x:c>
      <x:c r="R1041" t="n">
        <x:v>10</x:v>
      </x:c>
      <x:c r="S1041" s="12" t="n">
        <x:f>E1041*Q1041</x:f>
        <x:v>6341.5</x:v>
      </x:c>
      <x:c r="T1041" s="12" t="n">
        <x:f>ROUND(S1041*F1041+0.000000001,2)</x:f>
        <x:v>1521.96</x:v>
      </x:c>
      <x:c r="U1041" s="12" t="n">
        <x:f>E1041*R1041</x:f>
        <x:v>2536.6</x:v>
      </x:c>
      <x:c r="V1041" t="str">
        <x:f>IF(AND(C1041="Active",Q1041=0),"Active Zero Sales","Not Zero Sales")</x:f>
        <x:v>Not Zero Sales</x:v>
      </x:c>
      <x:c r="W1041" s="12" t="n">
        <x:f>IF(V1041="Active Zero Sales",U1041,0)</x:f>
        <x:v>0</x:v>
      </x:c>
      <x:c r="X1041" t="str">
        <x:f>IF(E1041&lt;25,"Low &lt; 25",IF(E1041&lt;100,"Medium 25-99",IF(E1041&lt;300,"High 100-299","Premium 300+")))</x:f>
        <x:v>High 100-299</x:v>
      </x:c>
      <x:c r="Y1041" t="n">
        <x:f>IF(C1041="Active",1,0)</x:f>
        <x:v>1</x:v>
      </x:c>
    </x:row>
    <x:row r="1042">
      <x:c r="A1042" t="str">
        <x:v>SKU01041</x:v>
      </x:c>
      <x:c r="B1042" t="str">
        <x:v>Sample Product 01041</x:v>
      </x:c>
      <x:c r="C1042" t="str">
        <x:v>Active</x:v>
      </x:c>
      <x:c r="D1042" t="str">
        <x:v>2026-03</x:v>
      </x:c>
      <x:c r="E1042" s="12" t="n">
        <x:v>4.58</x:v>
      </x:c>
      <x:c r="F1042" s="10" t="n">
        <x:v>0.309</x:v>
      </x:c>
      <x:c r="G1042" t="str">
        <x:v>Nutrition</x:v>
      </x:c>
      <x:c r="H1042" t="str">
        <x:v>Adult Nutrition</x:v>
      </x:c>
      <x:c r="I1042" t="str">
        <x:v>MFG019</x:v>
      </x:c>
      <x:c r="J1042" t="str">
        <x:v>Manufacturer 019</x:v>
      </x:c>
      <x:c r="K1042" t="str">
        <x:v>SUP003</x:v>
      </x:c>
      <x:c r="L1042" t="str">
        <x:v>Supplier 003</x:v>
      </x:c>
      <x:c r="M1042" t="str">
        <x:v>REG-275510</x:v>
      </x:c>
      <x:c r="N1042" t="str">
        <x:v>Generic Ingredient 076</x:v>
      </x:c>
      <x:c r="O1042" t="str">
        <x:v>General Sale</x:v>
      </x:c>
      <x:c r="P1042" t="n">
        <x:v>159</x:v>
      </x:c>
      <x:c r="Q1042" t="n">
        <x:v>74</x:v>
      </x:c>
      <x:c r="R1042" t="n">
        <x:v>35</x:v>
      </x:c>
      <x:c r="S1042" s="12" t="n">
        <x:f>E1042*Q1042</x:f>
        <x:v>338.92</x:v>
      </x:c>
      <x:c r="T1042" s="12" t="n">
        <x:f>ROUND(S1042*F1042+0.000000001,2)</x:f>
        <x:v>104.73</x:v>
      </x:c>
      <x:c r="U1042" s="12" t="n">
        <x:f>E1042*R1042</x:f>
        <x:v>160.3</x:v>
      </x:c>
      <x:c r="V1042" t="str">
        <x:f>IF(AND(C1042="Active",Q1042=0),"Active Zero Sales","Not Zero Sales")</x:f>
        <x:v>Not Zero Sales</x:v>
      </x:c>
      <x:c r="W1042" s="12" t="n">
        <x:f>IF(V1042="Active Zero Sales",U1042,0)</x:f>
        <x:v>0</x:v>
      </x:c>
      <x:c r="X1042" t="str">
        <x:f>IF(E1042&lt;25,"Low &lt; 25",IF(E1042&lt;100,"Medium 25-99",IF(E1042&lt;300,"High 100-299","Premium 300+")))</x:f>
        <x:v>Low &lt; 25</x:v>
      </x:c>
      <x:c r="Y1042" t="n">
        <x:f>IF(C1042="Active",1,0)</x:f>
        <x:v>1</x:v>
      </x:c>
    </x:row>
    <x:row r="1043">
      <x:c r="A1043" t="str">
        <x:v>SKU01042</x:v>
      </x:c>
      <x:c r="B1043" t="str">
        <x:v>Sample Product 01042</x:v>
      </x:c>
      <x:c r="C1043" t="str">
        <x:v>Active</x:v>
      </x:c>
      <x:c r="D1043" t="str">
        <x:v>2026-06</x:v>
      </x:c>
      <x:c r="E1043" s="12" t="n">
        <x:v>57.5</x:v>
      </x:c>
      <x:c r="F1043" s="10" t="n">
        <x:v>0.308</x:v>
      </x:c>
      <x:c r="G1043" t="str">
        <x:v>OTC &amp; Wellness</x:v>
      </x:c>
      <x:c r="H1043" t="str">
        <x:v>Vitamins</x:v>
      </x:c>
      <x:c r="I1043" t="str">
        <x:v>MFG012</x:v>
      </x:c>
      <x:c r="J1043" t="str">
        <x:v>Manufacturer 012</x:v>
      </x:c>
      <x:c r="K1043" t="str">
        <x:v>SUP006</x:v>
      </x:c>
      <x:c r="L1043" t="str">
        <x:v>Supplier 006</x:v>
      </x:c>
      <x:c r="M1043" t="str">
        <x:v>REG-101548</x:v>
      </x:c>
      <x:c r="N1043" t="str">
        <x:v>Generic Ingredient 056</x:v>
      </x:c>
      <x:c r="O1043" t="str">
        <x:v>General Sale</x:v>
      </x:c>
      <x:c r="P1043" t="n">
        <x:v>26</x:v>
      </x:c>
      <x:c r="Q1043" t="n">
        <x:v>4</x:v>
      </x:c>
      <x:c r="R1043" t="n">
        <x:v>3</x:v>
      </x:c>
      <x:c r="S1043" s="12" t="n">
        <x:f>E1043*Q1043</x:f>
        <x:v>230</x:v>
      </x:c>
      <x:c r="T1043" s="12" t="n">
        <x:f>ROUND(S1043*F1043+0.000000001,2)</x:f>
        <x:v>70.84</x:v>
      </x:c>
      <x:c r="U1043" s="12" t="n">
        <x:f>E1043*R1043</x:f>
        <x:v>172.5</x:v>
      </x:c>
      <x:c r="V1043" t="str">
        <x:f>IF(AND(C1043="Active",Q1043=0),"Active Zero Sales","Not Zero Sales")</x:f>
        <x:v>Not Zero Sales</x:v>
      </x:c>
      <x:c r="W1043" s="12" t="n">
        <x:f>IF(V1043="Active Zero Sales",U1043,0)</x:f>
        <x:v>0</x:v>
      </x:c>
      <x:c r="X1043" t="str">
        <x:f>IF(E1043&lt;25,"Low &lt; 25",IF(E1043&lt;100,"Medium 25-99",IF(E1043&lt;300,"High 100-299","Premium 300+")))</x:f>
        <x:v>Medium 25-99</x:v>
      </x:c>
      <x:c r="Y1043" t="n">
        <x:f>IF(C1043="Active",1,0)</x:f>
        <x:v>1</x:v>
      </x:c>
    </x:row>
    <x:row r="1044">
      <x:c r="A1044" t="str">
        <x:v>SKU01043</x:v>
      </x:c>
      <x:c r="B1044" t="str">
        <x:v>Sample Product 01043</x:v>
      </x:c>
      <x:c r="C1044" t="str">
        <x:v>Active</x:v>
      </x:c>
      <x:c r="D1044" t="str">
        <x:v>2026-01</x:v>
      </x:c>
      <x:c r="E1044" s="12" t="n">
        <x:v>23.6</x:v>
      </x:c>
      <x:c r="F1044" s="10" t="n">
        <x:v>0.468</x:v>
      </x:c>
      <x:c r="G1044" t="str">
        <x:v>Personal Care</x:v>
      </x:c>
      <x:c r="H1044" t="str">
        <x:v>Hair Care</x:v>
      </x:c>
      <x:c r="I1044" t="str">
        <x:v>MFG011</x:v>
      </x:c>
      <x:c r="J1044" t="str">
        <x:v>Manufacturer 011</x:v>
      </x:c>
      <x:c r="K1044" t="str">
        <x:v>SUP005</x:v>
      </x:c>
      <x:c r="L1044" t="str">
        <x:v>Supplier 005</x:v>
      </x:c>
      <x:c r="M1044" t="str">
        <x:v>REG-881116</x:v>
      </x:c>
      <x:c r="N1044" t="str">
        <x:v>Generic Ingredient 005</x:v>
      </x:c>
      <x:c r="O1044" t="str">
        <x:v>Pharmacy Only</x:v>
      </x:c>
      <x:c r="P1044" t="n">
        <x:v>64</x:v>
      </x:c>
      <x:c r="Q1044" t="n">
        <x:v>8</x:v>
      </x:c>
      <x:c r="R1044" t="n">
        <x:v>18</x:v>
      </x:c>
      <x:c r="S1044" s="12" t="n">
        <x:f>E1044*Q1044</x:f>
        <x:v>188.8</x:v>
      </x:c>
      <x:c r="T1044" s="12" t="n">
        <x:f>ROUND(S1044*F1044+0.000000001,2)</x:f>
        <x:v>88.36</x:v>
      </x:c>
      <x:c r="U1044" s="12" t="n">
        <x:f>E1044*R1044</x:f>
        <x:v>424.8</x:v>
      </x:c>
      <x:c r="V1044" t="str">
        <x:f>IF(AND(C1044="Active",Q1044=0),"Active Zero Sales","Not Zero Sales")</x:f>
        <x:v>Not Zero Sales</x:v>
      </x:c>
      <x:c r="W1044" s="12" t="n">
        <x:f>IF(V1044="Active Zero Sales",U1044,0)</x:f>
        <x:v>0</x:v>
      </x:c>
      <x:c r="X1044" t="str">
        <x:f>IF(E1044&lt;25,"Low &lt; 25",IF(E1044&lt;100,"Medium 25-99",IF(E1044&lt;300,"High 100-299","Premium 300+")))</x:f>
        <x:v>Low &lt; 25</x:v>
      </x:c>
      <x:c r="Y1044" t="n">
        <x:f>IF(C1044="Active",1,0)</x:f>
        <x:v>1</x:v>
      </x:c>
    </x:row>
    <x:row r="1045">
      <x:c r="A1045" t="str">
        <x:v>SKU01044</x:v>
      </x:c>
      <x:c r="B1045" t="str">
        <x:v>Sample Product 01044</x:v>
      </x:c>
      <x:c r="C1045" t="str">
        <x:v>Active</x:v>
      </x:c>
      <x:c r="D1045" t="str">
        <x:v>2026-04</x:v>
      </x:c>
      <x:c r="E1045" s="12" t="n">
        <x:v>241.09</x:v>
      </x:c>
      <x:c r="F1045" s="10" t="n">
        <x:v>0.412</x:v>
      </x:c>
      <x:c r="G1045" t="str">
        <x:v>Personal Care</x:v>
      </x:c>
      <x:c r="H1045" t="str">
        <x:v>Oral Care</x:v>
      </x:c>
      <x:c r="I1045" t="str">
        <x:v>MFG006</x:v>
      </x:c>
      <x:c r="J1045" t="str">
        <x:v>Manufacturer 006</x:v>
      </x:c>
      <x:c r="K1045" t="str">
        <x:v>SUP016</x:v>
      </x:c>
      <x:c r="L1045" t="str">
        <x:v>Supplier 016</x:v>
      </x:c>
      <x:c r="M1045" t="str">
        <x:v>REG-169598</x:v>
      </x:c>
      <x:c r="N1045" t="str">
        <x:v>Generic Ingredient 160</x:v>
      </x:c>
      <x:c r="O1045" t="str">
        <x:v>Pharmacy Only</x:v>
      </x:c>
      <x:c r="P1045" t="n">
        <x:v>21</x:v>
      </x:c>
      <x:c r="Q1045" t="n">
        <x:v>10</x:v>
      </x:c>
      <x:c r="R1045" t="n">
        <x:v>6</x:v>
      </x:c>
      <x:c r="S1045" s="12" t="n">
        <x:f>E1045*Q1045</x:f>
        <x:v>2410.9</x:v>
      </x:c>
      <x:c r="T1045" s="12" t="n">
        <x:f>ROUND(S1045*F1045+0.000000001,2)</x:f>
        <x:v>993.29</x:v>
      </x:c>
      <x:c r="U1045" s="12" t="n">
        <x:f>E1045*R1045</x:f>
        <x:v>1446.54</x:v>
      </x:c>
      <x:c r="V1045" t="str">
        <x:f>IF(AND(C1045="Active",Q1045=0),"Active Zero Sales","Not Zero Sales")</x:f>
        <x:v>Not Zero Sales</x:v>
      </x:c>
      <x:c r="W1045" s="12" t="n">
        <x:f>IF(V1045="Active Zero Sales",U1045,0)</x:f>
        <x:v>0</x:v>
      </x:c>
      <x:c r="X1045" t="str">
        <x:f>IF(E1045&lt;25,"Low &lt; 25",IF(E1045&lt;100,"Medium 25-99",IF(E1045&lt;300,"High 100-299","Premium 300+")))</x:f>
        <x:v>High 100-299</x:v>
      </x:c>
      <x:c r="Y1045" t="n">
        <x:f>IF(C1045="Active",1,0)</x:f>
        <x:v>1</x:v>
      </x:c>
    </x:row>
    <x:row r="1046">
      <x:c r="A1046" t="str">
        <x:v>SKU01045</x:v>
      </x:c>
      <x:c r="B1046" t="str">
        <x:v>Sample Product 01045</x:v>
      </x:c>
      <x:c r="C1046" t="str">
        <x:v>Active</x:v>
      </x:c>
      <x:c r="D1046" t="str">
        <x:v>2026-03</x:v>
      </x:c>
      <x:c r="E1046" s="12" t="n">
        <x:v>35.44</x:v>
      </x:c>
      <x:c r="F1046" s="10" t="n">
        <x:v>0.366</x:v>
      </x:c>
      <x:c r="G1046" t="str">
        <x:v>Personal Care</x:v>
      </x:c>
      <x:c r="H1046" t="str">
        <x:v>Hair Care</x:v>
      </x:c>
      <x:c r="I1046" t="str">
        <x:v>MFG018</x:v>
      </x:c>
      <x:c r="J1046" t="str">
        <x:v>Manufacturer 018</x:v>
      </x:c>
      <x:c r="K1046" t="str">
        <x:v>SUP020</x:v>
      </x:c>
      <x:c r="L1046" t="str">
        <x:v>Supplier 020</x:v>
      </x:c>
      <x:c r="M1046" t="str">
        <x:v>REG-599469</x:v>
      </x:c>
      <x:c r="N1046" t="str">
        <x:v>Generic Ingredient 138</x:v>
      </x:c>
      <x:c r="O1046" t="str">
        <x:v>General Sale</x:v>
      </x:c>
      <x:c r="P1046" t="n">
        <x:v>59</x:v>
      </x:c>
      <x:c r="Q1046" t="n">
        <x:v>10</x:v>
      </x:c>
      <x:c r="R1046" t="n">
        <x:v>0</x:v>
      </x:c>
      <x:c r="S1046" s="12" t="n">
        <x:f>E1046*Q1046</x:f>
        <x:v>354.4</x:v>
      </x:c>
      <x:c r="T1046" s="12" t="n">
        <x:f>ROUND(S1046*F1046+0.000000001,2)</x:f>
        <x:v>129.71</x:v>
      </x:c>
      <x:c r="U1046" s="12" t="n">
        <x:f>E1046*R1046</x:f>
        <x:v>0</x:v>
      </x:c>
      <x:c r="V1046" t="str">
        <x:f>IF(AND(C1046="Active",Q1046=0),"Active Zero Sales","Not Zero Sales")</x:f>
        <x:v>Not Zero Sales</x:v>
      </x:c>
      <x:c r="W1046" s="12" t="n">
        <x:f>IF(V1046="Active Zero Sales",U1046,0)</x:f>
        <x:v>0</x:v>
      </x:c>
      <x:c r="X1046" t="str">
        <x:f>IF(E1046&lt;25,"Low &lt; 25",IF(E1046&lt;100,"Medium 25-99",IF(E1046&lt;300,"High 100-299","Premium 300+")))</x:f>
        <x:v>Medium 25-99</x:v>
      </x:c>
      <x:c r="Y1046" t="n">
        <x:f>IF(C1046="Active",1,0)</x:f>
        <x:v>1</x:v>
      </x:c>
    </x:row>
    <x:row r="1047">
      <x:c r="A1047" t="str">
        <x:v>SKU01046</x:v>
      </x:c>
      <x:c r="B1047" t="str">
        <x:v>Sample Product 01046</x:v>
      </x:c>
      <x:c r="C1047" t="str">
        <x:v>Active</x:v>
      </x:c>
      <x:c r="D1047" t="str">
        <x:v>2026-06</x:v>
      </x:c>
      <x:c r="E1047" s="12" t="n">
        <x:v>20.63</x:v>
      </x:c>
      <x:c r="F1047" s="10" t="n">
        <x:v>0.236</x:v>
      </x:c>
      <x:c r="G1047" t="str">
        <x:v>Nutrition</x:v>
      </x:c>
      <x:c r="H1047" t="str">
        <x:v>Healthy Snacks</x:v>
      </x:c>
      <x:c r="I1047" t="str">
        <x:v>MFG007</x:v>
      </x:c>
      <x:c r="J1047" t="str">
        <x:v>Manufacturer 007</x:v>
      </x:c>
      <x:c r="K1047" t="str">
        <x:v>SUP015</x:v>
      </x:c>
      <x:c r="L1047" t="str">
        <x:v>Supplier 015</x:v>
      </x:c>
      <x:c r="M1047" t="str">
        <x:v>REG-725041</x:v>
      </x:c>
      <x:c r="N1047" t="str">
        <x:v>Generic Ingredient 170</x:v>
      </x:c>
      <x:c r="O1047" t="str">
        <x:v>General Sale</x:v>
      </x:c>
      <x:c r="P1047" t="n">
        <x:v>115</x:v>
      </x:c>
      <x:c r="Q1047" t="n">
        <x:v>85</x:v>
      </x:c>
      <x:c r="R1047" t="n">
        <x:v>11</x:v>
      </x:c>
      <x:c r="S1047" s="12" t="n">
        <x:f>E1047*Q1047</x:f>
        <x:v>1753.55</x:v>
      </x:c>
      <x:c r="T1047" s="12" t="n">
        <x:f>ROUND(S1047*F1047+0.000000001,2)</x:f>
        <x:v>413.84</x:v>
      </x:c>
      <x:c r="U1047" s="12" t="n">
        <x:f>E1047*R1047</x:f>
        <x:v>226.92999999999998</x:v>
      </x:c>
      <x:c r="V1047" t="str">
        <x:f>IF(AND(C1047="Active",Q1047=0),"Active Zero Sales","Not Zero Sales")</x:f>
        <x:v>Not Zero Sales</x:v>
      </x:c>
      <x:c r="W1047" s="12" t="n">
        <x:f>IF(V1047="Active Zero Sales",U1047,0)</x:f>
        <x:v>0</x:v>
      </x:c>
      <x:c r="X1047" t="str">
        <x:f>IF(E1047&lt;25,"Low &lt; 25",IF(E1047&lt;100,"Medium 25-99",IF(E1047&lt;300,"High 100-299","Premium 300+")))</x:f>
        <x:v>Low &lt; 25</x:v>
      </x:c>
      <x:c r="Y1047" t="n">
        <x:f>IF(C1047="Active",1,0)</x:f>
        <x:v>1</x:v>
      </x:c>
    </x:row>
    <x:row r="1048">
      <x:c r="A1048" t="str">
        <x:v>SKU01047</x:v>
      </x:c>
      <x:c r="B1048" t="str">
        <x:v>Sample Product 01047</x:v>
      </x:c>
      <x:c r="C1048" t="str">
        <x:v>Active</x:v>
      </x:c>
      <x:c r="D1048" t="str">
        <x:v>2026-05</x:v>
      </x:c>
      <x:c r="E1048" s="12" t="n">
        <x:v>58.28</x:v>
      </x:c>
      <x:c r="F1048" s="10" t="n">
        <x:v>0.446</x:v>
      </x:c>
      <x:c r="G1048" t="str">
        <x:v>Personal Care</x:v>
      </x:c>
      <x:c r="H1048" t="str">
        <x:v>Hair Care</x:v>
      </x:c>
      <x:c r="I1048" t="str">
        <x:v>MFG004</x:v>
      </x:c>
      <x:c r="J1048" t="str">
        <x:v>Manufacturer 004</x:v>
      </x:c>
      <x:c r="K1048" t="str">
        <x:v>SUP003</x:v>
      </x:c>
      <x:c r="L1048" t="str">
        <x:v>Supplier 003</x:v>
      </x:c>
      <x:c r="M1048" t="str">
        <x:v>REG-308036</x:v>
      </x:c>
      <x:c r="N1048" t="str">
        <x:v>Generic Ingredient 003</x:v>
      </x:c>
      <x:c r="O1048" t="str">
        <x:v>General Sale</x:v>
      </x:c>
      <x:c r="P1048" t="n">
        <x:v>129</x:v>
      </x:c>
      <x:c r="Q1048" t="n">
        <x:v>43</x:v>
      </x:c>
      <x:c r="R1048" t="n">
        <x:v>40</x:v>
      </x:c>
      <x:c r="S1048" s="12" t="n">
        <x:f>E1048*Q1048</x:f>
        <x:v>2506.04</x:v>
      </x:c>
      <x:c r="T1048" s="12" t="n">
        <x:f>ROUND(S1048*F1048+0.000000001,2)</x:f>
        <x:v>1117.69</x:v>
      </x:c>
      <x:c r="U1048" s="12" t="n">
        <x:f>E1048*R1048</x:f>
        <x:v>2331.2</x:v>
      </x:c>
      <x:c r="V1048" t="str">
        <x:f>IF(AND(C1048="Active",Q1048=0),"Active Zero Sales","Not Zero Sales")</x:f>
        <x:v>Not Zero Sales</x:v>
      </x:c>
      <x:c r="W1048" s="12" t="n">
        <x:f>IF(V1048="Active Zero Sales",U1048,0)</x:f>
        <x:v>0</x:v>
      </x:c>
      <x:c r="X1048" t="str">
        <x:f>IF(E1048&lt;25,"Low &lt; 25",IF(E1048&lt;100,"Medium 25-99",IF(E1048&lt;300,"High 100-299","Premium 300+")))</x:f>
        <x:v>Medium 25-99</x:v>
      </x:c>
      <x:c r="Y1048" t="n">
        <x:f>IF(C1048="Active",1,0)</x:f>
        <x:v>1</x:v>
      </x:c>
    </x:row>
    <x:row r="1049">
      <x:c r="A1049" t="str">
        <x:v>SKU01048</x:v>
      </x:c>
      <x:c r="B1049" t="str">
        <x:v>Sample Product 01048</x:v>
      </x:c>
      <x:c r="C1049" t="str">
        <x:v>Active</x:v>
      </x:c>
      <x:c r="D1049" t="str">
        <x:v>2026-06</x:v>
      </x:c>
      <x:c r="E1049" s="12" t="n">
        <x:v>92.56</x:v>
      </x:c>
      <x:c r="F1049" s="10" t="n">
        <x:v>0.288</x:v>
      </x:c>
      <x:c r="G1049" t="str">
        <x:v>OTC &amp; Wellness</x:v>
      </x:c>
      <x:c r="H1049" t="str">
        <x:v>Cold &amp; Allergy</x:v>
      </x:c>
      <x:c r="I1049" t="str">
        <x:v>MFG013</x:v>
      </x:c>
      <x:c r="J1049" t="str">
        <x:v>Manufacturer 013</x:v>
      </x:c>
      <x:c r="K1049" t="str">
        <x:v>SUP021</x:v>
      </x:c>
      <x:c r="L1049" t="str">
        <x:v>Supplier 021</x:v>
      </x:c>
      <x:c r="M1049" t="str">
        <x:v>REG-962283</x:v>
      </x:c>
      <x:c r="N1049" t="str">
        <x:v>Generic Ingredient 059</x:v>
      </x:c>
      <x:c r="O1049" t="str">
        <x:v>General Sale</x:v>
      </x:c>
      <x:c r="P1049" t="n">
        <x:v>105</x:v>
      </x:c>
      <x:c r="Q1049" t="n">
        <x:v>69</x:v>
      </x:c>
      <x:c r="R1049" t="n">
        <x:v>12</x:v>
      </x:c>
      <x:c r="S1049" s="12" t="n">
        <x:f>E1049*Q1049</x:f>
        <x:v>6386.64</x:v>
      </x:c>
      <x:c r="T1049" s="12" t="n">
        <x:f>ROUND(S1049*F1049+0.000000001,2)</x:f>
        <x:v>1839.35</x:v>
      </x:c>
      <x:c r="U1049" s="12" t="n">
        <x:f>E1049*R1049</x:f>
        <x:v>1110.72</x:v>
      </x:c>
      <x:c r="V1049" t="str">
        <x:f>IF(AND(C1049="Active",Q1049=0),"Active Zero Sales","Not Zero Sales")</x:f>
        <x:v>Not Zero Sales</x:v>
      </x:c>
      <x:c r="W1049" s="12" t="n">
        <x:f>IF(V1049="Active Zero Sales",U1049,0)</x:f>
        <x:v>0</x:v>
      </x:c>
      <x:c r="X1049" t="str">
        <x:f>IF(E1049&lt;25,"Low &lt; 25",IF(E1049&lt;100,"Medium 25-99",IF(E1049&lt;300,"High 100-299","Premium 300+")))</x:f>
        <x:v>Medium 25-99</x:v>
      </x:c>
      <x:c r="Y1049" t="n">
        <x:f>IF(C1049="Active",1,0)</x:f>
        <x:v>1</x:v>
      </x:c>
    </x:row>
    <x:row r="1050">
      <x:c r="A1050" t="str">
        <x:v>SKU01049</x:v>
      </x:c>
      <x:c r="B1050" t="str">
        <x:v>Sample Product 01049</x:v>
      </x:c>
      <x:c r="C1050" t="str">
        <x:v>Active</x:v>
      </x:c>
      <x:c r="D1050" t="str">
        <x:v>2026-06</x:v>
      </x:c>
      <x:c r="E1050" s="12" t="n">
        <x:v>138.74</x:v>
      </x:c>
      <x:c r="F1050" s="10" t="n">
        <x:v>0.354</x:v>
      </x:c>
      <x:c r="G1050" t="str">
        <x:v>Personal Care</x:v>
      </x:c>
      <x:c r="H1050" t="str">
        <x:v>Oral Care</x:v>
      </x:c>
      <x:c r="I1050" t="str">
        <x:v>MFG019</x:v>
      </x:c>
      <x:c r="J1050" t="str">
        <x:v>Manufacturer 019</x:v>
      </x:c>
      <x:c r="K1050" t="str">
        <x:v>SUP015</x:v>
      </x:c>
      <x:c r="L1050" t="str">
        <x:v>Supplier 015</x:v>
      </x:c>
      <x:c r="M1050" t="str">
        <x:v>REG-566099</x:v>
      </x:c>
      <x:c r="N1050" t="str">
        <x:v>Generic Ingredient 126</x:v>
      </x:c>
      <x:c r="O1050" t="str">
        <x:v>Pharmacy Only</x:v>
      </x:c>
      <x:c r="P1050" t="n">
        <x:v>59</x:v>
      </x:c>
      <x:c r="Q1050" t="n">
        <x:v>9</x:v>
      </x:c>
      <x:c r="R1050" t="n">
        <x:v>0</x:v>
      </x:c>
      <x:c r="S1050" s="12" t="n">
        <x:f>E1050*Q1050</x:f>
        <x:v>1248.66</x:v>
      </x:c>
      <x:c r="T1050" s="12" t="n">
        <x:f>ROUND(S1050*F1050+0.000000001,2)</x:f>
        <x:v>442.03</x:v>
      </x:c>
      <x:c r="U1050" s="12" t="n">
        <x:f>E1050*R1050</x:f>
        <x:v>0</x:v>
      </x:c>
      <x:c r="V1050" t="str">
        <x:f>IF(AND(C1050="Active",Q1050=0),"Active Zero Sales","Not Zero Sales")</x:f>
        <x:v>Not Zero Sales</x:v>
      </x:c>
      <x:c r="W1050" s="12" t="n">
        <x:f>IF(V1050="Active Zero Sales",U1050,0)</x:f>
        <x:v>0</x:v>
      </x:c>
      <x:c r="X1050" t="str">
        <x:f>IF(E1050&lt;25,"Low &lt; 25",IF(E1050&lt;100,"Medium 25-99",IF(E1050&lt;300,"High 100-299","Premium 300+")))</x:f>
        <x:v>High 100-299</x:v>
      </x:c>
      <x:c r="Y1050" t="n">
        <x:f>IF(C1050="Active",1,0)</x:f>
        <x:v>1</x:v>
      </x:c>
    </x:row>
    <x:row r="1051">
      <x:c r="A1051" t="str">
        <x:v>SKU01050</x:v>
      </x:c>
      <x:c r="B1051" t="str">
        <x:v>Sample Product 01050</x:v>
      </x:c>
      <x:c r="C1051" t="str">
        <x:v>Active</x:v>
      </x:c>
      <x:c r="D1051" t="str">
        <x:v>2026-01</x:v>
      </x:c>
      <x:c r="E1051" s="12" t="n">
        <x:v>56.91</x:v>
      </x:c>
      <x:c r="F1051" s="10" t="n">
        <x:v>0.442</x:v>
      </x:c>
      <x:c r="G1051" t="str">
        <x:v>Personal Care</x:v>
      </x:c>
      <x:c r="H1051" t="str">
        <x:v>Skin Care</x:v>
      </x:c>
      <x:c r="I1051" t="str">
        <x:v>MFG019</x:v>
      </x:c>
      <x:c r="J1051" t="str">
        <x:v>Manufacturer 019</x:v>
      </x:c>
      <x:c r="K1051" t="str">
        <x:v>SUP007</x:v>
      </x:c>
      <x:c r="L1051" t="str">
        <x:v>Supplier 007</x:v>
      </x:c>
      <x:c r="M1051" t="str">
        <x:v>REG-814196</x:v>
      </x:c>
      <x:c r="N1051" t="str">
        <x:v>Generic Ingredient 126</x:v>
      </x:c>
      <x:c r="O1051" t="str">
        <x:v>General Sale</x:v>
      </x:c>
      <x:c r="P1051" t="n">
        <x:v>16</x:v>
      </x:c>
      <x:c r="Q1051" t="n">
        <x:v>22</x:v>
      </x:c>
      <x:c r="R1051" t="n">
        <x:v>2</x:v>
      </x:c>
      <x:c r="S1051" s="12" t="n">
        <x:f>E1051*Q1051</x:f>
        <x:v>1252.02</x:v>
      </x:c>
      <x:c r="T1051" s="12" t="n">
        <x:f>ROUND(S1051*F1051+0.000000001,2)</x:f>
        <x:v>553.39</x:v>
      </x:c>
      <x:c r="U1051" s="12" t="n">
        <x:f>E1051*R1051</x:f>
        <x:v>113.82</x:v>
      </x:c>
      <x:c r="V1051" t="str">
        <x:f>IF(AND(C1051="Active",Q1051=0),"Active Zero Sales","Not Zero Sales")</x:f>
        <x:v>Not Zero Sales</x:v>
      </x:c>
      <x:c r="W1051" s="12" t="n">
        <x:f>IF(V1051="Active Zero Sales",U1051,0)</x:f>
        <x:v>0</x:v>
      </x:c>
      <x:c r="X1051" t="str">
        <x:f>IF(E1051&lt;25,"Low &lt; 25",IF(E1051&lt;100,"Medium 25-99",IF(E1051&lt;300,"High 100-299","Premium 300+")))</x:f>
        <x:v>Medium 25-99</x:v>
      </x:c>
      <x:c r="Y1051" t="n">
        <x:f>IF(C1051="Active",1,0)</x:f>
        <x:v>1</x:v>
      </x:c>
    </x:row>
    <x:row r="1052">
      <x:c r="A1052" t="str">
        <x:v>SKU01051</x:v>
      </x:c>
      <x:c r="B1052" t="str">
        <x:v>Sample Product 01051</x:v>
      </x:c>
      <x:c r="C1052" t="str">
        <x:v>Blocked</x:v>
      </x:c>
      <x:c r="D1052" t="str">
        <x:v>2026-04</x:v>
      </x:c>
      <x:c r="E1052" s="12" t="n">
        <x:v>20.88</x:v>
      </x:c>
      <x:c r="F1052" s="10" t="n">
        <x:v>0.406</x:v>
      </x:c>
      <x:c r="G1052" t="str">
        <x:v>OTC &amp; Wellness</x:v>
      </x:c>
      <x:c r="H1052" t="str">
        <x:v>Digestive Care</x:v>
      </x:c>
      <x:c r="I1052" t="str">
        <x:v>MFG001</x:v>
      </x:c>
      <x:c r="J1052" t="str">
        <x:v>Manufacturer 001</x:v>
      </x:c>
      <x:c r="K1052" t="str">
        <x:v>SUP027</x:v>
      </x:c>
      <x:c r="L1052" t="str">
        <x:v>Supplier 027</x:v>
      </x:c>
      <x:c r="M1052" t="str">
        <x:v>REG-137162</x:v>
      </x:c>
      <x:c r="N1052" t="str">
        <x:v>Generic Ingredient 123</x:v>
      </x:c>
      <x:c r="O1052" t="str">
        <x:v>General Sale</x:v>
      </x:c>
      <x:c r="P1052" t="n">
        <x:v>30</x:v>
      </x:c>
      <x:c r="Q1052" t="n">
        <x:v>0</x:v>
      </x:c>
      <x:c r="R1052" t="n">
        <x:v>0</x:v>
      </x:c>
      <x:c r="S1052" s="12" t="n">
        <x:f>E1052*Q1052</x:f>
        <x:v>0</x:v>
      </x:c>
      <x:c r="T1052" s="12" t="n">
        <x:f>ROUND(S1052*F1052+0.000000001,2)</x:f>
        <x:v>0</x:v>
      </x:c>
      <x:c r="U1052" s="12" t="n">
        <x:f>E1052*R1052</x:f>
        <x:v>0</x:v>
      </x:c>
      <x:c r="V1052" t="str">
        <x:f>IF(AND(C1052="Active",Q1052=0),"Active Zero Sales","Not Zero Sales")</x:f>
        <x:v>Not Zero Sales</x:v>
      </x:c>
      <x:c r="W1052" s="12" t="n">
        <x:f>IF(V1052="Active Zero Sales",U1052,0)</x:f>
        <x:v>0</x:v>
      </x:c>
      <x:c r="X1052" t="str">
        <x:f>IF(E1052&lt;25,"Low &lt; 25",IF(E1052&lt;100,"Medium 25-99",IF(E1052&lt;300,"High 100-299","Premium 300+")))</x:f>
        <x:v>Low &lt; 25</x:v>
      </x:c>
      <x:c r="Y1052" t="n">
        <x:f>IF(C1052="Active",1,0)</x:f>
        <x:v>0</x:v>
      </x:c>
    </x:row>
    <x:row r="1053">
      <x:c r="A1053" t="str">
        <x:v>SKU01052</x:v>
      </x:c>
      <x:c r="B1053" t="str">
        <x:v>Sample Product 01052</x:v>
      </x:c>
      <x:c r="C1053" t="str">
        <x:v>Active</x:v>
      </x:c>
      <x:c r="D1053" t="str">
        <x:v>2026-03</x:v>
      </x:c>
      <x:c r="E1053" s="12" t="n">
        <x:v>42.01</x:v>
      </x:c>
      <x:c r="F1053" s="10" t="n">
        <x:v>0.342</x:v>
      </x:c>
      <x:c r="G1053" t="str">
        <x:v>Medical Devices</x:v>
      </x:c>
      <x:c r="H1053" t="str">
        <x:v>Home Diagnostics</x:v>
      </x:c>
      <x:c r="I1053" t="str">
        <x:v>MFG011</x:v>
      </x:c>
      <x:c r="J1053" t="str">
        <x:v>Manufacturer 011</x:v>
      </x:c>
      <x:c r="K1053" t="str">
        <x:v>SUP003</x:v>
      </x:c>
      <x:c r="L1053" t="str">
        <x:v>Supplier 003</x:v>
      </x:c>
      <x:c r="M1053" t="str">
        <x:v>REG-642535</x:v>
      </x:c>
      <x:c r="N1053" t="str">
        <x:v>Generic Ingredient 170</x:v>
      </x:c>
      <x:c r="O1053" t="str">
        <x:v>General Sale</x:v>
      </x:c>
      <x:c r="P1053" t="n">
        <x:v>13</x:v>
      </x:c>
      <x:c r="Q1053" t="n">
        <x:v>19</x:v>
      </x:c>
      <x:c r="R1053" t="n">
        <x:v>0</x:v>
      </x:c>
      <x:c r="S1053" s="12" t="n">
        <x:f>E1053*Q1053</x:f>
        <x:v>798.1899999999999</x:v>
      </x:c>
      <x:c r="T1053" s="12" t="n">
        <x:f>ROUND(S1053*F1053+0.000000001,2)</x:f>
        <x:v>272.98</x:v>
      </x:c>
      <x:c r="U1053" s="12" t="n">
        <x:f>E1053*R1053</x:f>
        <x:v>0</x:v>
      </x:c>
      <x:c r="V1053" t="str">
        <x:f>IF(AND(C1053="Active",Q1053=0),"Active Zero Sales","Not Zero Sales")</x:f>
        <x:v>Not Zero Sales</x:v>
      </x:c>
      <x:c r="W1053" s="12" t="n">
        <x:f>IF(V1053="Active Zero Sales",U1053,0)</x:f>
        <x:v>0</x:v>
      </x:c>
      <x:c r="X1053" t="str">
        <x:f>IF(E1053&lt;25,"Low &lt; 25",IF(E1053&lt;100,"Medium 25-99",IF(E1053&lt;300,"High 100-299","Premium 300+")))</x:f>
        <x:v>Medium 25-99</x:v>
      </x:c>
      <x:c r="Y1053" t="n">
        <x:f>IF(C1053="Active",1,0)</x:f>
        <x:v>1</x:v>
      </x:c>
    </x:row>
    <x:row r="1054">
      <x:c r="A1054" t="str">
        <x:v>SKU01053</x:v>
      </x:c>
      <x:c r="B1054" t="str">
        <x:v>Sample Product 01053</x:v>
      </x:c>
      <x:c r="C1054" t="str">
        <x:v>Active</x:v>
      </x:c>
      <x:c r="D1054" t="str">
        <x:v>2026-01</x:v>
      </x:c>
      <x:c r="E1054" s="12" t="n">
        <x:v>14.83</x:v>
      </x:c>
      <x:c r="F1054" s="10" t="n">
        <x:v>0.266</x:v>
      </x:c>
      <x:c r="G1054" t="str">
        <x:v>Nutrition</x:v>
      </x:c>
      <x:c r="H1054" t="str">
        <x:v>Healthy Snacks</x:v>
      </x:c>
      <x:c r="I1054" t="str">
        <x:v>MFG004</x:v>
      </x:c>
      <x:c r="J1054" t="str">
        <x:v>Manufacturer 004</x:v>
      </x:c>
      <x:c r="K1054" t="str">
        <x:v>SUP027</x:v>
      </x:c>
      <x:c r="L1054" t="str">
        <x:v>Supplier 027</x:v>
      </x:c>
      <x:c r="M1054" t="str">
        <x:v>REG-675791</x:v>
      </x:c>
      <x:c r="N1054" t="str">
        <x:v>Generic Ingredient 094</x:v>
      </x:c>
      <x:c r="O1054" t="str">
        <x:v>General Sale</x:v>
      </x:c>
      <x:c r="P1054" t="n">
        <x:v>13</x:v>
      </x:c>
      <x:c r="Q1054" t="n">
        <x:v>13</x:v>
      </x:c>
      <x:c r="R1054" t="n">
        <x:v>3</x:v>
      </x:c>
      <x:c r="S1054" s="12" t="n">
        <x:f>E1054*Q1054</x:f>
        <x:v>192.79</x:v>
      </x:c>
      <x:c r="T1054" s="12" t="n">
        <x:f>ROUND(S1054*F1054+0.000000001,2)</x:f>
        <x:v>51.28</x:v>
      </x:c>
      <x:c r="U1054" s="12" t="n">
        <x:f>E1054*R1054</x:f>
        <x:v>44.49</x:v>
      </x:c>
      <x:c r="V1054" t="str">
        <x:f>IF(AND(C1054="Active",Q1054=0),"Active Zero Sales","Not Zero Sales")</x:f>
        <x:v>Not Zero Sales</x:v>
      </x:c>
      <x:c r="W1054" s="12" t="n">
        <x:f>IF(V1054="Active Zero Sales",U1054,0)</x:f>
        <x:v>0</x:v>
      </x:c>
      <x:c r="X1054" t="str">
        <x:f>IF(E1054&lt;25,"Low &lt; 25",IF(E1054&lt;100,"Medium 25-99",IF(E1054&lt;300,"High 100-299","Premium 300+")))</x:f>
        <x:v>Low &lt; 25</x:v>
      </x:c>
      <x:c r="Y1054" t="n">
        <x:f>IF(C1054="Active",1,0)</x:f>
        <x:v>1</x:v>
      </x:c>
    </x:row>
    <x:row r="1055">
      <x:c r="A1055" t="str">
        <x:v>SKU01054</x:v>
      </x:c>
      <x:c r="B1055" t="str">
        <x:v>Sample Product 01054</x:v>
      </x:c>
      <x:c r="C1055" t="str">
        <x:v>Active</x:v>
      </x:c>
      <x:c r="D1055" t="str">
        <x:v>2026-02</x:v>
      </x:c>
      <x:c r="E1055" s="12" t="n">
        <x:v>54.71</x:v>
      </x:c>
      <x:c r="F1055" s="10" t="n">
        <x:v>0.364</x:v>
      </x:c>
      <x:c r="G1055" t="str">
        <x:v>Nutrition</x:v>
      </x:c>
      <x:c r="H1055" t="str">
        <x:v>Hydration</x:v>
      </x:c>
      <x:c r="I1055" t="str">
        <x:v>MFG015</x:v>
      </x:c>
      <x:c r="J1055" t="str">
        <x:v>Manufacturer 015</x:v>
      </x:c>
      <x:c r="K1055" t="str">
        <x:v>SUP023</x:v>
      </x:c>
      <x:c r="L1055" t="str">
        <x:v>Supplier 023</x:v>
      </x:c>
      <x:c r="M1055" t="str">
        <x:v>REG-171408</x:v>
      </x:c>
      <x:c r="N1055" t="str">
        <x:v>Generic Ingredient 131</x:v>
      </x:c>
      <x:c r="O1055" t="str">
        <x:v>Pharmacy Only</x:v>
      </x:c>
      <x:c r="P1055" t="n">
        <x:v>26</x:v>
      </x:c>
      <x:c r="Q1055" t="n">
        <x:v>0</x:v>
      </x:c>
      <x:c r="R1055" t="n">
        <x:v>1</x:v>
      </x:c>
      <x:c r="S1055" s="12" t="n">
        <x:f>E1055*Q1055</x:f>
        <x:v>0</x:v>
      </x:c>
      <x:c r="T1055" s="12" t="n">
        <x:f>ROUND(S1055*F1055+0.000000001,2)</x:f>
        <x:v>0</x:v>
      </x:c>
      <x:c r="U1055" s="12" t="n">
        <x:f>E1055*R1055</x:f>
        <x:v>54.71</x:v>
      </x:c>
      <x:c r="V1055" t="str">
        <x:f>IF(AND(C1055="Active",Q1055=0),"Active Zero Sales","Not Zero Sales")</x:f>
        <x:v>Active Zero Sales</x:v>
      </x:c>
      <x:c r="W1055" s="12" t="n">
        <x:f>IF(V1055="Active Zero Sales",U1055,0)</x:f>
        <x:v>54.71</x:v>
      </x:c>
      <x:c r="X1055" t="str">
        <x:f>IF(E1055&lt;25,"Low &lt; 25",IF(E1055&lt;100,"Medium 25-99",IF(E1055&lt;300,"High 100-299","Premium 300+")))</x:f>
        <x:v>Medium 25-99</x:v>
      </x:c>
      <x:c r="Y1055" t="n">
        <x:f>IF(C1055="Active",1,0)</x:f>
        <x:v>1</x:v>
      </x:c>
    </x:row>
    <x:row r="1056">
      <x:c r="A1056" t="str">
        <x:v>SKU01055</x:v>
      </x:c>
      <x:c r="B1056" t="str">
        <x:v>Sample Product 01055</x:v>
      </x:c>
      <x:c r="C1056" t="str">
        <x:v>Active</x:v>
      </x:c>
      <x:c r="D1056" t="str">
        <x:v>2026-02</x:v>
      </x:c>
      <x:c r="E1056" s="12" t="n">
        <x:v>63.92</x:v>
      </x:c>
      <x:c r="F1056" s="10" t="n">
        <x:v>0.258</x:v>
      </x:c>
      <x:c r="G1056" t="str">
        <x:v>Nutrition</x:v>
      </x:c>
      <x:c r="H1056" t="str">
        <x:v>Sports Nutrition</x:v>
      </x:c>
      <x:c r="I1056" t="str">
        <x:v>MFG001</x:v>
      </x:c>
      <x:c r="J1056" t="str">
        <x:v>Manufacturer 001</x:v>
      </x:c>
      <x:c r="K1056" t="str">
        <x:v>SUP018</x:v>
      </x:c>
      <x:c r="L1056" t="str">
        <x:v>Supplier 018</x:v>
      </x:c>
      <x:c r="M1056" t="str">
        <x:v>REG-994728</x:v>
      </x:c>
      <x:c r="N1056" t="str">
        <x:v>Generic Ingredient 068</x:v>
      </x:c>
      <x:c r="O1056" t="str">
        <x:v>General Sale</x:v>
      </x:c>
      <x:c r="P1056" t="n">
        <x:v>94</x:v>
      </x:c>
      <x:c r="Q1056" t="n">
        <x:v>43</x:v>
      </x:c>
      <x:c r="R1056" t="n">
        <x:v>13</x:v>
      </x:c>
      <x:c r="S1056" s="12" t="n">
        <x:f>E1056*Q1056</x:f>
        <x:v>2748.56</x:v>
      </x:c>
      <x:c r="T1056" s="12" t="n">
        <x:f>ROUND(S1056*F1056+0.000000001,2)</x:f>
        <x:v>709.13</x:v>
      </x:c>
      <x:c r="U1056" s="12" t="n">
        <x:f>E1056*R1056</x:f>
        <x:v>830.96</x:v>
      </x:c>
      <x:c r="V1056" t="str">
        <x:f>IF(AND(C1056="Active",Q1056=0),"Active Zero Sales","Not Zero Sales")</x:f>
        <x:v>Not Zero Sales</x:v>
      </x:c>
      <x:c r="W1056" s="12" t="n">
        <x:f>IF(V1056="Active Zero Sales",U1056,0)</x:f>
        <x:v>0</x:v>
      </x:c>
      <x:c r="X1056" t="str">
        <x:f>IF(E1056&lt;25,"Low &lt; 25",IF(E1056&lt;100,"Medium 25-99",IF(E1056&lt;300,"High 100-299","Premium 300+")))</x:f>
        <x:v>Medium 25-99</x:v>
      </x:c>
      <x:c r="Y1056" t="n">
        <x:f>IF(C1056="Active",1,0)</x:f>
        <x:v>1</x:v>
      </x:c>
    </x:row>
    <x:row r="1057">
      <x:c r="A1057" t="str">
        <x:v>SKU01056</x:v>
      </x:c>
      <x:c r="B1057" t="str">
        <x:v>Sample Product 01056</x:v>
      </x:c>
      <x:c r="C1057" t="str">
        <x:v>Blocked</x:v>
      </x:c>
      <x:c r="D1057" t="str">
        <x:v>2026-06</x:v>
      </x:c>
      <x:c r="E1057" s="12" t="n">
        <x:v>22.34</x:v>
      </x:c>
      <x:c r="F1057" s="10" t="n">
        <x:v>0.348</x:v>
      </x:c>
      <x:c r="G1057" t="str">
        <x:v>OTC &amp; Wellness</x:v>
      </x:c>
      <x:c r="H1057" t="str">
        <x:v>Pain Relief</x:v>
      </x:c>
      <x:c r="I1057" t="str">
        <x:v>MFG012</x:v>
      </x:c>
      <x:c r="J1057" t="str">
        <x:v>Manufacturer 012</x:v>
      </x:c>
      <x:c r="K1057" t="str">
        <x:v>SUP018</x:v>
      </x:c>
      <x:c r="L1057" t="str">
        <x:v>Supplier 018</x:v>
      </x:c>
      <x:c r="M1057" t="str">
        <x:v>REG-543285</x:v>
      </x:c>
      <x:c r="N1057" t="str">
        <x:v>Generic Ingredient 007</x:v>
      </x:c>
      <x:c r="O1057" t="str">
        <x:v>General Sale</x:v>
      </x:c>
      <x:c r="P1057" t="n">
        <x:v>42</x:v>
      </x:c>
      <x:c r="Q1057" t="n">
        <x:v>1</x:v>
      </x:c>
      <x:c r="R1057" t="n">
        <x:v>0</x:v>
      </x:c>
      <x:c r="S1057" s="12" t="n">
        <x:f>E1057*Q1057</x:f>
        <x:v>22.34</x:v>
      </x:c>
      <x:c r="T1057" s="12" t="n">
        <x:f>ROUND(S1057*F1057+0.000000001,2)</x:f>
        <x:v>7.77</x:v>
      </x:c>
      <x:c r="U1057" s="12" t="n">
        <x:f>E1057*R1057</x:f>
        <x:v>0</x:v>
      </x:c>
      <x:c r="V1057" t="str">
        <x:f>IF(AND(C1057="Active",Q1057=0),"Active Zero Sales","Not Zero Sales")</x:f>
        <x:v>Not Zero Sales</x:v>
      </x:c>
      <x:c r="W1057" s="12" t="n">
        <x:f>IF(V1057="Active Zero Sales",U1057,0)</x:f>
        <x:v>0</x:v>
      </x:c>
      <x:c r="X1057" t="str">
        <x:f>IF(E1057&lt;25,"Low &lt; 25",IF(E1057&lt;100,"Medium 25-99",IF(E1057&lt;300,"High 100-299","Premium 300+")))</x:f>
        <x:v>Low &lt; 25</x:v>
      </x:c>
      <x:c r="Y1057" t="n">
        <x:f>IF(C1057="Active",1,0)</x:f>
        <x:v>0</x:v>
      </x:c>
    </x:row>
    <x:row r="1058">
      <x:c r="A1058" t="str">
        <x:v>SKU01057</x:v>
      </x:c>
      <x:c r="B1058" t="str">
        <x:v>Sample Product 01057</x:v>
      </x:c>
      <x:c r="C1058" t="str">
        <x:v>Blocked</x:v>
      </x:c>
      <x:c r="D1058" t="str">
        <x:v>2026-04</x:v>
      </x:c>
      <x:c r="E1058" s="12" t="n">
        <x:v>93.44</x:v>
      </x:c>
      <x:c r="F1058" s="10" t="n">
        <x:v>0.345</x:v>
      </x:c>
      <x:c r="G1058" t="str">
        <x:v>Nutrition</x:v>
      </x:c>
      <x:c r="H1058" t="str">
        <x:v>Healthy Snacks</x:v>
      </x:c>
      <x:c r="I1058" t="str">
        <x:v>MFG017</x:v>
      </x:c>
      <x:c r="J1058" t="str">
        <x:v>Manufacturer 017</x:v>
      </x:c>
      <x:c r="K1058" t="str">
        <x:v>SUP016</x:v>
      </x:c>
      <x:c r="L1058" t="str">
        <x:v>Supplier 016</x:v>
      </x:c>
      <x:c r="M1058" t="str">
        <x:v>REG-453114</x:v>
      </x:c>
      <x:c r="N1058" t="str">
        <x:v>Generic Ingredient 156</x:v>
      </x:c>
      <x:c r="O1058" t="str">
        <x:v>General Sale</x:v>
      </x:c>
      <x:c r="P1058" t="n">
        <x:v>0</x:v>
      </x:c>
      <x:c r="Q1058" t="n">
        <x:v>0</x:v>
      </x:c>
      <x:c r="R1058" t="n">
        <x:v>0</x:v>
      </x:c>
      <x:c r="S1058" s="12" t="n">
        <x:f>E1058*Q1058</x:f>
        <x:v>0</x:v>
      </x:c>
      <x:c r="T1058" s="12" t="n">
        <x:f>ROUND(S1058*F1058+0.000000001,2)</x:f>
        <x:v>0</x:v>
      </x:c>
      <x:c r="U1058" s="12" t="n">
        <x:f>E1058*R1058</x:f>
        <x:v>0</x:v>
      </x:c>
      <x:c r="V1058" t="str">
        <x:f>IF(AND(C1058="Active",Q1058=0),"Active Zero Sales","Not Zero Sales")</x:f>
        <x:v>Not Zero Sales</x:v>
      </x:c>
      <x:c r="W1058" s="12" t="n">
        <x:f>IF(V1058="Active Zero Sales",U1058,0)</x:f>
        <x:v>0</x:v>
      </x:c>
      <x:c r="X1058" t="str">
        <x:f>IF(E1058&lt;25,"Low &lt; 25",IF(E1058&lt;100,"Medium 25-99",IF(E1058&lt;300,"High 100-299","Premium 300+")))</x:f>
        <x:v>Medium 25-99</x:v>
      </x:c>
      <x:c r="Y1058" t="n">
        <x:f>IF(C1058="Active",1,0)</x:f>
        <x:v>0</x:v>
      </x:c>
    </x:row>
    <x:row r="1059">
      <x:c r="A1059" t="str">
        <x:v>SKU01058</x:v>
      </x:c>
      <x:c r="B1059" t="str">
        <x:v>Sample Product 01058</x:v>
      </x:c>
      <x:c r="C1059" t="str">
        <x:v>Active</x:v>
      </x:c>
      <x:c r="D1059" t="str">
        <x:v>2026-04</x:v>
      </x:c>
      <x:c r="E1059" s="12" t="n">
        <x:v>16.9</x:v>
      </x:c>
      <x:c r="F1059" s="10" t="n">
        <x:v>0.453</x:v>
      </x:c>
      <x:c r="G1059" t="str">
        <x:v>General Merchandise</x:v>
      </x:c>
      <x:c r="H1059" t="str">
        <x:v>Accessories</x:v>
      </x:c>
      <x:c r="I1059" t="str">
        <x:v>MFG013</x:v>
      </x:c>
      <x:c r="J1059" t="str">
        <x:v>Manufacturer 013</x:v>
      </x:c>
      <x:c r="K1059" t="str">
        <x:v>SUP014</x:v>
      </x:c>
      <x:c r="L1059" t="str">
        <x:v>Supplier 014</x:v>
      </x:c>
      <x:c r="M1059" t="str">
        <x:v>REG-378797</x:v>
      </x:c>
      <x:c r="N1059" t="str">
        <x:v>Generic Ingredient 023</x:v>
      </x:c>
      <x:c r="O1059" t="str">
        <x:v>General Sale</x:v>
      </x:c>
      <x:c r="P1059" t="n">
        <x:v>30</x:v>
      </x:c>
      <x:c r="Q1059" t="n">
        <x:v>6</x:v>
      </x:c>
      <x:c r="R1059" t="n">
        <x:v>31</x:v>
      </x:c>
      <x:c r="S1059" s="12" t="n">
        <x:f>E1059*Q1059</x:f>
        <x:v>101.39999999999999</x:v>
      </x:c>
      <x:c r="T1059" s="12" t="n">
        <x:f>ROUND(S1059*F1059+0.000000001,2)</x:f>
        <x:v>45.93</x:v>
      </x:c>
      <x:c r="U1059" s="12" t="n">
        <x:f>E1059*R1059</x:f>
        <x:v>523.9</x:v>
      </x:c>
      <x:c r="V1059" t="str">
        <x:f>IF(AND(C1059="Active",Q1059=0),"Active Zero Sales","Not Zero Sales")</x:f>
        <x:v>Not Zero Sales</x:v>
      </x:c>
      <x:c r="W1059" s="12" t="n">
        <x:f>IF(V1059="Active Zero Sales",U1059,0)</x:f>
        <x:v>0</x:v>
      </x:c>
      <x:c r="X1059" t="str">
        <x:f>IF(E1059&lt;25,"Low &lt; 25",IF(E1059&lt;100,"Medium 25-99",IF(E1059&lt;300,"High 100-299","Premium 300+")))</x:f>
        <x:v>Low &lt; 25</x:v>
      </x:c>
      <x:c r="Y1059" t="n">
        <x:f>IF(C1059="Active",1,0)</x:f>
        <x:v>1</x:v>
      </x:c>
    </x:row>
    <x:row r="1060">
      <x:c r="A1060" t="str">
        <x:v>SKU01059</x:v>
      </x:c>
      <x:c r="B1060" t="str">
        <x:v>Sample Product 01059</x:v>
      </x:c>
      <x:c r="C1060" t="str">
        <x:v>Blocked</x:v>
      </x:c>
      <x:c r="D1060" t="str">
        <x:v>2026-05</x:v>
      </x:c>
      <x:c r="E1060" s="12" t="n">
        <x:v>12.25</x:v>
      </x:c>
      <x:c r="F1060" s="10" t="n">
        <x:v>0.251</x:v>
      </x:c>
      <x:c r="G1060" t="str">
        <x:v>Medical Devices</x:v>
      </x:c>
      <x:c r="H1060" t="str">
        <x:v>First Aid</x:v>
      </x:c>
      <x:c r="I1060" t="str">
        <x:v>MFG004</x:v>
      </x:c>
      <x:c r="J1060" t="str">
        <x:v>Manufacturer 004</x:v>
      </x:c>
      <x:c r="K1060" t="str">
        <x:v>SUP026</x:v>
      </x:c>
      <x:c r="L1060" t="str">
        <x:v>Supplier 026</x:v>
      </x:c>
      <x:c r="M1060" t="str">
        <x:v>REG-982513</x:v>
      </x:c>
      <x:c r="N1060" t="str">
        <x:v>Generic Ingredient 032</x:v>
      </x:c>
      <x:c r="O1060" t="str">
        <x:v>General Sale</x:v>
      </x:c>
      <x:c r="P1060" t="n">
        <x:v>25</x:v>
      </x:c>
      <x:c r="Q1060" t="n">
        <x:v>16</x:v>
      </x:c>
      <x:c r="R1060" t="n">
        <x:v>0</x:v>
      </x:c>
      <x:c r="S1060" s="12" t="n">
        <x:f>E1060*Q1060</x:f>
        <x:v>196</x:v>
      </x:c>
      <x:c r="T1060" s="12" t="n">
        <x:f>ROUND(S1060*F1060+0.000000001,2)</x:f>
        <x:v>49.2</x:v>
      </x:c>
      <x:c r="U1060" s="12" t="n">
        <x:f>E1060*R1060</x:f>
        <x:v>0</x:v>
      </x:c>
      <x:c r="V1060" t="str">
        <x:f>IF(AND(C1060="Active",Q1060=0),"Active Zero Sales","Not Zero Sales")</x:f>
        <x:v>Not Zero Sales</x:v>
      </x:c>
      <x:c r="W1060" s="12" t="n">
        <x:f>IF(V1060="Active Zero Sales",U1060,0)</x:f>
        <x:v>0</x:v>
      </x:c>
      <x:c r="X1060" t="str">
        <x:f>IF(E1060&lt;25,"Low &lt; 25",IF(E1060&lt;100,"Medium 25-99",IF(E1060&lt;300,"High 100-299","Premium 300+")))</x:f>
        <x:v>Low &lt; 25</x:v>
      </x:c>
      <x:c r="Y1060" t="n">
        <x:f>IF(C1060="Active",1,0)</x:f>
        <x:v>0</x:v>
      </x:c>
    </x:row>
    <x:row r="1061">
      <x:c r="A1061" t="str">
        <x:v>SKU01060</x:v>
      </x:c>
      <x:c r="B1061" t="str">
        <x:v>Sample Product 01060</x:v>
      </x:c>
      <x:c r="C1061" t="str">
        <x:v>Blocked</x:v>
      </x:c>
      <x:c r="D1061" t="str">
        <x:v>2026-02</x:v>
      </x:c>
      <x:c r="E1061" s="12" t="n">
        <x:v>59.17</x:v>
      </x:c>
      <x:c r="F1061" s="10" t="n">
        <x:v>0.211</x:v>
      </x:c>
      <x:c r="G1061" t="str">
        <x:v>Medical Devices</x:v>
      </x:c>
      <x:c r="H1061" t="str">
        <x:v>Monitoring Supplies</x:v>
      </x:c>
      <x:c r="I1061" t="str">
        <x:v>MFG010</x:v>
      </x:c>
      <x:c r="J1061" t="str">
        <x:v>Manufacturer 010</x:v>
      </x:c>
      <x:c r="K1061" t="str">
        <x:v>SUP016</x:v>
      </x:c>
      <x:c r="L1061" t="str">
        <x:v>Supplier 016</x:v>
      </x:c>
      <x:c r="M1061" t="str">
        <x:v>REG-441454</x:v>
      </x:c>
      <x:c r="N1061" t="str">
        <x:v>Generic Ingredient 153</x:v>
      </x:c>
      <x:c r="O1061" t="str">
        <x:v>General Sale</x:v>
      </x:c>
      <x:c r="P1061" t="n">
        <x:v>2</x:v>
      </x:c>
      <x:c r="Q1061" t="n">
        <x:v>0</x:v>
      </x:c>
      <x:c r="R1061" t="n">
        <x:v>0</x:v>
      </x:c>
      <x:c r="S1061" s="12" t="n">
        <x:f>E1061*Q1061</x:f>
        <x:v>0</x:v>
      </x:c>
      <x:c r="T1061" s="12" t="n">
        <x:f>ROUND(S1061*F1061+0.000000001,2)</x:f>
        <x:v>0</x:v>
      </x:c>
      <x:c r="U1061" s="12" t="n">
        <x:f>E1061*R1061</x:f>
        <x:v>0</x:v>
      </x:c>
      <x:c r="V1061" t="str">
        <x:f>IF(AND(C1061="Active",Q1061=0),"Active Zero Sales","Not Zero Sales")</x:f>
        <x:v>Not Zero Sales</x:v>
      </x:c>
      <x:c r="W1061" s="12" t="n">
        <x:f>IF(V1061="Active Zero Sales",U1061,0)</x:f>
        <x:v>0</x:v>
      </x:c>
      <x:c r="X1061" t="str">
        <x:f>IF(E1061&lt;25,"Low &lt; 25",IF(E1061&lt;100,"Medium 25-99",IF(E1061&lt;300,"High 100-299","Premium 300+")))</x:f>
        <x:v>Medium 25-99</x:v>
      </x:c>
      <x:c r="Y1061" t="n">
        <x:f>IF(C1061="Active",1,0)</x:f>
        <x:v>0</x:v>
      </x:c>
    </x:row>
    <x:row r="1062">
      <x:c r="A1062" t="str">
        <x:v>SKU01061</x:v>
      </x:c>
      <x:c r="B1062" t="str">
        <x:v>Sample Product 01061</x:v>
      </x:c>
      <x:c r="C1062" t="str">
        <x:v>Active</x:v>
      </x:c>
      <x:c r="D1062" t="str">
        <x:v>2026-02</x:v>
      </x:c>
      <x:c r="E1062" s="12" t="n">
        <x:v>12.24</x:v>
      </x:c>
      <x:c r="F1062" s="10" t="n">
        <x:v>0.364</x:v>
      </x:c>
      <x:c r="G1062" t="str">
        <x:v>Personal Care</x:v>
      </x:c>
      <x:c r="H1062" t="str">
        <x:v>Skin Care</x:v>
      </x:c>
      <x:c r="I1062" t="str">
        <x:v>MFG003</x:v>
      </x:c>
      <x:c r="J1062" t="str">
        <x:v>Manufacturer 003</x:v>
      </x:c>
      <x:c r="K1062" t="str">
        <x:v>SUP016</x:v>
      </x:c>
      <x:c r="L1062" t="str">
        <x:v>Supplier 016</x:v>
      </x:c>
      <x:c r="M1062" t="str">
        <x:v>REG-971225</x:v>
      </x:c>
      <x:c r="N1062" t="str">
        <x:v>Generic Ingredient 033</x:v>
      </x:c>
      <x:c r="O1062" t="str">
        <x:v>Restricted Sale</x:v>
      </x:c>
      <x:c r="P1062" t="n">
        <x:v>59</x:v>
      </x:c>
      <x:c r="Q1062" t="n">
        <x:v>33</x:v>
      </x:c>
      <x:c r="R1062" t="n">
        <x:v>9</x:v>
      </x:c>
      <x:c r="S1062" s="12" t="n">
        <x:f>E1062*Q1062</x:f>
        <x:v>403.92</x:v>
      </x:c>
      <x:c r="T1062" s="12" t="n">
        <x:f>ROUND(S1062*F1062+0.000000001,2)</x:f>
        <x:v>147.03</x:v>
      </x:c>
      <x:c r="U1062" s="12" t="n">
        <x:f>E1062*R1062</x:f>
        <x:v>110.16</x:v>
      </x:c>
      <x:c r="V1062" t="str">
        <x:f>IF(AND(C1062="Active",Q1062=0),"Active Zero Sales","Not Zero Sales")</x:f>
        <x:v>Not Zero Sales</x:v>
      </x:c>
      <x:c r="W1062" s="12" t="n">
        <x:f>IF(V1062="Active Zero Sales",U1062,0)</x:f>
        <x:v>0</x:v>
      </x:c>
      <x:c r="X1062" t="str">
        <x:f>IF(E1062&lt;25,"Low &lt; 25",IF(E1062&lt;100,"Medium 25-99",IF(E1062&lt;300,"High 100-299","Premium 300+")))</x:f>
        <x:v>Low &lt; 25</x:v>
      </x:c>
      <x:c r="Y1062" t="n">
        <x:f>IF(C1062="Active",1,0)</x:f>
        <x:v>1</x:v>
      </x:c>
    </x:row>
    <x:row r="1063">
      <x:c r="A1063" t="str">
        <x:v>SKU01062</x:v>
      </x:c>
      <x:c r="B1063" t="str">
        <x:v>Sample Product 01062</x:v>
      </x:c>
      <x:c r="C1063" t="str">
        <x:v>Active</x:v>
      </x:c>
      <x:c r="D1063" t="str">
        <x:v>2026-01</x:v>
      </x:c>
      <x:c r="E1063" s="12" t="n">
        <x:v>276.2</x:v>
      </x:c>
      <x:c r="F1063" s="10" t="n">
        <x:v>0.337</x:v>
      </x:c>
      <x:c r="G1063" t="str">
        <x:v>Personal Care</x:v>
      </x:c>
      <x:c r="H1063" t="str">
        <x:v>Oral Care</x:v>
      </x:c>
      <x:c r="I1063" t="str">
        <x:v>MFG009</x:v>
      </x:c>
      <x:c r="J1063" t="str">
        <x:v>Manufacturer 009</x:v>
      </x:c>
      <x:c r="K1063" t="str">
        <x:v>SUP010</x:v>
      </x:c>
      <x:c r="L1063" t="str">
        <x:v>Supplier 010</x:v>
      </x:c>
      <x:c r="M1063" t="str">
        <x:v>REG-663823</x:v>
      </x:c>
      <x:c r="N1063" t="str">
        <x:v>Generic Ingredient 053</x:v>
      </x:c>
      <x:c r="O1063" t="str">
        <x:v>Pharmacy Only</x:v>
      </x:c>
      <x:c r="P1063" t="n">
        <x:v>74</x:v>
      </x:c>
      <x:c r="Q1063" t="n">
        <x:v>60</x:v>
      </x:c>
      <x:c r="R1063" t="n">
        <x:v>15</x:v>
      </x:c>
      <x:c r="S1063" s="12" t="n">
        <x:f>E1063*Q1063</x:f>
        <x:v>16572</x:v>
      </x:c>
      <x:c r="T1063" s="12" t="n">
        <x:f>ROUND(S1063*F1063+0.000000001,2)</x:f>
        <x:v>5584.76</x:v>
      </x:c>
      <x:c r="U1063" s="12" t="n">
        <x:f>E1063*R1063</x:f>
        <x:v>4143</x:v>
      </x:c>
      <x:c r="V1063" t="str">
        <x:f>IF(AND(C1063="Active",Q1063=0),"Active Zero Sales","Not Zero Sales")</x:f>
        <x:v>Not Zero Sales</x:v>
      </x:c>
      <x:c r="W1063" s="12" t="n">
        <x:f>IF(V1063="Active Zero Sales",U1063,0)</x:f>
        <x:v>0</x:v>
      </x:c>
      <x:c r="X1063" t="str">
        <x:f>IF(E1063&lt;25,"Low &lt; 25",IF(E1063&lt;100,"Medium 25-99",IF(E1063&lt;300,"High 100-299","Premium 300+")))</x:f>
        <x:v>High 100-299</x:v>
      </x:c>
      <x:c r="Y1063" t="n">
        <x:f>IF(C1063="Active",1,0)</x:f>
        <x:v>1</x:v>
      </x:c>
    </x:row>
    <x:row r="1064">
      <x:c r="A1064" t="str">
        <x:v>SKU01063</x:v>
      </x:c>
      <x:c r="B1064" t="str">
        <x:v>Sample Product 01063</x:v>
      </x:c>
      <x:c r="C1064" t="str">
        <x:v>Active</x:v>
      </x:c>
      <x:c r="D1064" t="str">
        <x:v>2026-02</x:v>
      </x:c>
      <x:c r="E1064" s="12" t="n">
        <x:v>45.58</x:v>
      </x:c>
      <x:c r="F1064" s="10" t="n">
        <x:v>0.306</x:v>
      </x:c>
      <x:c r="G1064" t="str">
        <x:v>Nutrition</x:v>
      </x:c>
      <x:c r="H1064" t="str">
        <x:v>Adult Nutrition</x:v>
      </x:c>
      <x:c r="I1064" t="str">
        <x:v>MFG020</x:v>
      </x:c>
      <x:c r="J1064" t="str">
        <x:v>Manufacturer 020</x:v>
      </x:c>
      <x:c r="K1064" t="str">
        <x:v>SUP016</x:v>
      </x:c>
      <x:c r="L1064" t="str">
        <x:v>Supplier 016</x:v>
      </x:c>
      <x:c r="M1064" t="str">
        <x:v>REG-154970</x:v>
      </x:c>
      <x:c r="N1064" t="str">
        <x:v>Generic Ingredient 172</x:v>
      </x:c>
      <x:c r="O1064" t="str">
        <x:v>General Sale</x:v>
      </x:c>
      <x:c r="P1064" t="n">
        <x:v>30</x:v>
      </x:c>
      <x:c r="Q1064" t="n">
        <x:v>12</x:v>
      </x:c>
      <x:c r="R1064" t="n">
        <x:v>0</x:v>
      </x:c>
      <x:c r="S1064" s="12" t="n">
        <x:f>E1064*Q1064</x:f>
        <x:v>546.96</x:v>
      </x:c>
      <x:c r="T1064" s="12" t="n">
        <x:f>ROUND(S1064*F1064+0.000000001,2)</x:f>
        <x:v>167.37</x:v>
      </x:c>
      <x:c r="U1064" s="12" t="n">
        <x:f>E1064*R1064</x:f>
        <x:v>0</x:v>
      </x:c>
      <x:c r="V1064" t="str">
        <x:f>IF(AND(C1064="Active",Q1064=0),"Active Zero Sales","Not Zero Sales")</x:f>
        <x:v>Not Zero Sales</x:v>
      </x:c>
      <x:c r="W1064" s="12" t="n">
        <x:f>IF(V1064="Active Zero Sales",U1064,0)</x:f>
        <x:v>0</x:v>
      </x:c>
      <x:c r="X1064" t="str">
        <x:f>IF(E1064&lt;25,"Low &lt; 25",IF(E1064&lt;100,"Medium 25-99",IF(E1064&lt;300,"High 100-299","Premium 300+")))</x:f>
        <x:v>Medium 25-99</x:v>
      </x:c>
      <x:c r="Y1064" t="n">
        <x:f>IF(C1064="Active",1,0)</x:f>
        <x:v>1</x:v>
      </x:c>
    </x:row>
    <x:row r="1065">
      <x:c r="A1065" t="str">
        <x:v>SKU01064</x:v>
      </x:c>
      <x:c r="B1065" t="str">
        <x:v>Sample Product 01064</x:v>
      </x:c>
      <x:c r="C1065" t="str">
        <x:v>Active</x:v>
      </x:c>
      <x:c r="D1065" t="str">
        <x:v>2026-01</x:v>
      </x:c>
      <x:c r="E1065" s="12" t="n">
        <x:v>21.25</x:v>
      </x:c>
      <x:c r="F1065" s="10" t="n">
        <x:v>0.238</x:v>
      </x:c>
      <x:c r="G1065" t="str">
        <x:v>Nutrition</x:v>
      </x:c>
      <x:c r="H1065" t="str">
        <x:v>Hydration</x:v>
      </x:c>
      <x:c r="I1065" t="str">
        <x:v>MFG004</x:v>
      </x:c>
      <x:c r="J1065" t="str">
        <x:v>Manufacturer 004</x:v>
      </x:c>
      <x:c r="K1065" t="str">
        <x:v>SUP011</x:v>
      </x:c>
      <x:c r="L1065" t="str">
        <x:v>Supplier 011</x:v>
      </x:c>
      <x:c r="M1065" t="str">
        <x:v>REG-628963</x:v>
      </x:c>
      <x:c r="N1065" t="str">
        <x:v>Generic Ingredient 137</x:v>
      </x:c>
      <x:c r="O1065" t="str">
        <x:v>General Sale</x:v>
      </x:c>
      <x:c r="P1065" t="n">
        <x:v>55</x:v>
      </x:c>
      <x:c r="Q1065" t="n">
        <x:v>16</x:v>
      </x:c>
      <x:c r="R1065" t="n">
        <x:v>0</x:v>
      </x:c>
      <x:c r="S1065" s="12" t="n">
        <x:f>E1065*Q1065</x:f>
        <x:v>340</x:v>
      </x:c>
      <x:c r="T1065" s="12" t="n">
        <x:f>ROUND(S1065*F1065+0.000000001,2)</x:f>
        <x:v>80.92</x:v>
      </x:c>
      <x:c r="U1065" s="12" t="n">
        <x:f>E1065*R1065</x:f>
        <x:v>0</x:v>
      </x:c>
      <x:c r="V1065" t="str">
        <x:f>IF(AND(C1065="Active",Q1065=0),"Active Zero Sales","Not Zero Sales")</x:f>
        <x:v>Not Zero Sales</x:v>
      </x:c>
      <x:c r="W1065" s="12" t="n">
        <x:f>IF(V1065="Active Zero Sales",U1065,0)</x:f>
        <x:v>0</x:v>
      </x:c>
      <x:c r="X1065" t="str">
        <x:f>IF(E1065&lt;25,"Low &lt; 25",IF(E1065&lt;100,"Medium 25-99",IF(E1065&lt;300,"High 100-299","Premium 300+")))</x:f>
        <x:v>Low &lt; 25</x:v>
      </x:c>
      <x:c r="Y1065" t="n">
        <x:f>IF(C1065="Active",1,0)</x:f>
        <x:v>1</x:v>
      </x:c>
    </x:row>
    <x:row r="1066">
      <x:c r="A1066" t="str">
        <x:v>SKU01065</x:v>
      </x:c>
      <x:c r="B1066" t="str">
        <x:v>Sample Product 01065</x:v>
      </x:c>
      <x:c r="C1066" t="str">
        <x:v>Active</x:v>
      </x:c>
      <x:c r="D1066" t="str">
        <x:v>2026-01</x:v>
      </x:c>
      <x:c r="E1066" s="12" t="n">
        <x:v>128.87</x:v>
      </x:c>
      <x:c r="F1066" s="10" t="n">
        <x:v>0.33</x:v>
      </x:c>
      <x:c r="G1066" t="str">
        <x:v>Nutrition</x:v>
      </x:c>
      <x:c r="H1066" t="str">
        <x:v>Adult Nutrition</x:v>
      </x:c>
      <x:c r="I1066" t="str">
        <x:v>MFG005</x:v>
      </x:c>
      <x:c r="J1066" t="str">
        <x:v>Manufacturer 005</x:v>
      </x:c>
      <x:c r="K1066" t="str">
        <x:v>SUP006</x:v>
      </x:c>
      <x:c r="L1066" t="str">
        <x:v>Supplier 006</x:v>
      </x:c>
      <x:c r="M1066" t="str">
        <x:v>REG-177763</x:v>
      </x:c>
      <x:c r="N1066" t="str">
        <x:v>Generic Ingredient 063</x:v>
      </x:c>
      <x:c r="O1066" t="str">
        <x:v>General Sale</x:v>
      </x:c>
      <x:c r="P1066" t="n">
        <x:v>33</x:v>
      </x:c>
      <x:c r="Q1066" t="n">
        <x:v>15</x:v>
      </x:c>
      <x:c r="R1066" t="n">
        <x:v>0</x:v>
      </x:c>
      <x:c r="S1066" s="12" t="n">
        <x:f>E1066*Q1066</x:f>
        <x:v>1933.0500000000002</x:v>
      </x:c>
      <x:c r="T1066" s="12" t="n">
        <x:f>ROUND(S1066*F1066+0.000000001,2)</x:f>
        <x:v>637.91</x:v>
      </x:c>
      <x:c r="U1066" s="12" t="n">
        <x:f>E1066*R1066</x:f>
        <x:v>0</x:v>
      </x:c>
      <x:c r="V1066" t="str">
        <x:f>IF(AND(C1066="Active",Q1066=0),"Active Zero Sales","Not Zero Sales")</x:f>
        <x:v>Not Zero Sales</x:v>
      </x:c>
      <x:c r="W1066" s="12" t="n">
        <x:f>IF(V1066="Active Zero Sales",U1066,0)</x:f>
        <x:v>0</x:v>
      </x:c>
      <x:c r="X1066" t="str">
        <x:f>IF(E1066&lt;25,"Low &lt; 25",IF(E1066&lt;100,"Medium 25-99",IF(E1066&lt;300,"High 100-299","Premium 300+")))</x:f>
        <x:v>High 100-299</x:v>
      </x:c>
      <x:c r="Y1066" t="n">
        <x:f>IF(C1066="Active",1,0)</x:f>
        <x:v>1</x:v>
      </x:c>
    </x:row>
    <x:row r="1067">
      <x:c r="A1067" t="str">
        <x:v>SKU01066</x:v>
      </x:c>
      <x:c r="B1067" t="str">
        <x:v>Sample Product 01066</x:v>
      </x:c>
      <x:c r="C1067" t="str">
        <x:v>Active</x:v>
      </x:c>
      <x:c r="D1067" t="str">
        <x:v>2026-03</x:v>
      </x:c>
      <x:c r="E1067" s="12" t="n">
        <x:v>28.02</x:v>
      </x:c>
      <x:c r="F1067" s="10" t="n">
        <x:v>0.363</x:v>
      </x:c>
      <x:c r="G1067" t="str">
        <x:v>OTC &amp; Wellness</x:v>
      </x:c>
      <x:c r="H1067" t="str">
        <x:v>Pain Relief</x:v>
      </x:c>
      <x:c r="I1067" t="str">
        <x:v>MFG018</x:v>
      </x:c>
      <x:c r="J1067" t="str">
        <x:v>Manufacturer 018</x:v>
      </x:c>
      <x:c r="K1067" t="str">
        <x:v>SUP006</x:v>
      </x:c>
      <x:c r="L1067" t="str">
        <x:v>Supplier 006</x:v>
      </x:c>
      <x:c r="M1067" t="str">
        <x:v>REG-397181</x:v>
      </x:c>
      <x:c r="N1067" t="str">
        <x:v>Generic Ingredient 027</x:v>
      </x:c>
      <x:c r="O1067" t="str">
        <x:v>General Sale</x:v>
      </x:c>
      <x:c r="P1067" t="n">
        <x:v>79</x:v>
      </x:c>
      <x:c r="Q1067" t="n">
        <x:v>23</x:v>
      </x:c>
      <x:c r="R1067" t="n">
        <x:v>18</x:v>
      </x:c>
      <x:c r="S1067" s="12" t="n">
        <x:f>E1067*Q1067</x:f>
        <x:v>644.46</x:v>
      </x:c>
      <x:c r="T1067" s="12" t="n">
        <x:f>ROUND(S1067*F1067+0.000000001,2)</x:f>
        <x:v>233.94</x:v>
      </x:c>
      <x:c r="U1067" s="12" t="n">
        <x:f>E1067*R1067</x:f>
        <x:v>504.36</x:v>
      </x:c>
      <x:c r="V1067" t="str">
        <x:f>IF(AND(C1067="Active",Q1067=0),"Active Zero Sales","Not Zero Sales")</x:f>
        <x:v>Not Zero Sales</x:v>
      </x:c>
      <x:c r="W1067" s="12" t="n">
        <x:f>IF(V1067="Active Zero Sales",U1067,0)</x:f>
        <x:v>0</x:v>
      </x:c>
      <x:c r="X1067" t="str">
        <x:f>IF(E1067&lt;25,"Low &lt; 25",IF(E1067&lt;100,"Medium 25-99",IF(E1067&lt;300,"High 100-299","Premium 300+")))</x:f>
        <x:v>Medium 25-99</x:v>
      </x:c>
      <x:c r="Y1067" t="n">
        <x:f>IF(C1067="Active",1,0)</x:f>
        <x:v>1</x:v>
      </x:c>
    </x:row>
    <x:row r="1068">
      <x:c r="A1068" t="str">
        <x:v>SKU01067</x:v>
      </x:c>
      <x:c r="B1068" t="str">
        <x:v>Sample Product 01067</x:v>
      </x:c>
      <x:c r="C1068" t="str">
        <x:v>Active</x:v>
      </x:c>
      <x:c r="D1068" t="str">
        <x:v>2026-04</x:v>
      </x:c>
      <x:c r="E1068" s="12" t="n">
        <x:v>70.71</x:v>
      </x:c>
      <x:c r="F1068" s="10" t="n">
        <x:v>0.293</x:v>
      </x:c>
      <x:c r="G1068" t="str">
        <x:v>OTC &amp; Wellness</x:v>
      </x:c>
      <x:c r="H1068" t="str">
        <x:v>Cold &amp; Allergy</x:v>
      </x:c>
      <x:c r="I1068" t="str">
        <x:v>MFG003</x:v>
      </x:c>
      <x:c r="J1068" t="str">
        <x:v>Manufacturer 003</x:v>
      </x:c>
      <x:c r="K1068" t="str">
        <x:v>SUP006</x:v>
      </x:c>
      <x:c r="L1068" t="str">
        <x:v>Supplier 006</x:v>
      </x:c>
      <x:c r="M1068" t="str">
        <x:v>REG-294453</x:v>
      </x:c>
      <x:c r="N1068" t="str">
        <x:v>Generic Ingredient 143</x:v>
      </x:c>
      <x:c r="O1068" t="str">
        <x:v>General Sale</x:v>
      </x:c>
      <x:c r="P1068" t="n">
        <x:v>106</x:v>
      </x:c>
      <x:c r="Q1068" t="n">
        <x:v>53</x:v>
      </x:c>
      <x:c r="R1068" t="n">
        <x:v>18</x:v>
      </x:c>
      <x:c r="S1068" s="12" t="n">
        <x:f>E1068*Q1068</x:f>
        <x:v>3747.6299999999997</x:v>
      </x:c>
      <x:c r="T1068" s="12" t="n">
        <x:f>ROUND(S1068*F1068+0.000000001,2)</x:f>
        <x:v>1098.06</x:v>
      </x:c>
      <x:c r="U1068" s="12" t="n">
        <x:f>E1068*R1068</x:f>
        <x:v>1272.78</x:v>
      </x:c>
      <x:c r="V1068" t="str">
        <x:f>IF(AND(C1068="Active",Q1068=0),"Active Zero Sales","Not Zero Sales")</x:f>
        <x:v>Not Zero Sales</x:v>
      </x:c>
      <x:c r="W1068" s="12" t="n">
        <x:f>IF(V1068="Active Zero Sales",U1068,0)</x:f>
        <x:v>0</x:v>
      </x:c>
      <x:c r="X1068" t="str">
        <x:f>IF(E1068&lt;25,"Low &lt; 25",IF(E1068&lt;100,"Medium 25-99",IF(E1068&lt;300,"High 100-299","Premium 300+")))</x:f>
        <x:v>Medium 25-99</x:v>
      </x:c>
      <x:c r="Y1068" t="n">
        <x:f>IF(C1068="Active",1,0)</x:f>
        <x:v>1</x:v>
      </x:c>
    </x:row>
    <x:row r="1069">
      <x:c r="A1069" t="str">
        <x:v>SKU01068</x:v>
      </x:c>
      <x:c r="B1069" t="str">
        <x:v>Sample Product 01068</x:v>
      </x:c>
      <x:c r="C1069" t="str">
        <x:v>Active</x:v>
      </x:c>
      <x:c r="D1069" t="str">
        <x:v>2026-04</x:v>
      </x:c>
      <x:c r="E1069" s="12" t="n">
        <x:v>10.51</x:v>
      </x:c>
      <x:c r="F1069" s="10" t="n">
        <x:v>0.445</x:v>
      </x:c>
      <x:c r="G1069" t="str">
        <x:v>Personal Care</x:v>
      </x:c>
      <x:c r="H1069" t="str">
        <x:v>Oral Care</x:v>
      </x:c>
      <x:c r="I1069" t="str">
        <x:v>MFG001</x:v>
      </x:c>
      <x:c r="J1069" t="str">
        <x:v>Manufacturer 001</x:v>
      </x:c>
      <x:c r="K1069" t="str">
        <x:v>SUP028</x:v>
      </x:c>
      <x:c r="L1069" t="str">
        <x:v>Supplier 028</x:v>
      </x:c>
      <x:c r="M1069" t="str">
        <x:v>REG-567915</x:v>
      </x:c>
      <x:c r="N1069" t="str">
        <x:v>Generic Ingredient 109</x:v>
      </x:c>
      <x:c r="O1069" t="str">
        <x:v>General Sale</x:v>
      </x:c>
      <x:c r="P1069" t="n">
        <x:v>62</x:v>
      </x:c>
      <x:c r="Q1069" t="n">
        <x:v>16</x:v>
      </x:c>
      <x:c r="R1069" t="n">
        <x:v>18</x:v>
      </x:c>
      <x:c r="S1069" s="12" t="n">
        <x:f>E1069*Q1069</x:f>
        <x:v>168.16</x:v>
      </x:c>
      <x:c r="T1069" s="12" t="n">
        <x:f>ROUND(S1069*F1069+0.000000001,2)</x:f>
        <x:v>74.83</x:v>
      </x:c>
      <x:c r="U1069" s="12" t="n">
        <x:f>E1069*R1069</x:f>
        <x:v>189.18</x:v>
      </x:c>
      <x:c r="V1069" t="str">
        <x:f>IF(AND(C1069="Active",Q1069=0),"Active Zero Sales","Not Zero Sales")</x:f>
        <x:v>Not Zero Sales</x:v>
      </x:c>
      <x:c r="W1069" s="12" t="n">
        <x:f>IF(V1069="Active Zero Sales",U1069,0)</x:f>
        <x:v>0</x:v>
      </x:c>
      <x:c r="X1069" t="str">
        <x:f>IF(E1069&lt;25,"Low &lt; 25",IF(E1069&lt;100,"Medium 25-99",IF(E1069&lt;300,"High 100-299","Premium 300+")))</x:f>
        <x:v>Low &lt; 25</x:v>
      </x:c>
      <x:c r="Y1069" t="n">
        <x:f>IF(C1069="Active",1,0)</x:f>
        <x:v>1</x:v>
      </x:c>
    </x:row>
    <x:row r="1070">
      <x:c r="A1070" t="str">
        <x:v>SKU01069</x:v>
      </x:c>
      <x:c r="B1070" t="str">
        <x:v>Sample Product 01069</x:v>
      </x:c>
      <x:c r="C1070" t="str">
        <x:v>Active</x:v>
      </x:c>
      <x:c r="D1070" t="str">
        <x:v>2026-05</x:v>
      </x:c>
      <x:c r="E1070" s="12" t="n">
        <x:v>23.42</x:v>
      </x:c>
      <x:c r="F1070" s="10" t="n">
        <x:v>0.295</x:v>
      </x:c>
      <x:c r="G1070" t="str">
        <x:v>Nutrition</x:v>
      </x:c>
      <x:c r="H1070" t="str">
        <x:v>Hydration</x:v>
      </x:c>
      <x:c r="I1070" t="str">
        <x:v>MFG011</x:v>
      </x:c>
      <x:c r="J1070" t="str">
        <x:v>Manufacturer 011</x:v>
      </x:c>
      <x:c r="K1070" t="str">
        <x:v>SUP018</x:v>
      </x:c>
      <x:c r="L1070" t="str">
        <x:v>Supplier 018</x:v>
      </x:c>
      <x:c r="M1070" t="str">
        <x:v>REG-184379</x:v>
      </x:c>
      <x:c r="N1070" t="str">
        <x:v>Generic Ingredient 172</x:v>
      </x:c>
      <x:c r="O1070" t="str">
        <x:v>General Sale</x:v>
      </x:c>
      <x:c r="P1070" t="n">
        <x:v>35</x:v>
      </x:c>
      <x:c r="Q1070" t="n">
        <x:v>10</x:v>
      </x:c>
      <x:c r="R1070" t="n">
        <x:v>15</x:v>
      </x:c>
      <x:c r="S1070" s="12" t="n">
        <x:f>E1070*Q1070</x:f>
        <x:v>234.20000000000002</x:v>
      </x:c>
      <x:c r="T1070" s="12" t="n">
        <x:f>ROUND(S1070*F1070+0.000000001,2)</x:f>
        <x:v>69.09</x:v>
      </x:c>
      <x:c r="U1070" s="12" t="n">
        <x:f>E1070*R1070</x:f>
        <x:v>351.3</x:v>
      </x:c>
      <x:c r="V1070" t="str">
        <x:f>IF(AND(C1070="Active",Q1070=0),"Active Zero Sales","Not Zero Sales")</x:f>
        <x:v>Not Zero Sales</x:v>
      </x:c>
      <x:c r="W1070" s="12" t="n">
        <x:f>IF(V1070="Active Zero Sales",U1070,0)</x:f>
        <x:v>0</x:v>
      </x:c>
      <x:c r="X1070" t="str">
        <x:f>IF(E1070&lt;25,"Low &lt; 25",IF(E1070&lt;100,"Medium 25-99",IF(E1070&lt;300,"High 100-299","Premium 300+")))</x:f>
        <x:v>Low &lt; 25</x:v>
      </x:c>
      <x:c r="Y1070" t="n">
        <x:f>IF(C1070="Active",1,0)</x:f>
        <x:v>1</x:v>
      </x:c>
    </x:row>
    <x:row r="1071">
      <x:c r="A1071" t="str">
        <x:v>SKU01070</x:v>
      </x:c>
      <x:c r="B1071" t="str">
        <x:v>Sample Product 01070</x:v>
      </x:c>
      <x:c r="C1071" t="str">
        <x:v>Active</x:v>
      </x:c>
      <x:c r="D1071" t="str">
        <x:v>2026-06</x:v>
      </x:c>
      <x:c r="E1071" s="12" t="n">
        <x:v>126.11</x:v>
      </x:c>
      <x:c r="F1071" s="10" t="n">
        <x:v>0.313</x:v>
      </x:c>
      <x:c r="G1071" t="str">
        <x:v>OTC &amp; Wellness</x:v>
      </x:c>
      <x:c r="H1071" t="str">
        <x:v>Vitamins</x:v>
      </x:c>
      <x:c r="I1071" t="str">
        <x:v>MFG010</x:v>
      </x:c>
      <x:c r="J1071" t="str">
        <x:v>Manufacturer 010</x:v>
      </x:c>
      <x:c r="K1071" t="str">
        <x:v>SUP030</x:v>
      </x:c>
      <x:c r="L1071" t="str">
        <x:v>Supplier 030</x:v>
      </x:c>
      <x:c r="M1071" t="str">
        <x:v>REG-704441</x:v>
      </x:c>
      <x:c r="N1071" t="str">
        <x:v>Generic Ingredient 069</x:v>
      </x:c>
      <x:c r="O1071" t="str">
        <x:v>General Sale</x:v>
      </x:c>
      <x:c r="P1071" t="n">
        <x:v>22</x:v>
      </x:c>
      <x:c r="Q1071" t="n">
        <x:v>0</x:v>
      </x:c>
      <x:c r="R1071" t="n">
        <x:v>16</x:v>
      </x:c>
      <x:c r="S1071" s="12" t="n">
        <x:f>E1071*Q1071</x:f>
        <x:v>0</x:v>
      </x:c>
      <x:c r="T1071" s="12" t="n">
        <x:f>ROUND(S1071*F1071+0.000000001,2)</x:f>
        <x:v>0</x:v>
      </x:c>
      <x:c r="U1071" s="12" t="n">
        <x:f>E1071*R1071</x:f>
        <x:v>2017.76</x:v>
      </x:c>
      <x:c r="V1071" t="str">
        <x:f>IF(AND(C1071="Active",Q1071=0),"Active Zero Sales","Not Zero Sales")</x:f>
        <x:v>Active Zero Sales</x:v>
      </x:c>
      <x:c r="W1071" s="12" t="n">
        <x:f>IF(V1071="Active Zero Sales",U1071,0)</x:f>
        <x:v>2017.76</x:v>
      </x:c>
      <x:c r="X1071" t="str">
        <x:f>IF(E1071&lt;25,"Low &lt; 25",IF(E1071&lt;100,"Medium 25-99",IF(E1071&lt;300,"High 100-299","Premium 300+")))</x:f>
        <x:v>High 100-299</x:v>
      </x:c>
      <x:c r="Y1071" t="n">
        <x:f>IF(C1071="Active",1,0)</x:f>
        <x:v>1</x:v>
      </x:c>
    </x:row>
    <x:row r="1072">
      <x:c r="A1072" t="str">
        <x:v>SKU01071</x:v>
      </x:c>
      <x:c r="B1072" t="str">
        <x:v>Sample Product 01071</x:v>
      </x:c>
      <x:c r="C1072" t="str">
        <x:v>Active</x:v>
      </x:c>
      <x:c r="D1072" t="str">
        <x:v>2026-02</x:v>
      </x:c>
      <x:c r="E1072" s="12" t="n">
        <x:v>40.1</x:v>
      </x:c>
      <x:c r="F1072" s="10" t="n">
        <x:v>0.17</x:v>
      </x:c>
      <x:c r="G1072" t="str">
        <x:v>Medical Devices</x:v>
      </x:c>
      <x:c r="H1072" t="str">
        <x:v>First Aid</x:v>
      </x:c>
      <x:c r="I1072" t="str">
        <x:v>MFG002</x:v>
      </x:c>
      <x:c r="J1072" t="str">
        <x:v>Manufacturer 002</x:v>
      </x:c>
      <x:c r="K1072" t="str">
        <x:v>SUP014</x:v>
      </x:c>
      <x:c r="L1072" t="str">
        <x:v>Supplier 014</x:v>
      </x:c>
      <x:c r="M1072" t="str">
        <x:v>REG-511468</x:v>
      </x:c>
      <x:c r="N1072" t="str">
        <x:v>Generic Ingredient 024</x:v>
      </x:c>
      <x:c r="O1072" t="str">
        <x:v>Restricted Sale</x:v>
      </x:c>
      <x:c r="P1072" t="n">
        <x:v>63</x:v>
      </x:c>
      <x:c r="Q1072" t="n">
        <x:v>19</x:v>
      </x:c>
      <x:c r="R1072" t="n">
        <x:v>0</x:v>
      </x:c>
      <x:c r="S1072" s="12" t="n">
        <x:f>E1072*Q1072</x:f>
        <x:v>761.9</x:v>
      </x:c>
      <x:c r="T1072" s="12" t="n">
        <x:f>ROUND(S1072*F1072+0.000000001,2)</x:f>
        <x:v>129.52</x:v>
      </x:c>
      <x:c r="U1072" s="12" t="n">
        <x:f>E1072*R1072</x:f>
        <x:v>0</x:v>
      </x:c>
      <x:c r="V1072" t="str">
        <x:f>IF(AND(C1072="Active",Q1072=0),"Active Zero Sales","Not Zero Sales")</x:f>
        <x:v>Not Zero Sales</x:v>
      </x:c>
      <x:c r="W1072" s="12" t="n">
        <x:f>IF(V1072="Active Zero Sales",U1072,0)</x:f>
        <x:v>0</x:v>
      </x:c>
      <x:c r="X1072" t="str">
        <x:f>IF(E1072&lt;25,"Low &lt; 25",IF(E1072&lt;100,"Medium 25-99",IF(E1072&lt;300,"High 100-299","Premium 300+")))</x:f>
        <x:v>Medium 25-99</x:v>
      </x:c>
      <x:c r="Y1072" t="n">
        <x:f>IF(C1072="Active",1,0)</x:f>
        <x:v>1</x:v>
      </x:c>
    </x:row>
    <x:row r="1073">
      <x:c r="A1073" t="str">
        <x:v>SKU01072</x:v>
      </x:c>
      <x:c r="B1073" t="str">
        <x:v>Sample Product 01072</x:v>
      </x:c>
      <x:c r="C1073" t="str">
        <x:v>Active</x:v>
      </x:c>
      <x:c r="D1073" t="str">
        <x:v>2026-05</x:v>
      </x:c>
      <x:c r="E1073" s="12" t="n">
        <x:v>17.11</x:v>
      </x:c>
      <x:c r="F1073" s="10" t="n">
        <x:v>0.265</x:v>
      </x:c>
      <x:c r="G1073" t="str">
        <x:v>Medical Devices</x:v>
      </x:c>
      <x:c r="H1073" t="str">
        <x:v>First Aid</x:v>
      </x:c>
      <x:c r="I1073" t="str">
        <x:v>MFG006</x:v>
      </x:c>
      <x:c r="J1073" t="str">
        <x:v>Manufacturer 006</x:v>
      </x:c>
      <x:c r="K1073" t="str">
        <x:v>SUP009</x:v>
      </x:c>
      <x:c r="L1073" t="str">
        <x:v>Supplier 009</x:v>
      </x:c>
      <x:c r="M1073" t="str">
        <x:v>REG-440822</x:v>
      </x:c>
      <x:c r="N1073" t="str">
        <x:v>Generic Ingredient 023</x:v>
      </x:c>
      <x:c r="O1073" t="str">
        <x:v>General Sale</x:v>
      </x:c>
      <x:c r="P1073" t="n">
        <x:v>132</x:v>
      </x:c>
      <x:c r="Q1073" t="n">
        <x:v>58</x:v>
      </x:c>
      <x:c r="R1073" t="n">
        <x:v>29</x:v>
      </x:c>
      <x:c r="S1073" s="12" t="n">
        <x:f>E1073*Q1073</x:f>
        <x:v>992.38</x:v>
      </x:c>
      <x:c r="T1073" s="12" t="n">
        <x:f>ROUND(S1073*F1073+0.000000001,2)</x:f>
        <x:v>262.98</x:v>
      </x:c>
      <x:c r="U1073" s="12" t="n">
        <x:f>E1073*R1073</x:f>
        <x:v>496.19</x:v>
      </x:c>
      <x:c r="V1073" t="str">
        <x:f>IF(AND(C1073="Active",Q1073=0),"Active Zero Sales","Not Zero Sales")</x:f>
        <x:v>Not Zero Sales</x:v>
      </x:c>
      <x:c r="W1073" s="12" t="n">
        <x:f>IF(V1073="Active Zero Sales",U1073,0)</x:f>
        <x:v>0</x:v>
      </x:c>
      <x:c r="X1073" t="str">
        <x:f>IF(E1073&lt;25,"Low &lt; 25",IF(E1073&lt;100,"Medium 25-99",IF(E1073&lt;300,"High 100-299","Premium 300+")))</x:f>
        <x:v>Low &lt; 25</x:v>
      </x:c>
      <x:c r="Y1073" t="n">
        <x:f>IF(C1073="Active",1,0)</x:f>
        <x:v>1</x:v>
      </x:c>
    </x:row>
    <x:row r="1074">
      <x:c r="A1074" t="str">
        <x:v>SKU01073</x:v>
      </x:c>
      <x:c r="B1074" t="str">
        <x:v>Sample Product 01073</x:v>
      </x:c>
      <x:c r="C1074" t="str">
        <x:v>Blocked</x:v>
      </x:c>
      <x:c r="D1074" t="str">
        <x:v>2026-05</x:v>
      </x:c>
      <x:c r="E1074" s="12" t="n">
        <x:v>10.24</x:v>
      </x:c>
      <x:c r="F1074" s="10" t="n">
        <x:v>0.315</x:v>
      </x:c>
      <x:c r="G1074" t="str">
        <x:v>Medical Devices</x:v>
      </x:c>
      <x:c r="H1074" t="str">
        <x:v>Monitoring Supplies</x:v>
      </x:c>
      <x:c r="I1074" t="str">
        <x:v>MFG013</x:v>
      </x:c>
      <x:c r="J1074" t="str">
        <x:v>Manufacturer 013</x:v>
      </x:c>
      <x:c r="K1074" t="str">
        <x:v>SUP010</x:v>
      </x:c>
      <x:c r="L1074" t="str">
        <x:v>Supplier 010</x:v>
      </x:c>
      <x:c r="M1074" t="str">
        <x:v>REG-824712</x:v>
      </x:c>
      <x:c r="N1074" t="str">
        <x:v>Generic Ingredient 162</x:v>
      </x:c>
      <x:c r="O1074" t="str">
        <x:v>Pharmacy Only</x:v>
      </x:c>
      <x:c r="P1074" t="n">
        <x:v>11</x:v>
      </x:c>
      <x:c r="Q1074" t="n">
        <x:v>0</x:v>
      </x:c>
      <x:c r="R1074" t="n">
        <x:v>0</x:v>
      </x:c>
      <x:c r="S1074" s="12" t="n">
        <x:f>E1074*Q1074</x:f>
        <x:v>0</x:v>
      </x:c>
      <x:c r="T1074" s="12" t="n">
        <x:f>ROUND(S1074*F1074+0.000000001,2)</x:f>
        <x:v>0</x:v>
      </x:c>
      <x:c r="U1074" s="12" t="n">
        <x:f>E1074*R1074</x:f>
        <x:v>0</x:v>
      </x:c>
      <x:c r="V1074" t="str">
        <x:f>IF(AND(C1074="Active",Q1074=0),"Active Zero Sales","Not Zero Sales")</x:f>
        <x:v>Not Zero Sales</x:v>
      </x:c>
      <x:c r="W1074" s="12" t="n">
        <x:f>IF(V1074="Active Zero Sales",U1074,0)</x:f>
        <x:v>0</x:v>
      </x:c>
      <x:c r="X1074" t="str">
        <x:f>IF(E1074&lt;25,"Low &lt; 25",IF(E1074&lt;100,"Medium 25-99",IF(E1074&lt;300,"High 100-299","Premium 300+")))</x:f>
        <x:v>Low &lt; 25</x:v>
      </x:c>
      <x:c r="Y1074" t="n">
        <x:f>IF(C1074="Active",1,0)</x:f>
        <x:v>0</x:v>
      </x:c>
    </x:row>
    <x:row r="1075">
      <x:c r="A1075" t="str">
        <x:v>SKU01074</x:v>
      </x:c>
      <x:c r="B1075" t="str">
        <x:v>Sample Product 01074</x:v>
      </x:c>
      <x:c r="C1075" t="str">
        <x:v>Active</x:v>
      </x:c>
      <x:c r="D1075" t="str">
        <x:v>2026-01</x:v>
      </x:c>
      <x:c r="E1075" s="12" t="n">
        <x:v>64.97</x:v>
      </x:c>
      <x:c r="F1075" s="10" t="n">
        <x:v>0.2</x:v>
      </x:c>
      <x:c r="G1075" t="str">
        <x:v>Medical Devices</x:v>
      </x:c>
      <x:c r="H1075" t="str">
        <x:v>First Aid</x:v>
      </x:c>
      <x:c r="I1075" t="str">
        <x:v>MFG002</x:v>
      </x:c>
      <x:c r="J1075" t="str">
        <x:v>Manufacturer 002</x:v>
      </x:c>
      <x:c r="K1075" t="str">
        <x:v>SUP001</x:v>
      </x:c>
      <x:c r="L1075" t="str">
        <x:v>Supplier 001</x:v>
      </x:c>
      <x:c r="M1075" t="str">
        <x:v>REG-876208</x:v>
      </x:c>
      <x:c r="N1075" t="str">
        <x:v>Generic Ingredient 176</x:v>
      </x:c>
      <x:c r="O1075" t="str">
        <x:v>General Sale</x:v>
      </x:c>
      <x:c r="P1075" t="n">
        <x:v>104</x:v>
      </x:c>
      <x:c r="Q1075" t="n">
        <x:v>72</x:v>
      </x:c>
      <x:c r="R1075" t="n">
        <x:v>26</x:v>
      </x:c>
      <x:c r="S1075" s="12" t="n">
        <x:f>E1075*Q1075</x:f>
        <x:v>4677.84</x:v>
      </x:c>
      <x:c r="T1075" s="12" t="n">
        <x:f>ROUND(S1075*F1075+0.000000001,2)</x:f>
        <x:v>935.57</x:v>
      </x:c>
      <x:c r="U1075" s="12" t="n">
        <x:f>E1075*R1075</x:f>
        <x:v>1689.22</x:v>
      </x:c>
      <x:c r="V1075" t="str">
        <x:f>IF(AND(C1075="Active",Q1075=0),"Active Zero Sales","Not Zero Sales")</x:f>
        <x:v>Not Zero Sales</x:v>
      </x:c>
      <x:c r="W1075" s="12" t="n">
        <x:f>IF(V1075="Active Zero Sales",U1075,0)</x:f>
        <x:v>0</x:v>
      </x:c>
      <x:c r="X1075" t="str">
        <x:f>IF(E1075&lt;25,"Low &lt; 25",IF(E1075&lt;100,"Medium 25-99",IF(E1075&lt;300,"High 100-299","Premium 300+")))</x:f>
        <x:v>Medium 25-99</x:v>
      </x:c>
      <x:c r="Y1075" t="n">
        <x:f>IF(C1075="Active",1,0)</x:f>
        <x:v>1</x:v>
      </x:c>
    </x:row>
    <x:row r="1076">
      <x:c r="A1076" t="str">
        <x:v>SKU01075</x:v>
      </x:c>
      <x:c r="B1076" t="str">
        <x:v>Sample Product 01075</x:v>
      </x:c>
      <x:c r="C1076" t="str">
        <x:v>Blocked</x:v>
      </x:c>
      <x:c r="D1076" t="str">
        <x:v>2026-05</x:v>
      </x:c>
      <x:c r="E1076" s="12" t="n">
        <x:v>23.08</x:v>
      </x:c>
      <x:c r="F1076" s="10" t="n">
        <x:v>0.389</x:v>
      </x:c>
      <x:c r="G1076" t="str">
        <x:v>Personal Care</x:v>
      </x:c>
      <x:c r="H1076" t="str">
        <x:v>Oral Care</x:v>
      </x:c>
      <x:c r="I1076" t="str">
        <x:v>MFG009</x:v>
      </x:c>
      <x:c r="J1076" t="str">
        <x:v>Manufacturer 009</x:v>
      </x:c>
      <x:c r="K1076" t="str">
        <x:v>SUP017</x:v>
      </x:c>
      <x:c r="L1076" t="str">
        <x:v>Supplier 017</x:v>
      </x:c>
      <x:c r="M1076" t="str">
        <x:v>REG-800653</x:v>
      </x:c>
      <x:c r="N1076" t="str">
        <x:v>Generic Ingredient 069</x:v>
      </x:c>
      <x:c r="O1076" t="str">
        <x:v>General Sale</x:v>
      </x:c>
      <x:c r="P1076" t="n">
        <x:v>36</x:v>
      </x:c>
      <x:c r="Q1076" t="n">
        <x:v>0</x:v>
      </x:c>
      <x:c r="R1076" t="n">
        <x:v>10</x:v>
      </x:c>
      <x:c r="S1076" s="12" t="n">
        <x:f>E1076*Q1076</x:f>
        <x:v>0</x:v>
      </x:c>
      <x:c r="T1076" s="12" t="n">
        <x:f>ROUND(S1076*F1076+0.000000001,2)</x:f>
        <x:v>0</x:v>
      </x:c>
      <x:c r="U1076" s="12" t="n">
        <x:f>E1076*R1076</x:f>
        <x:v>230.79999999999998</x:v>
      </x:c>
      <x:c r="V1076" t="str">
        <x:f>IF(AND(C1076="Active",Q1076=0),"Active Zero Sales","Not Zero Sales")</x:f>
        <x:v>Not Zero Sales</x:v>
      </x:c>
      <x:c r="W1076" s="12" t="n">
        <x:f>IF(V1076="Active Zero Sales",U1076,0)</x:f>
        <x:v>0</x:v>
      </x:c>
      <x:c r="X1076" t="str">
        <x:f>IF(E1076&lt;25,"Low &lt; 25",IF(E1076&lt;100,"Medium 25-99",IF(E1076&lt;300,"High 100-299","Premium 300+")))</x:f>
        <x:v>Low &lt; 25</x:v>
      </x:c>
      <x:c r="Y1076" t="n">
        <x:f>IF(C1076="Active",1,0)</x:f>
        <x:v>0</x:v>
      </x:c>
    </x:row>
    <x:row r="1077">
      <x:c r="A1077" t="str">
        <x:v>SKU01076</x:v>
      </x:c>
      <x:c r="B1077" t="str">
        <x:v>Sample Product 01076</x:v>
      </x:c>
      <x:c r="C1077" t="str">
        <x:v>Blocked</x:v>
      </x:c>
      <x:c r="D1077" t="str">
        <x:v>2026-04</x:v>
      </x:c>
      <x:c r="E1077" s="12" t="n">
        <x:v>82.7</x:v>
      </x:c>
      <x:c r="F1077" s="10" t="n">
        <x:v>0.301</x:v>
      </x:c>
      <x:c r="G1077" t="str">
        <x:v>Nutrition</x:v>
      </x:c>
      <x:c r="H1077" t="str">
        <x:v>Adult Nutrition</x:v>
      </x:c>
      <x:c r="I1077" t="str">
        <x:v>MFG019</x:v>
      </x:c>
      <x:c r="J1077" t="str">
        <x:v>Manufacturer 019</x:v>
      </x:c>
      <x:c r="K1077" t="str">
        <x:v>SUP005</x:v>
      </x:c>
      <x:c r="L1077" t="str">
        <x:v>Supplier 005</x:v>
      </x:c>
      <x:c r="M1077" t="str">
        <x:v>REG-477767</x:v>
      </x:c>
      <x:c r="N1077" t="str">
        <x:v>Generic Ingredient 076</x:v>
      </x:c>
      <x:c r="O1077" t="str">
        <x:v>General Sale</x:v>
      </x:c>
      <x:c r="P1077" t="n">
        <x:v>39</x:v>
      </x:c>
      <x:c r="Q1077" t="n">
        <x:v>0</x:v>
      </x:c>
      <x:c r="R1077" t="n">
        <x:v>0</x:v>
      </x:c>
      <x:c r="S1077" s="12" t="n">
        <x:f>E1077*Q1077</x:f>
        <x:v>0</x:v>
      </x:c>
      <x:c r="T1077" s="12" t="n">
        <x:f>ROUND(S1077*F1077+0.000000001,2)</x:f>
        <x:v>0</x:v>
      </x:c>
      <x:c r="U1077" s="12" t="n">
        <x:f>E1077*R1077</x:f>
        <x:v>0</x:v>
      </x:c>
      <x:c r="V1077" t="str">
        <x:f>IF(AND(C1077="Active",Q1077=0),"Active Zero Sales","Not Zero Sales")</x:f>
        <x:v>Not Zero Sales</x:v>
      </x:c>
      <x:c r="W1077" s="12" t="n">
        <x:f>IF(V1077="Active Zero Sales",U1077,0)</x:f>
        <x:v>0</x:v>
      </x:c>
      <x:c r="X1077" t="str">
        <x:f>IF(E1077&lt;25,"Low &lt; 25",IF(E1077&lt;100,"Medium 25-99",IF(E1077&lt;300,"High 100-299","Premium 300+")))</x:f>
        <x:v>Medium 25-99</x:v>
      </x:c>
      <x:c r="Y1077" t="n">
        <x:f>IF(C1077="Active",1,0)</x:f>
        <x:v>0</x:v>
      </x:c>
    </x:row>
    <x:row r="1078">
      <x:c r="A1078" t="str">
        <x:v>SKU01077</x:v>
      </x:c>
      <x:c r="B1078" t="str">
        <x:v>Sample Product 01077</x:v>
      </x:c>
      <x:c r="C1078" t="str">
        <x:v>Active</x:v>
      </x:c>
      <x:c r="D1078" t="str">
        <x:v>2026-05</x:v>
      </x:c>
      <x:c r="E1078" s="12" t="n">
        <x:v>149.7</x:v>
      </x:c>
      <x:c r="F1078" s="10" t="n">
        <x:v>0.457</x:v>
      </x:c>
      <x:c r="G1078" t="str">
        <x:v>General Merchandise</x:v>
      </x:c>
      <x:c r="H1078" t="str">
        <x:v>Baby Essentials</x:v>
      </x:c>
      <x:c r="I1078" t="str">
        <x:v>MFG004</x:v>
      </x:c>
      <x:c r="J1078" t="str">
        <x:v>Manufacturer 004</x:v>
      </x:c>
      <x:c r="K1078" t="str">
        <x:v>SUP006</x:v>
      </x:c>
      <x:c r="L1078" t="str">
        <x:v>Supplier 006</x:v>
      </x:c>
      <x:c r="M1078" t="str">
        <x:v>REG-962481</x:v>
      </x:c>
      <x:c r="N1078" t="str">
        <x:v>Generic Ingredient 095</x:v>
      </x:c>
      <x:c r="O1078" t="str">
        <x:v>General Sale</x:v>
      </x:c>
      <x:c r="P1078" t="n">
        <x:v>74</x:v>
      </x:c>
      <x:c r="Q1078" t="n">
        <x:v>63</x:v>
      </x:c>
      <x:c r="R1078" t="n">
        <x:v>3</x:v>
      </x:c>
      <x:c r="S1078" s="12" t="n">
        <x:f>E1078*Q1078</x:f>
        <x:v>9431.099999999999</x:v>
      </x:c>
      <x:c r="T1078" s="12" t="n">
        <x:f>ROUND(S1078*F1078+0.000000001,2)</x:f>
        <x:v>4310.01</x:v>
      </x:c>
      <x:c r="U1078" s="12" t="n">
        <x:f>E1078*R1078</x:f>
        <x:v>449.09999999999997</x:v>
      </x:c>
      <x:c r="V1078" t="str">
        <x:f>IF(AND(C1078="Active",Q1078=0),"Active Zero Sales","Not Zero Sales")</x:f>
        <x:v>Not Zero Sales</x:v>
      </x:c>
      <x:c r="W1078" s="12" t="n">
        <x:f>IF(V1078="Active Zero Sales",U1078,0)</x:f>
        <x:v>0</x:v>
      </x:c>
      <x:c r="X1078" t="str">
        <x:f>IF(E1078&lt;25,"Low &lt; 25",IF(E1078&lt;100,"Medium 25-99",IF(E1078&lt;300,"High 100-299","Premium 300+")))</x:f>
        <x:v>High 100-299</x:v>
      </x:c>
      <x:c r="Y1078" t="n">
        <x:f>IF(C1078="Active",1,0)</x:f>
        <x:v>1</x:v>
      </x:c>
    </x:row>
    <x:row r="1079">
      <x:c r="A1079" t="str">
        <x:v>SKU01078</x:v>
      </x:c>
      <x:c r="B1079" t="str">
        <x:v>Sample Product 01078</x:v>
      </x:c>
      <x:c r="C1079" t="str">
        <x:v>Active</x:v>
      </x:c>
      <x:c r="D1079" t="str">
        <x:v>2026-06</x:v>
      </x:c>
      <x:c r="E1079" s="12" t="n">
        <x:v>447.21</x:v>
      </x:c>
      <x:c r="F1079" s="10" t="n">
        <x:v>0.27</x:v>
      </x:c>
      <x:c r="G1079" t="str">
        <x:v>Nutrition</x:v>
      </x:c>
      <x:c r="H1079" t="str">
        <x:v>Healthy Snacks</x:v>
      </x:c>
      <x:c r="I1079" t="str">
        <x:v>MFG015</x:v>
      </x:c>
      <x:c r="J1079" t="str">
        <x:v>Manufacturer 015</x:v>
      </x:c>
      <x:c r="K1079" t="str">
        <x:v>SUP020</x:v>
      </x:c>
      <x:c r="L1079" t="str">
        <x:v>Supplier 020</x:v>
      </x:c>
      <x:c r="M1079" t="str">
        <x:v>REG-646133</x:v>
      </x:c>
      <x:c r="N1079" t="str">
        <x:v>Generic Ingredient 042</x:v>
      </x:c>
      <x:c r="O1079" t="str">
        <x:v>General Sale</x:v>
      </x:c>
      <x:c r="P1079" t="n">
        <x:v>62</x:v>
      </x:c>
      <x:c r="Q1079" t="n">
        <x:v>36</x:v>
      </x:c>
      <x:c r="R1079" t="n">
        <x:v>1</x:v>
      </x:c>
      <x:c r="S1079" s="12" t="n">
        <x:f>E1079*Q1079</x:f>
        <x:v>16099.56</x:v>
      </x:c>
      <x:c r="T1079" s="12" t="n">
        <x:f>ROUND(S1079*F1079+0.000000001,2)</x:f>
        <x:v>4346.88</x:v>
      </x:c>
      <x:c r="U1079" s="12" t="n">
        <x:f>E1079*R1079</x:f>
        <x:v>447.21</x:v>
      </x:c>
      <x:c r="V1079" t="str">
        <x:f>IF(AND(C1079="Active",Q1079=0),"Active Zero Sales","Not Zero Sales")</x:f>
        <x:v>Not Zero Sales</x:v>
      </x:c>
      <x:c r="W1079" s="12" t="n">
        <x:f>IF(V1079="Active Zero Sales",U1079,0)</x:f>
        <x:v>0</x:v>
      </x:c>
      <x:c r="X1079" t="str">
        <x:f>IF(E1079&lt;25,"Low &lt; 25",IF(E1079&lt;100,"Medium 25-99",IF(E1079&lt;300,"High 100-299","Premium 300+")))</x:f>
        <x:v>Premium 300+</x:v>
      </x:c>
      <x:c r="Y1079" t="n">
        <x:f>IF(C1079="Active",1,0)</x:f>
        <x:v>1</x:v>
      </x:c>
    </x:row>
    <x:row r="1080">
      <x:c r="A1080" t="str">
        <x:v>SKU01079</x:v>
      </x:c>
      <x:c r="B1080" t="str">
        <x:v>Sample Product 01079</x:v>
      </x:c>
      <x:c r="C1080" t="str">
        <x:v>Active</x:v>
      </x:c>
      <x:c r="D1080" t="str">
        <x:v>2026-04</x:v>
      </x:c>
      <x:c r="E1080" s="12" t="n">
        <x:v>355.76</x:v>
      </x:c>
      <x:c r="F1080" s="10" t="n">
        <x:v>0.146</x:v>
      </x:c>
      <x:c r="G1080" t="str">
        <x:v>Medical Devices</x:v>
      </x:c>
      <x:c r="H1080" t="str">
        <x:v>Monitoring Supplies</x:v>
      </x:c>
      <x:c r="I1080" t="str">
        <x:v>MFG010</x:v>
      </x:c>
      <x:c r="J1080" t="str">
        <x:v>Manufacturer 010</x:v>
      </x:c>
      <x:c r="K1080" t="str">
        <x:v>SUP002</x:v>
      </x:c>
      <x:c r="L1080" t="str">
        <x:v>Supplier 002</x:v>
      </x:c>
      <x:c r="M1080" t="str">
        <x:v>REG-951650</x:v>
      </x:c>
      <x:c r="N1080" t="str">
        <x:v>Generic Ingredient 029</x:v>
      </x:c>
      <x:c r="O1080" t="str">
        <x:v>General Sale</x:v>
      </x:c>
      <x:c r="P1080" t="n">
        <x:v>99</x:v>
      </x:c>
      <x:c r="Q1080" t="n">
        <x:v>44</x:v>
      </x:c>
      <x:c r="R1080" t="n">
        <x:v>10</x:v>
      </x:c>
      <x:c r="S1080" s="12" t="n">
        <x:f>E1080*Q1080</x:f>
        <x:v>15653.439999999999</x:v>
      </x:c>
      <x:c r="T1080" s="12" t="n">
        <x:f>ROUND(S1080*F1080+0.000000001,2)</x:f>
        <x:v>2285.4</x:v>
      </x:c>
      <x:c r="U1080" s="12" t="n">
        <x:f>E1080*R1080</x:f>
        <x:v>3557.6</x:v>
      </x:c>
      <x:c r="V1080" t="str">
        <x:f>IF(AND(C1080="Active",Q1080=0),"Active Zero Sales","Not Zero Sales")</x:f>
        <x:v>Not Zero Sales</x:v>
      </x:c>
      <x:c r="W1080" s="12" t="n">
        <x:f>IF(V1080="Active Zero Sales",U1080,0)</x:f>
        <x:v>0</x:v>
      </x:c>
      <x:c r="X1080" t="str">
        <x:f>IF(E1080&lt;25,"Low &lt; 25",IF(E1080&lt;100,"Medium 25-99",IF(E1080&lt;300,"High 100-299","Premium 300+")))</x:f>
        <x:v>Premium 300+</x:v>
      </x:c>
      <x:c r="Y1080" t="n">
        <x:f>IF(C1080="Active",1,0)</x:f>
        <x:v>1</x:v>
      </x:c>
    </x:row>
    <x:row r="1081">
      <x:c r="A1081" t="str">
        <x:v>SKU01080</x:v>
      </x:c>
      <x:c r="B1081" t="str">
        <x:v>Sample Product 01080</x:v>
      </x:c>
      <x:c r="C1081" t="str">
        <x:v>Active</x:v>
      </x:c>
      <x:c r="D1081" t="str">
        <x:v>2026-06</x:v>
      </x:c>
      <x:c r="E1081" s="12" t="n">
        <x:v>176.64</x:v>
      </x:c>
      <x:c r="F1081" s="10" t="n">
        <x:v>0.554</x:v>
      </x:c>
      <x:c r="G1081" t="str">
        <x:v>Personal Care</x:v>
      </x:c>
      <x:c r="H1081" t="str">
        <x:v>Hair Care</x:v>
      </x:c>
      <x:c r="I1081" t="str">
        <x:v>MFG005</x:v>
      </x:c>
      <x:c r="J1081" t="str">
        <x:v>Manufacturer 005</x:v>
      </x:c>
      <x:c r="K1081" t="str">
        <x:v>SUP007</x:v>
      </x:c>
      <x:c r="L1081" t="str">
        <x:v>Supplier 007</x:v>
      </x:c>
      <x:c r="M1081" t="str">
        <x:v>REG-157058</x:v>
      </x:c>
      <x:c r="N1081" t="str">
        <x:v>Generic Ingredient 106</x:v>
      </x:c>
      <x:c r="O1081" t="str">
        <x:v>Pharmacy Only</x:v>
      </x:c>
      <x:c r="P1081" t="n">
        <x:v>123</x:v>
      </x:c>
      <x:c r="Q1081" t="n">
        <x:v>69</x:v>
      </x:c>
      <x:c r="R1081" t="n">
        <x:v>22</x:v>
      </x:c>
      <x:c r="S1081" s="12" t="n">
        <x:f>E1081*Q1081</x:f>
        <x:v>12188.16</x:v>
      </x:c>
      <x:c r="T1081" s="12" t="n">
        <x:f>ROUND(S1081*F1081+0.000000001,2)</x:f>
        <x:v>6752.24</x:v>
      </x:c>
      <x:c r="U1081" s="12" t="n">
        <x:f>E1081*R1081</x:f>
        <x:v>3886.08</x:v>
      </x:c>
      <x:c r="V1081" t="str">
        <x:f>IF(AND(C1081="Active",Q1081=0),"Active Zero Sales","Not Zero Sales")</x:f>
        <x:v>Not Zero Sales</x:v>
      </x:c>
      <x:c r="W1081" s="12" t="n">
        <x:f>IF(V1081="Active Zero Sales",U1081,0)</x:f>
        <x:v>0</x:v>
      </x:c>
      <x:c r="X1081" t="str">
        <x:f>IF(E1081&lt;25,"Low &lt; 25",IF(E1081&lt;100,"Medium 25-99",IF(E1081&lt;300,"High 100-299","Premium 300+")))</x:f>
        <x:v>High 100-299</x:v>
      </x:c>
      <x:c r="Y1081" t="n">
        <x:f>IF(C1081="Active",1,0)</x:f>
        <x:v>1</x:v>
      </x:c>
    </x:row>
    <x:row r="1082">
      <x:c r="A1082" t="str">
        <x:v>SKU01081</x:v>
      </x:c>
      <x:c r="B1082" t="str">
        <x:v>Sample Product 01081</x:v>
      </x:c>
      <x:c r="C1082" t="str">
        <x:v>Active</x:v>
      </x:c>
      <x:c r="D1082" t="str">
        <x:v>2026-04</x:v>
      </x:c>
      <x:c r="E1082" s="12" t="n">
        <x:v>15.74</x:v>
      </x:c>
      <x:c r="F1082" s="10" t="n">
        <x:v>0.218</x:v>
      </x:c>
      <x:c r="G1082" t="str">
        <x:v>OTC &amp; Wellness</x:v>
      </x:c>
      <x:c r="H1082" t="str">
        <x:v>Vitamins</x:v>
      </x:c>
      <x:c r="I1082" t="str">
        <x:v>MFG003</x:v>
      </x:c>
      <x:c r="J1082" t="str">
        <x:v>Manufacturer 003</x:v>
      </x:c>
      <x:c r="K1082" t="str">
        <x:v>SUP015</x:v>
      </x:c>
      <x:c r="L1082" t="str">
        <x:v>Supplier 015</x:v>
      </x:c>
      <x:c r="M1082" t="str">
        <x:v>REG-362402</x:v>
      </x:c>
      <x:c r="N1082" t="str">
        <x:v>Generic Ingredient 176</x:v>
      </x:c>
      <x:c r="O1082" t="str">
        <x:v>General Sale</x:v>
      </x:c>
      <x:c r="P1082" t="n">
        <x:v>71</x:v>
      </x:c>
      <x:c r="Q1082" t="n">
        <x:v>29</x:v>
      </x:c>
      <x:c r="R1082" t="n">
        <x:v>10</x:v>
      </x:c>
      <x:c r="S1082" s="12" t="n">
        <x:f>E1082*Q1082</x:f>
        <x:v>456.46</x:v>
      </x:c>
      <x:c r="T1082" s="12" t="n">
        <x:f>ROUND(S1082*F1082+0.000000001,2)</x:f>
        <x:v>99.51</x:v>
      </x:c>
      <x:c r="U1082" s="12" t="n">
        <x:f>E1082*R1082</x:f>
        <x:v>157.4</x:v>
      </x:c>
      <x:c r="V1082" t="str">
        <x:f>IF(AND(C1082="Active",Q1082=0),"Active Zero Sales","Not Zero Sales")</x:f>
        <x:v>Not Zero Sales</x:v>
      </x:c>
      <x:c r="W1082" s="12" t="n">
        <x:f>IF(V1082="Active Zero Sales",U1082,0)</x:f>
        <x:v>0</x:v>
      </x:c>
      <x:c r="X1082" t="str">
        <x:f>IF(E1082&lt;25,"Low &lt; 25",IF(E1082&lt;100,"Medium 25-99",IF(E1082&lt;300,"High 100-299","Premium 300+")))</x:f>
        <x:v>Low &lt; 25</x:v>
      </x:c>
      <x:c r="Y1082" t="n">
        <x:f>IF(C1082="Active",1,0)</x:f>
        <x:v>1</x:v>
      </x:c>
    </x:row>
    <x:row r="1083">
      <x:c r="A1083" t="str">
        <x:v>SKU01082</x:v>
      </x:c>
      <x:c r="B1083" t="str">
        <x:v>Sample Product 01082</x:v>
      </x:c>
      <x:c r="C1083" t="str">
        <x:v>Blocked</x:v>
      </x:c>
      <x:c r="D1083" t="str">
        <x:v>2026-04</x:v>
      </x:c>
      <x:c r="E1083" s="12" t="n">
        <x:v>62.67</x:v>
      </x:c>
      <x:c r="F1083" s="10" t="n">
        <x:v>0.294</x:v>
      </x:c>
      <x:c r="G1083" t="str">
        <x:v>OTC &amp; Wellness</x:v>
      </x:c>
      <x:c r="H1083" t="str">
        <x:v>Digestive Care</x:v>
      </x:c>
      <x:c r="I1083" t="str">
        <x:v>MFG015</x:v>
      </x:c>
      <x:c r="J1083" t="str">
        <x:v>Manufacturer 015</x:v>
      </x:c>
      <x:c r="K1083" t="str">
        <x:v>SUP029</x:v>
      </x:c>
      <x:c r="L1083" t="str">
        <x:v>Supplier 029</x:v>
      </x:c>
      <x:c r="M1083" t="str">
        <x:v>REG-823459</x:v>
      </x:c>
      <x:c r="N1083" t="str">
        <x:v>Generic Ingredient 091</x:v>
      </x:c>
      <x:c r="O1083" t="str">
        <x:v>General Sale</x:v>
      </x:c>
      <x:c r="P1083" t="n">
        <x:v>55</x:v>
      </x:c>
      <x:c r="Q1083" t="n">
        <x:v>0</x:v>
      </x:c>
      <x:c r="R1083" t="n">
        <x:v>13</x:v>
      </x:c>
      <x:c r="S1083" s="12" t="n">
        <x:f>E1083*Q1083</x:f>
        <x:v>0</x:v>
      </x:c>
      <x:c r="T1083" s="12" t="n">
        <x:f>ROUND(S1083*F1083+0.000000001,2)</x:f>
        <x:v>0</x:v>
      </x:c>
      <x:c r="U1083" s="12" t="n">
        <x:f>E1083*R1083</x:f>
        <x:v>814.71</x:v>
      </x:c>
      <x:c r="V1083" t="str">
        <x:f>IF(AND(C1083="Active",Q1083=0),"Active Zero Sales","Not Zero Sales")</x:f>
        <x:v>Not Zero Sales</x:v>
      </x:c>
      <x:c r="W1083" s="12" t="n">
        <x:f>IF(V1083="Active Zero Sales",U1083,0)</x:f>
        <x:v>0</x:v>
      </x:c>
      <x:c r="X1083" t="str">
        <x:f>IF(E1083&lt;25,"Low &lt; 25",IF(E1083&lt;100,"Medium 25-99",IF(E1083&lt;300,"High 100-299","Premium 300+")))</x:f>
        <x:v>Medium 25-99</x:v>
      </x:c>
      <x:c r="Y1083" t="n">
        <x:f>IF(C1083="Active",1,0)</x:f>
        <x:v>0</x:v>
      </x:c>
    </x:row>
    <x:row r="1084">
      <x:c r="A1084" t="str">
        <x:v>SKU01083</x:v>
      </x:c>
      <x:c r="B1084" t="str">
        <x:v>Sample Product 01083</x:v>
      </x:c>
      <x:c r="C1084" t="str">
        <x:v>Blocked</x:v>
      </x:c>
      <x:c r="D1084" t="str">
        <x:v>2026-05</x:v>
      </x:c>
      <x:c r="E1084" s="12" t="n">
        <x:v>129.05</x:v>
      </x:c>
      <x:c r="F1084" s="10" t="n">
        <x:v>0.396</x:v>
      </x:c>
      <x:c r="G1084" t="str">
        <x:v>Nutrition</x:v>
      </x:c>
      <x:c r="H1084" t="str">
        <x:v>Hydration</x:v>
      </x:c>
      <x:c r="I1084" t="str">
        <x:v>MFG006</x:v>
      </x:c>
      <x:c r="J1084" t="str">
        <x:v>Manufacturer 006</x:v>
      </x:c>
      <x:c r="K1084" t="str">
        <x:v>SUP025</x:v>
      </x:c>
      <x:c r="L1084" t="str">
        <x:v>Supplier 025</x:v>
      </x:c>
      <x:c r="M1084" t="str">
        <x:v>REG-562293</x:v>
      </x:c>
      <x:c r="N1084" t="str">
        <x:v>Generic Ingredient 009</x:v>
      </x:c>
      <x:c r="O1084" t="str">
        <x:v>General Sale</x:v>
      </x:c>
      <x:c r="P1084" t="n">
        <x:v>24</x:v>
      </x:c>
      <x:c r="Q1084" t="n">
        <x:v>10</x:v>
      </x:c>
      <x:c r="R1084" t="n">
        <x:v>8</x:v>
      </x:c>
      <x:c r="S1084" s="12" t="n">
        <x:f>E1084*Q1084</x:f>
        <x:v>1290.5</x:v>
      </x:c>
      <x:c r="T1084" s="12" t="n">
        <x:f>ROUND(S1084*F1084+0.000000001,2)</x:f>
        <x:v>511.04</x:v>
      </x:c>
      <x:c r="U1084" s="12" t="n">
        <x:f>E1084*R1084</x:f>
        <x:v>1032.4</x:v>
      </x:c>
      <x:c r="V1084" t="str">
        <x:f>IF(AND(C1084="Active",Q1084=0),"Active Zero Sales","Not Zero Sales")</x:f>
        <x:v>Not Zero Sales</x:v>
      </x:c>
      <x:c r="W1084" s="12" t="n">
        <x:f>IF(V1084="Active Zero Sales",U1084,0)</x:f>
        <x:v>0</x:v>
      </x:c>
      <x:c r="X1084" t="str">
        <x:f>IF(E1084&lt;25,"Low &lt; 25",IF(E1084&lt;100,"Medium 25-99",IF(E1084&lt;300,"High 100-299","Premium 300+")))</x:f>
        <x:v>High 100-299</x:v>
      </x:c>
      <x:c r="Y1084" t="n">
        <x:f>IF(C1084="Active",1,0)</x:f>
        <x:v>0</x:v>
      </x:c>
    </x:row>
    <x:row r="1085">
      <x:c r="A1085" t="str">
        <x:v>SKU01084</x:v>
      </x:c>
      <x:c r="B1085" t="str">
        <x:v>Sample Product 01084</x:v>
      </x:c>
      <x:c r="C1085" t="str">
        <x:v>Active</x:v>
      </x:c>
      <x:c r="D1085" t="str">
        <x:v>2026-02</x:v>
      </x:c>
      <x:c r="E1085" s="12" t="n">
        <x:v>20.79</x:v>
      </x:c>
      <x:c r="F1085" s="10" t="n">
        <x:v>0.482</x:v>
      </x:c>
      <x:c r="G1085" t="str">
        <x:v>General Merchandise</x:v>
      </x:c>
      <x:c r="H1085" t="str">
        <x:v>Accessories</x:v>
      </x:c>
      <x:c r="I1085" t="str">
        <x:v>MFG009</x:v>
      </x:c>
      <x:c r="J1085" t="str">
        <x:v>Manufacturer 009</x:v>
      </x:c>
      <x:c r="K1085" t="str">
        <x:v>SUP027</x:v>
      </x:c>
      <x:c r="L1085" t="str">
        <x:v>Supplier 027</x:v>
      </x:c>
      <x:c r="M1085" t="str">
        <x:v>REG-632095</x:v>
      </x:c>
      <x:c r="N1085" t="str">
        <x:v>Generic Ingredient 110</x:v>
      </x:c>
      <x:c r="O1085" t="str">
        <x:v>General Sale</x:v>
      </x:c>
      <x:c r="P1085" t="n">
        <x:v>66</x:v>
      </x:c>
      <x:c r="Q1085" t="n">
        <x:v>15</x:v>
      </x:c>
      <x:c r="R1085" t="n">
        <x:v>15</x:v>
      </x:c>
      <x:c r="S1085" s="12" t="n">
        <x:f>E1085*Q1085</x:f>
        <x:v>311.84999999999997</x:v>
      </x:c>
      <x:c r="T1085" s="12" t="n">
        <x:f>ROUND(S1085*F1085+0.000000001,2)</x:f>
        <x:v>150.31</x:v>
      </x:c>
      <x:c r="U1085" s="12" t="n">
        <x:f>E1085*R1085</x:f>
        <x:v>311.84999999999997</x:v>
      </x:c>
      <x:c r="V1085" t="str">
        <x:f>IF(AND(C1085="Active",Q1085=0),"Active Zero Sales","Not Zero Sales")</x:f>
        <x:v>Not Zero Sales</x:v>
      </x:c>
      <x:c r="W1085" s="12" t="n">
        <x:f>IF(V1085="Active Zero Sales",U1085,0)</x:f>
        <x:v>0</x:v>
      </x:c>
      <x:c r="X1085" t="str">
        <x:f>IF(E1085&lt;25,"Low &lt; 25",IF(E1085&lt;100,"Medium 25-99",IF(E1085&lt;300,"High 100-299","Premium 300+")))</x:f>
        <x:v>Low &lt; 25</x:v>
      </x:c>
      <x:c r="Y1085" t="n">
        <x:f>IF(C1085="Active",1,0)</x:f>
        <x:v>1</x:v>
      </x:c>
    </x:row>
    <x:row r="1086">
      <x:c r="A1086" t="str">
        <x:v>SKU01085</x:v>
      </x:c>
      <x:c r="B1086" t="str">
        <x:v>Sample Product 01085</x:v>
      </x:c>
      <x:c r="C1086" t="str">
        <x:v>Active</x:v>
      </x:c>
      <x:c r="D1086" t="str">
        <x:v>2026-02</x:v>
      </x:c>
      <x:c r="E1086" s="12" t="n">
        <x:v>242.89</x:v>
      </x:c>
      <x:c r="F1086" s="10" t="n">
        <x:v>0.296</x:v>
      </x:c>
      <x:c r="G1086" t="str">
        <x:v>OTC &amp; Wellness</x:v>
      </x:c>
      <x:c r="H1086" t="str">
        <x:v>Digestive Care</x:v>
      </x:c>
      <x:c r="I1086" t="str">
        <x:v>MFG012</x:v>
      </x:c>
      <x:c r="J1086" t="str">
        <x:v>Manufacturer 012</x:v>
      </x:c>
      <x:c r="K1086" t="str">
        <x:v>SUP017</x:v>
      </x:c>
      <x:c r="L1086" t="str">
        <x:v>Supplier 017</x:v>
      </x:c>
      <x:c r="M1086" t="str">
        <x:v>REG-348647</x:v>
      </x:c>
      <x:c r="N1086" t="str">
        <x:v>Generic Ingredient 168</x:v>
      </x:c>
      <x:c r="O1086" t="str">
        <x:v>General Sale</x:v>
      </x:c>
      <x:c r="P1086" t="n">
        <x:v>46</x:v>
      </x:c>
      <x:c r="Q1086" t="n">
        <x:v>10</x:v>
      </x:c>
      <x:c r="R1086" t="n">
        <x:v>0</x:v>
      </x:c>
      <x:c r="S1086" s="12" t="n">
        <x:f>E1086*Q1086</x:f>
        <x:v>2428.8999999999996</x:v>
      </x:c>
      <x:c r="T1086" s="12" t="n">
        <x:f>ROUND(S1086*F1086+0.000000001,2)</x:f>
        <x:v>718.95</x:v>
      </x:c>
      <x:c r="U1086" s="12" t="n">
        <x:f>E1086*R1086</x:f>
        <x:v>0</x:v>
      </x:c>
      <x:c r="V1086" t="str">
        <x:f>IF(AND(C1086="Active",Q1086=0),"Active Zero Sales","Not Zero Sales")</x:f>
        <x:v>Not Zero Sales</x:v>
      </x:c>
      <x:c r="W1086" s="12" t="n">
        <x:f>IF(V1086="Active Zero Sales",U1086,0)</x:f>
        <x:v>0</x:v>
      </x:c>
      <x:c r="X1086" t="str">
        <x:f>IF(E1086&lt;25,"Low &lt; 25",IF(E1086&lt;100,"Medium 25-99",IF(E1086&lt;300,"High 100-299","Premium 300+")))</x:f>
        <x:v>High 100-299</x:v>
      </x:c>
      <x:c r="Y1086" t="n">
        <x:f>IF(C1086="Active",1,0)</x:f>
        <x:v>1</x:v>
      </x:c>
    </x:row>
    <x:row r="1087">
      <x:c r="A1087" t="str">
        <x:v>SKU01086</x:v>
      </x:c>
      <x:c r="B1087" t="str">
        <x:v>Sample Product 01086</x:v>
      </x:c>
      <x:c r="C1087" t="str">
        <x:v>Active</x:v>
      </x:c>
      <x:c r="D1087" t="str">
        <x:v>2026-04</x:v>
      </x:c>
      <x:c r="E1087" s="12" t="n">
        <x:v>21.35</x:v>
      </x:c>
      <x:c r="F1087" s="10" t="n">
        <x:v>0.397</x:v>
      </x:c>
      <x:c r="G1087" t="str">
        <x:v>Personal Care</x:v>
      </x:c>
      <x:c r="H1087" t="str">
        <x:v>Hygiene</x:v>
      </x:c>
      <x:c r="I1087" t="str">
        <x:v>MFG004</x:v>
      </x:c>
      <x:c r="J1087" t="str">
        <x:v>Manufacturer 004</x:v>
      </x:c>
      <x:c r="K1087" t="str">
        <x:v>SUP009</x:v>
      </x:c>
      <x:c r="L1087" t="str">
        <x:v>Supplier 009</x:v>
      </x:c>
      <x:c r="M1087" t="str">
        <x:v>REG-933150</x:v>
      </x:c>
      <x:c r="N1087" t="str">
        <x:v>Generic Ingredient 031</x:v>
      </x:c>
      <x:c r="O1087" t="str">
        <x:v>General Sale</x:v>
      </x:c>
      <x:c r="P1087" t="n">
        <x:v>14</x:v>
      </x:c>
      <x:c r="Q1087" t="n">
        <x:v>15</x:v>
      </x:c>
      <x:c r="R1087" t="n">
        <x:v>0</x:v>
      </x:c>
      <x:c r="S1087" s="12" t="n">
        <x:f>E1087*Q1087</x:f>
        <x:v>320.25</x:v>
      </x:c>
      <x:c r="T1087" s="12" t="n">
        <x:f>ROUND(S1087*F1087+0.000000001,2)</x:f>
        <x:v>127.14</x:v>
      </x:c>
      <x:c r="U1087" s="12" t="n">
        <x:f>E1087*R1087</x:f>
        <x:v>0</x:v>
      </x:c>
      <x:c r="V1087" t="str">
        <x:f>IF(AND(C1087="Active",Q1087=0),"Active Zero Sales","Not Zero Sales")</x:f>
        <x:v>Not Zero Sales</x:v>
      </x:c>
      <x:c r="W1087" s="12" t="n">
        <x:f>IF(V1087="Active Zero Sales",U1087,0)</x:f>
        <x:v>0</x:v>
      </x:c>
      <x:c r="X1087" t="str">
        <x:f>IF(E1087&lt;25,"Low &lt; 25",IF(E1087&lt;100,"Medium 25-99",IF(E1087&lt;300,"High 100-299","Premium 300+")))</x:f>
        <x:v>Low &lt; 25</x:v>
      </x:c>
      <x:c r="Y1087" t="n">
        <x:f>IF(C1087="Active",1,0)</x:f>
        <x:v>1</x:v>
      </x:c>
    </x:row>
    <x:row r="1088">
      <x:c r="A1088" t="str">
        <x:v>SKU01087</x:v>
      </x:c>
      <x:c r="B1088" t="str">
        <x:v>Sample Product 01087</x:v>
      </x:c>
      <x:c r="C1088" t="str">
        <x:v>Active</x:v>
      </x:c>
      <x:c r="D1088" t="str">
        <x:v>2026-06</x:v>
      </x:c>
      <x:c r="E1088" s="12" t="n">
        <x:v>154.36</x:v>
      </x:c>
      <x:c r="F1088" s="10" t="n">
        <x:v>0.392</x:v>
      </x:c>
      <x:c r="G1088" t="str">
        <x:v>Personal Care</x:v>
      </x:c>
      <x:c r="H1088" t="str">
        <x:v>Skin Care</x:v>
      </x:c>
      <x:c r="I1088" t="str">
        <x:v>MFG017</x:v>
      </x:c>
      <x:c r="J1088" t="str">
        <x:v>Manufacturer 017</x:v>
      </x:c>
      <x:c r="K1088" t="str">
        <x:v>SUP001</x:v>
      </x:c>
      <x:c r="L1088" t="str">
        <x:v>Supplier 001</x:v>
      </x:c>
      <x:c r="M1088" t="str">
        <x:v>REG-459546</x:v>
      </x:c>
      <x:c r="N1088" t="str">
        <x:v>Generic Ingredient 104</x:v>
      </x:c>
      <x:c r="O1088" t="str">
        <x:v>General Sale</x:v>
      </x:c>
      <x:c r="P1088" t="n">
        <x:v>120</x:v>
      </x:c>
      <x:c r="Q1088" t="n">
        <x:v>68</x:v>
      </x:c>
      <x:c r="R1088" t="n">
        <x:v>20</x:v>
      </x:c>
      <x:c r="S1088" s="12" t="n">
        <x:f>E1088*Q1088</x:f>
        <x:v>10496.480000000001</x:v>
      </x:c>
      <x:c r="T1088" s="12" t="n">
        <x:f>ROUND(S1088*F1088+0.000000001,2)</x:f>
        <x:v>4114.62</x:v>
      </x:c>
      <x:c r="U1088" s="12" t="n">
        <x:f>E1088*R1088</x:f>
        <x:v>3087.2000000000003</x:v>
      </x:c>
      <x:c r="V1088" t="str">
        <x:f>IF(AND(C1088="Active",Q1088=0),"Active Zero Sales","Not Zero Sales")</x:f>
        <x:v>Not Zero Sales</x:v>
      </x:c>
      <x:c r="W1088" s="12" t="n">
        <x:f>IF(V1088="Active Zero Sales",U1088,0)</x:f>
        <x:v>0</x:v>
      </x:c>
      <x:c r="X1088" t="str">
        <x:f>IF(E1088&lt;25,"Low &lt; 25",IF(E1088&lt;100,"Medium 25-99",IF(E1088&lt;300,"High 100-299","Premium 300+")))</x:f>
        <x:v>High 100-299</x:v>
      </x:c>
      <x:c r="Y1088" t="n">
        <x:f>IF(C1088="Active",1,0)</x:f>
        <x:v>1</x:v>
      </x:c>
    </x:row>
    <x:row r="1089">
      <x:c r="A1089" t="str">
        <x:v>SKU01088</x:v>
      </x:c>
      <x:c r="B1089" t="str">
        <x:v>Sample Product 01088</x:v>
      </x:c>
      <x:c r="C1089" t="str">
        <x:v>Active</x:v>
      </x:c>
      <x:c r="D1089" t="str">
        <x:v>2026-03</x:v>
      </x:c>
      <x:c r="E1089" s="12" t="n">
        <x:v>157.15</x:v>
      </x:c>
      <x:c r="F1089" s="10" t="n">
        <x:v>0.245</x:v>
      </x:c>
      <x:c r="G1089" t="str">
        <x:v>Nutrition</x:v>
      </x:c>
      <x:c r="H1089" t="str">
        <x:v>Healthy Snacks</x:v>
      </x:c>
      <x:c r="I1089" t="str">
        <x:v>MFG006</x:v>
      </x:c>
      <x:c r="J1089" t="str">
        <x:v>Manufacturer 006</x:v>
      </x:c>
      <x:c r="K1089" t="str">
        <x:v>SUP002</x:v>
      </x:c>
      <x:c r="L1089" t="str">
        <x:v>Supplier 002</x:v>
      </x:c>
      <x:c r="M1089" t="str">
        <x:v>REG-130473</x:v>
      </x:c>
      <x:c r="N1089" t="str">
        <x:v>Generic Ingredient 065</x:v>
      </x:c>
      <x:c r="O1089" t="str">
        <x:v>Pharmacy Only</x:v>
      </x:c>
      <x:c r="P1089" t="n">
        <x:v>56</x:v>
      </x:c>
      <x:c r="Q1089" t="n">
        <x:v>8</x:v>
      </x:c>
      <x:c r="R1089" t="n">
        <x:v>9</x:v>
      </x:c>
      <x:c r="S1089" s="12" t="n">
        <x:f>E1089*Q1089</x:f>
        <x:v>1257.2</x:v>
      </x:c>
      <x:c r="T1089" s="12" t="n">
        <x:f>ROUND(S1089*F1089+0.000000001,2)</x:f>
        <x:v>308.01</x:v>
      </x:c>
      <x:c r="U1089" s="12" t="n">
        <x:f>E1089*R1089</x:f>
        <x:v>1414.3500000000001</x:v>
      </x:c>
      <x:c r="V1089" t="str">
        <x:f>IF(AND(C1089="Active",Q1089=0),"Active Zero Sales","Not Zero Sales")</x:f>
        <x:v>Not Zero Sales</x:v>
      </x:c>
      <x:c r="W1089" s="12" t="n">
        <x:f>IF(V1089="Active Zero Sales",U1089,0)</x:f>
        <x:v>0</x:v>
      </x:c>
      <x:c r="X1089" t="str">
        <x:f>IF(E1089&lt;25,"Low &lt; 25",IF(E1089&lt;100,"Medium 25-99",IF(E1089&lt;300,"High 100-299","Premium 300+")))</x:f>
        <x:v>High 100-299</x:v>
      </x:c>
      <x:c r="Y1089" t="n">
        <x:f>IF(C1089="Active",1,0)</x:f>
        <x:v>1</x:v>
      </x:c>
    </x:row>
    <x:row r="1090">
      <x:c r="A1090" t="str">
        <x:v>SKU01089</x:v>
      </x:c>
      <x:c r="B1090" t="str">
        <x:v>Sample Product 01089</x:v>
      </x:c>
      <x:c r="C1090" t="str">
        <x:v>Active</x:v>
      </x:c>
      <x:c r="D1090" t="str">
        <x:v>2026-02</x:v>
      </x:c>
      <x:c r="E1090" s="12" t="n">
        <x:v>235.17</x:v>
      </x:c>
      <x:c r="F1090" s="10" t="n">
        <x:v>0.323</x:v>
      </x:c>
      <x:c r="G1090" t="str">
        <x:v>Medical Devices</x:v>
      </x:c>
      <x:c r="H1090" t="str">
        <x:v>First Aid</x:v>
      </x:c>
      <x:c r="I1090" t="str">
        <x:v>MFG008</x:v>
      </x:c>
      <x:c r="J1090" t="str">
        <x:v>Manufacturer 008</x:v>
      </x:c>
      <x:c r="K1090" t="str">
        <x:v>SUP009</x:v>
      </x:c>
      <x:c r="L1090" t="str">
        <x:v>Supplier 009</x:v>
      </x:c>
      <x:c r="M1090" t="str">
        <x:v>REG-584849</x:v>
      </x:c>
      <x:c r="N1090" t="str">
        <x:v>Generic Ingredient 121</x:v>
      </x:c>
      <x:c r="O1090" t="str">
        <x:v>General Sale</x:v>
      </x:c>
      <x:c r="P1090" t="n">
        <x:v>30</x:v>
      </x:c>
      <x:c r="Q1090" t="n">
        <x:v>36</x:v>
      </x:c>
      <x:c r="R1090" t="n">
        <x:v>0</x:v>
      </x:c>
      <x:c r="S1090" s="12" t="n">
        <x:f>E1090*Q1090</x:f>
        <x:v>8466.119999999999</x:v>
      </x:c>
      <x:c r="T1090" s="12" t="n">
        <x:f>ROUND(S1090*F1090+0.000000001,2)</x:f>
        <x:v>2734.56</x:v>
      </x:c>
      <x:c r="U1090" s="12" t="n">
        <x:f>E1090*R1090</x:f>
        <x:v>0</x:v>
      </x:c>
      <x:c r="V1090" t="str">
        <x:f>IF(AND(C1090="Active",Q1090=0),"Active Zero Sales","Not Zero Sales")</x:f>
        <x:v>Not Zero Sales</x:v>
      </x:c>
      <x:c r="W1090" s="12" t="n">
        <x:f>IF(V1090="Active Zero Sales",U1090,0)</x:f>
        <x:v>0</x:v>
      </x:c>
      <x:c r="X1090" t="str">
        <x:f>IF(E1090&lt;25,"Low &lt; 25",IF(E1090&lt;100,"Medium 25-99",IF(E1090&lt;300,"High 100-299","Premium 300+")))</x:f>
        <x:v>High 100-299</x:v>
      </x:c>
      <x:c r="Y1090" t="n">
        <x:f>IF(C1090="Active",1,0)</x:f>
        <x:v>1</x:v>
      </x:c>
    </x:row>
    <x:row r="1091">
      <x:c r="A1091" t="str">
        <x:v>SKU01090</x:v>
      </x:c>
      <x:c r="B1091" t="str">
        <x:v>Sample Product 01090</x:v>
      </x:c>
      <x:c r="C1091" t="str">
        <x:v>Active</x:v>
      </x:c>
      <x:c r="D1091" t="str">
        <x:v>2026-02</x:v>
      </x:c>
      <x:c r="E1091" s="12" t="n">
        <x:v>435.5</x:v>
      </x:c>
      <x:c r="F1091" s="10" t="n">
        <x:v>0.435</x:v>
      </x:c>
      <x:c r="G1091" t="str">
        <x:v>Personal Care</x:v>
      </x:c>
      <x:c r="H1091" t="str">
        <x:v>Oral Care</x:v>
      </x:c>
      <x:c r="I1091" t="str">
        <x:v>MFG003</x:v>
      </x:c>
      <x:c r="J1091" t="str">
        <x:v>Manufacturer 003</x:v>
      </x:c>
      <x:c r="K1091" t="str">
        <x:v>SUP022</x:v>
      </x:c>
      <x:c r="L1091" t="str">
        <x:v>Supplier 022</x:v>
      </x:c>
      <x:c r="M1091" t="str">
        <x:v>REG-442638</x:v>
      </x:c>
      <x:c r="N1091" t="str">
        <x:v>Generic Ingredient 165</x:v>
      </x:c>
      <x:c r="O1091" t="str">
        <x:v>General Sale</x:v>
      </x:c>
      <x:c r="P1091" t="n">
        <x:v>31</x:v>
      </x:c>
      <x:c r="Q1091" t="n">
        <x:v>20</x:v>
      </x:c>
      <x:c r="R1091" t="n">
        <x:v>7</x:v>
      </x:c>
      <x:c r="S1091" s="12" t="n">
        <x:f>E1091*Q1091</x:f>
        <x:v>8710</x:v>
      </x:c>
      <x:c r="T1091" s="12" t="n">
        <x:f>ROUND(S1091*F1091+0.000000001,2)</x:f>
        <x:v>3788.85</x:v>
      </x:c>
      <x:c r="U1091" s="12" t="n">
        <x:f>E1091*R1091</x:f>
        <x:v>3048.5</x:v>
      </x:c>
      <x:c r="V1091" t="str">
        <x:f>IF(AND(C1091="Active",Q1091=0),"Active Zero Sales","Not Zero Sales")</x:f>
        <x:v>Not Zero Sales</x:v>
      </x:c>
      <x:c r="W1091" s="12" t="n">
        <x:f>IF(V1091="Active Zero Sales",U1091,0)</x:f>
        <x:v>0</x:v>
      </x:c>
      <x:c r="X1091" t="str">
        <x:f>IF(E1091&lt;25,"Low &lt; 25",IF(E1091&lt;100,"Medium 25-99",IF(E1091&lt;300,"High 100-299","Premium 300+")))</x:f>
        <x:v>Premium 300+</x:v>
      </x:c>
      <x:c r="Y1091" t="n">
        <x:f>IF(C1091="Active",1,0)</x:f>
        <x:v>1</x:v>
      </x:c>
    </x:row>
    <x:row r="1092">
      <x:c r="A1092" t="str">
        <x:v>SKU01091</x:v>
      </x:c>
      <x:c r="B1092" t="str">
        <x:v>Sample Product 01091</x:v>
      </x:c>
      <x:c r="C1092" t="str">
        <x:v>Active</x:v>
      </x:c>
      <x:c r="D1092" t="str">
        <x:v>2026-01</x:v>
      </x:c>
      <x:c r="E1092" s="12" t="n">
        <x:v>68.68</x:v>
      </x:c>
      <x:c r="F1092" s="10" t="n">
        <x:v>0.392</x:v>
      </x:c>
      <x:c r="G1092" t="str">
        <x:v>Nutrition</x:v>
      </x:c>
      <x:c r="H1092" t="str">
        <x:v>Sports Nutrition</x:v>
      </x:c>
      <x:c r="I1092" t="str">
        <x:v>MFG003</x:v>
      </x:c>
      <x:c r="J1092" t="str">
        <x:v>Manufacturer 003</x:v>
      </x:c>
      <x:c r="K1092" t="str">
        <x:v>SUP016</x:v>
      </x:c>
      <x:c r="L1092" t="str">
        <x:v>Supplier 016</x:v>
      </x:c>
      <x:c r="M1092" t="str">
        <x:v>REG-412001</x:v>
      </x:c>
      <x:c r="N1092" t="str">
        <x:v>Generic Ingredient 015</x:v>
      </x:c>
      <x:c r="O1092" t="str">
        <x:v>General Sale</x:v>
      </x:c>
      <x:c r="P1092" t="n">
        <x:v>20</x:v>
      </x:c>
      <x:c r="Q1092" t="n">
        <x:v>17</x:v>
      </x:c>
      <x:c r="R1092" t="n">
        <x:v>0</x:v>
      </x:c>
      <x:c r="S1092" s="12" t="n">
        <x:f>E1092*Q1092</x:f>
        <x:v>1167.5600000000002</x:v>
      </x:c>
      <x:c r="T1092" s="12" t="n">
        <x:f>ROUND(S1092*F1092+0.000000001,2)</x:f>
        <x:v>457.68</x:v>
      </x:c>
      <x:c r="U1092" s="12" t="n">
        <x:f>E1092*R1092</x:f>
        <x:v>0</x:v>
      </x:c>
      <x:c r="V1092" t="str">
        <x:f>IF(AND(C1092="Active",Q1092=0),"Active Zero Sales","Not Zero Sales")</x:f>
        <x:v>Not Zero Sales</x:v>
      </x:c>
      <x:c r="W1092" s="12" t="n">
        <x:f>IF(V1092="Active Zero Sales",U1092,0)</x:f>
        <x:v>0</x:v>
      </x:c>
      <x:c r="X1092" t="str">
        <x:f>IF(E1092&lt;25,"Low &lt; 25",IF(E1092&lt;100,"Medium 25-99",IF(E1092&lt;300,"High 100-299","Premium 300+")))</x:f>
        <x:v>Medium 25-99</x:v>
      </x:c>
      <x:c r="Y1092" t="n">
        <x:f>IF(C1092="Active",1,0)</x:f>
        <x:v>1</x:v>
      </x:c>
    </x:row>
    <x:row r="1093">
      <x:c r="A1093" t="str">
        <x:v>SKU01092</x:v>
      </x:c>
      <x:c r="B1093" t="str">
        <x:v>Sample Product 01092</x:v>
      </x:c>
      <x:c r="C1093" t="str">
        <x:v>Active</x:v>
      </x:c>
      <x:c r="D1093" t="str">
        <x:v>2026-04</x:v>
      </x:c>
      <x:c r="E1093" s="12" t="n">
        <x:v>24.17</x:v>
      </x:c>
      <x:c r="F1093" s="10" t="n">
        <x:v>0.317</x:v>
      </x:c>
      <x:c r="G1093" t="str">
        <x:v>Nutrition</x:v>
      </x:c>
      <x:c r="H1093" t="str">
        <x:v>Healthy Snacks</x:v>
      </x:c>
      <x:c r="I1093" t="str">
        <x:v>MFG002</x:v>
      </x:c>
      <x:c r="J1093" t="str">
        <x:v>Manufacturer 002</x:v>
      </x:c>
      <x:c r="K1093" t="str">
        <x:v>SUP011</x:v>
      </x:c>
      <x:c r="L1093" t="str">
        <x:v>Supplier 011</x:v>
      </x:c>
      <x:c r="M1093" t="str">
        <x:v>REG-489756</x:v>
      </x:c>
      <x:c r="N1093" t="str">
        <x:v>Generic Ingredient 121</x:v>
      </x:c>
      <x:c r="O1093" t="str">
        <x:v>General Sale</x:v>
      </x:c>
      <x:c r="P1093" t="n">
        <x:v>54</x:v>
      </x:c>
      <x:c r="Q1093" t="n">
        <x:v>12</x:v>
      </x:c>
      <x:c r="R1093" t="n">
        <x:v>6</x:v>
      </x:c>
      <x:c r="S1093" s="12" t="n">
        <x:f>E1093*Q1093</x:f>
        <x:v>290.04</x:v>
      </x:c>
      <x:c r="T1093" s="12" t="n">
        <x:f>ROUND(S1093*F1093+0.000000001,2)</x:f>
        <x:v>91.94</x:v>
      </x:c>
      <x:c r="U1093" s="12" t="n">
        <x:f>E1093*R1093</x:f>
        <x:v>145.02</x:v>
      </x:c>
      <x:c r="V1093" t="str">
        <x:f>IF(AND(C1093="Active",Q1093=0),"Active Zero Sales","Not Zero Sales")</x:f>
        <x:v>Not Zero Sales</x:v>
      </x:c>
      <x:c r="W1093" s="12" t="n">
        <x:f>IF(V1093="Active Zero Sales",U1093,0)</x:f>
        <x:v>0</x:v>
      </x:c>
      <x:c r="X1093" t="str">
        <x:f>IF(E1093&lt;25,"Low &lt; 25",IF(E1093&lt;100,"Medium 25-99",IF(E1093&lt;300,"High 100-299","Premium 300+")))</x:f>
        <x:v>Low &lt; 25</x:v>
      </x:c>
      <x:c r="Y1093" t="n">
        <x:f>IF(C1093="Active",1,0)</x:f>
        <x:v>1</x:v>
      </x:c>
    </x:row>
    <x:row r="1094">
      <x:c r="A1094" t="str">
        <x:v>SKU01093</x:v>
      </x:c>
      <x:c r="B1094" t="str">
        <x:v>Sample Product 01093</x:v>
      </x:c>
      <x:c r="C1094" t="str">
        <x:v>Active</x:v>
      </x:c>
      <x:c r="D1094" t="str">
        <x:v>2026-02</x:v>
      </x:c>
      <x:c r="E1094" s="12" t="n">
        <x:v>57.48</x:v>
      </x:c>
      <x:c r="F1094" s="10" t="n">
        <x:v>0.354</x:v>
      </x:c>
      <x:c r="G1094" t="str">
        <x:v>Medical Devices</x:v>
      </x:c>
      <x:c r="H1094" t="str">
        <x:v>Mobility Aids</x:v>
      </x:c>
      <x:c r="I1094" t="str">
        <x:v>MFG018</x:v>
      </x:c>
      <x:c r="J1094" t="str">
        <x:v>Manufacturer 018</x:v>
      </x:c>
      <x:c r="K1094" t="str">
        <x:v>SUP011</x:v>
      </x:c>
      <x:c r="L1094" t="str">
        <x:v>Supplier 011</x:v>
      </x:c>
      <x:c r="M1094" t="str">
        <x:v>REG-733468</x:v>
      </x:c>
      <x:c r="N1094" t="str">
        <x:v>Generic Ingredient 076</x:v>
      </x:c>
      <x:c r="O1094" t="str">
        <x:v>General Sale</x:v>
      </x:c>
      <x:c r="P1094" t="n">
        <x:v>29</x:v>
      </x:c>
      <x:c r="Q1094" t="n">
        <x:v>9</x:v>
      </x:c>
      <x:c r="R1094" t="n">
        <x:v>24</x:v>
      </x:c>
      <x:c r="S1094" s="12" t="n">
        <x:f>E1094*Q1094</x:f>
        <x:v>517.3199999999999</x:v>
      </x:c>
      <x:c r="T1094" s="12" t="n">
        <x:f>ROUND(S1094*F1094+0.000000001,2)</x:f>
        <x:v>183.13</x:v>
      </x:c>
      <x:c r="U1094" s="12" t="n">
        <x:f>E1094*R1094</x:f>
        <x:v>1379.52</x:v>
      </x:c>
      <x:c r="V1094" t="str">
        <x:f>IF(AND(C1094="Active",Q1094=0),"Active Zero Sales","Not Zero Sales")</x:f>
        <x:v>Not Zero Sales</x:v>
      </x:c>
      <x:c r="W1094" s="12" t="n">
        <x:f>IF(V1094="Active Zero Sales",U1094,0)</x:f>
        <x:v>0</x:v>
      </x:c>
      <x:c r="X1094" t="str">
        <x:f>IF(E1094&lt;25,"Low &lt; 25",IF(E1094&lt;100,"Medium 25-99",IF(E1094&lt;300,"High 100-299","Premium 300+")))</x:f>
        <x:v>Medium 25-99</x:v>
      </x:c>
      <x:c r="Y1094" t="n">
        <x:f>IF(C1094="Active",1,0)</x:f>
        <x:v>1</x:v>
      </x:c>
    </x:row>
    <x:row r="1095">
      <x:c r="A1095" t="str">
        <x:v>SKU01094</x:v>
      </x:c>
      <x:c r="B1095" t="str">
        <x:v>Sample Product 01094</x:v>
      </x:c>
      <x:c r="C1095" t="str">
        <x:v>Active</x:v>
      </x:c>
      <x:c r="D1095" t="str">
        <x:v>2026-01</x:v>
      </x:c>
      <x:c r="E1095" s="12" t="n">
        <x:v>48.07</x:v>
      </x:c>
      <x:c r="F1095" s="10" t="n">
        <x:v>0.195</x:v>
      </x:c>
      <x:c r="G1095" t="str">
        <x:v>Medical Devices</x:v>
      </x:c>
      <x:c r="H1095" t="str">
        <x:v>Monitoring Supplies</x:v>
      </x:c>
      <x:c r="I1095" t="str">
        <x:v>MFG009</x:v>
      </x:c>
      <x:c r="J1095" t="str">
        <x:v>Manufacturer 009</x:v>
      </x:c>
      <x:c r="K1095" t="str">
        <x:v>SUP020</x:v>
      </x:c>
      <x:c r="L1095" t="str">
        <x:v>Supplier 020</x:v>
      </x:c>
      <x:c r="M1095" t="str">
        <x:v>REG-498563</x:v>
      </x:c>
      <x:c r="N1095" t="str">
        <x:v>Generic Ingredient 146</x:v>
      </x:c>
      <x:c r="O1095" t="str">
        <x:v>General Sale</x:v>
      </x:c>
      <x:c r="P1095" t="n">
        <x:v>87</x:v>
      </x:c>
      <x:c r="Q1095" t="n">
        <x:v>38</x:v>
      </x:c>
      <x:c r="R1095" t="n">
        <x:v>3</x:v>
      </x:c>
      <x:c r="S1095" s="12" t="n">
        <x:f>E1095*Q1095</x:f>
        <x:v>1826.66</x:v>
      </x:c>
      <x:c r="T1095" s="12" t="n">
        <x:f>ROUND(S1095*F1095+0.000000001,2)</x:f>
        <x:v>356.2</x:v>
      </x:c>
      <x:c r="U1095" s="12" t="n">
        <x:f>E1095*R1095</x:f>
        <x:v>144.21</x:v>
      </x:c>
      <x:c r="V1095" t="str">
        <x:f>IF(AND(C1095="Active",Q1095=0),"Active Zero Sales","Not Zero Sales")</x:f>
        <x:v>Not Zero Sales</x:v>
      </x:c>
      <x:c r="W1095" s="12" t="n">
        <x:f>IF(V1095="Active Zero Sales",U1095,0)</x:f>
        <x:v>0</x:v>
      </x:c>
      <x:c r="X1095" t="str">
        <x:f>IF(E1095&lt;25,"Low &lt; 25",IF(E1095&lt;100,"Medium 25-99",IF(E1095&lt;300,"High 100-299","Premium 300+")))</x:f>
        <x:v>Medium 25-99</x:v>
      </x:c>
      <x:c r="Y1095" t="n">
        <x:f>IF(C1095="Active",1,0)</x:f>
        <x:v>1</x:v>
      </x:c>
    </x:row>
    <x:row r="1096">
      <x:c r="A1096" t="str">
        <x:v>SKU01095</x:v>
      </x:c>
      <x:c r="B1096" t="str">
        <x:v>Sample Product 01095</x:v>
      </x:c>
      <x:c r="C1096" t="str">
        <x:v>Active</x:v>
      </x:c>
      <x:c r="D1096" t="str">
        <x:v>2026-04</x:v>
      </x:c>
      <x:c r="E1096" s="12" t="n">
        <x:v>198.05</x:v>
      </x:c>
      <x:c r="F1096" s="10" t="n">
        <x:v>0.415</x:v>
      </x:c>
      <x:c r="G1096" t="str">
        <x:v>Personal Care</x:v>
      </x:c>
      <x:c r="H1096" t="str">
        <x:v>Oral Care</x:v>
      </x:c>
      <x:c r="I1096" t="str">
        <x:v>MFG010</x:v>
      </x:c>
      <x:c r="J1096" t="str">
        <x:v>Manufacturer 010</x:v>
      </x:c>
      <x:c r="K1096" t="str">
        <x:v>SUP015</x:v>
      </x:c>
      <x:c r="L1096" t="str">
        <x:v>Supplier 015</x:v>
      </x:c>
      <x:c r="M1096" t="str">
        <x:v>REG-434180</x:v>
      </x:c>
      <x:c r="N1096" t="str">
        <x:v>Generic Ingredient 066</x:v>
      </x:c>
      <x:c r="O1096" t="str">
        <x:v>General Sale</x:v>
      </x:c>
      <x:c r="P1096" t="n">
        <x:v>31</x:v>
      </x:c>
      <x:c r="Q1096" t="n">
        <x:v>37</x:v>
      </x:c>
      <x:c r="R1096" t="n">
        <x:v>0</x:v>
      </x:c>
      <x:c r="S1096" s="12" t="n">
        <x:f>E1096*Q1096</x:f>
        <x:v>7327.85</x:v>
      </x:c>
      <x:c r="T1096" s="12" t="n">
        <x:f>ROUND(S1096*F1096+0.000000001,2)</x:f>
        <x:v>3041.06</x:v>
      </x:c>
      <x:c r="U1096" s="12" t="n">
        <x:f>E1096*R1096</x:f>
        <x:v>0</x:v>
      </x:c>
      <x:c r="V1096" t="str">
        <x:f>IF(AND(C1096="Active",Q1096=0),"Active Zero Sales","Not Zero Sales")</x:f>
        <x:v>Not Zero Sales</x:v>
      </x:c>
      <x:c r="W1096" s="12" t="n">
        <x:f>IF(V1096="Active Zero Sales",U1096,0)</x:f>
        <x:v>0</x:v>
      </x:c>
      <x:c r="X1096" t="str">
        <x:f>IF(E1096&lt;25,"Low &lt; 25",IF(E1096&lt;100,"Medium 25-99",IF(E1096&lt;300,"High 100-299","Premium 300+")))</x:f>
        <x:v>High 100-299</x:v>
      </x:c>
      <x:c r="Y1096" t="n">
        <x:f>IF(C1096="Active",1,0)</x:f>
        <x:v>1</x:v>
      </x:c>
    </x:row>
    <x:row r="1097">
      <x:c r="A1097" t="str">
        <x:v>SKU01096</x:v>
      </x:c>
      <x:c r="B1097" t="str">
        <x:v>Sample Product 01096</x:v>
      </x:c>
      <x:c r="C1097" t="str">
        <x:v>Active</x:v>
      </x:c>
      <x:c r="D1097" t="str">
        <x:v>2026-06</x:v>
      </x:c>
      <x:c r="E1097" s="12" t="n">
        <x:v>72.87</x:v>
      </x:c>
      <x:c r="F1097" s="10" t="n">
        <x:v>0.408</x:v>
      </x:c>
      <x:c r="G1097" t="str">
        <x:v>Personal Care</x:v>
      </x:c>
      <x:c r="H1097" t="str">
        <x:v>Skin Care</x:v>
      </x:c>
      <x:c r="I1097" t="str">
        <x:v>MFG003</x:v>
      </x:c>
      <x:c r="J1097" t="str">
        <x:v>Manufacturer 003</x:v>
      </x:c>
      <x:c r="K1097" t="str">
        <x:v>SUP008</x:v>
      </x:c>
      <x:c r="L1097" t="str">
        <x:v>Supplier 008</x:v>
      </x:c>
      <x:c r="M1097" t="str">
        <x:v>REG-158993</x:v>
      </x:c>
      <x:c r="N1097" t="str">
        <x:v>Generic Ingredient 037</x:v>
      </x:c>
      <x:c r="O1097" t="str">
        <x:v>General Sale</x:v>
      </x:c>
      <x:c r="P1097" t="n">
        <x:v>28</x:v>
      </x:c>
      <x:c r="Q1097" t="n">
        <x:v>33</x:v>
      </x:c>
      <x:c r="R1097" t="n">
        <x:v>3</x:v>
      </x:c>
      <x:c r="S1097" s="12" t="n">
        <x:f>E1097*Q1097</x:f>
        <x:v>2404.71</x:v>
      </x:c>
      <x:c r="T1097" s="12" t="n">
        <x:f>ROUND(S1097*F1097+0.000000001,2)</x:f>
        <x:v>981.12</x:v>
      </x:c>
      <x:c r="U1097" s="12" t="n">
        <x:f>E1097*R1097</x:f>
        <x:v>218.61</x:v>
      </x:c>
      <x:c r="V1097" t="str">
        <x:f>IF(AND(C1097="Active",Q1097=0),"Active Zero Sales","Not Zero Sales")</x:f>
        <x:v>Not Zero Sales</x:v>
      </x:c>
      <x:c r="W1097" s="12" t="n">
        <x:f>IF(V1097="Active Zero Sales",U1097,0)</x:f>
        <x:v>0</x:v>
      </x:c>
      <x:c r="X1097" t="str">
        <x:f>IF(E1097&lt;25,"Low &lt; 25",IF(E1097&lt;100,"Medium 25-99",IF(E1097&lt;300,"High 100-299","Premium 300+")))</x:f>
        <x:v>Medium 25-99</x:v>
      </x:c>
      <x:c r="Y1097" t="n">
        <x:f>IF(C1097="Active",1,0)</x:f>
        <x:v>1</x:v>
      </x:c>
    </x:row>
    <x:row r="1098">
      <x:c r="A1098" t="str">
        <x:v>SKU01097</x:v>
      </x:c>
      <x:c r="B1098" t="str">
        <x:v>Sample Product 01097</x:v>
      </x:c>
      <x:c r="C1098" t="str">
        <x:v>Active</x:v>
      </x:c>
      <x:c r="D1098" t="str">
        <x:v>2026-02</x:v>
      </x:c>
      <x:c r="E1098" s="12" t="n">
        <x:v>186.53</x:v>
      </x:c>
      <x:c r="F1098" s="10" t="n">
        <x:v>0.454</x:v>
      </x:c>
      <x:c r="G1098" t="str">
        <x:v>OTC &amp; Wellness</x:v>
      </x:c>
      <x:c r="H1098" t="str">
        <x:v>Cold &amp; Allergy</x:v>
      </x:c>
      <x:c r="I1098" t="str">
        <x:v>MFG014</x:v>
      </x:c>
      <x:c r="J1098" t="str">
        <x:v>Manufacturer 014</x:v>
      </x:c>
      <x:c r="K1098" t="str">
        <x:v>SUP004</x:v>
      </x:c>
      <x:c r="L1098" t="str">
        <x:v>Supplier 004</x:v>
      </x:c>
      <x:c r="M1098" t="str">
        <x:v>REG-826540</x:v>
      </x:c>
      <x:c r="N1098" t="str">
        <x:v>Generic Ingredient 173</x:v>
      </x:c>
      <x:c r="O1098" t="str">
        <x:v>General Sale</x:v>
      </x:c>
      <x:c r="P1098" t="n">
        <x:v>76</x:v>
      </x:c>
      <x:c r="Q1098" t="n">
        <x:v>31</x:v>
      </x:c>
      <x:c r="R1098" t="n">
        <x:v>10</x:v>
      </x:c>
      <x:c r="S1098" s="12" t="n">
        <x:f>E1098*Q1098</x:f>
        <x:v>5782.43</x:v>
      </x:c>
      <x:c r="T1098" s="12" t="n">
        <x:f>ROUND(S1098*F1098+0.000000001,2)</x:f>
        <x:v>2625.22</x:v>
      </x:c>
      <x:c r="U1098" s="12" t="n">
        <x:f>E1098*R1098</x:f>
        <x:v>1865.3</x:v>
      </x:c>
      <x:c r="V1098" t="str">
        <x:f>IF(AND(C1098="Active",Q1098=0),"Active Zero Sales","Not Zero Sales")</x:f>
        <x:v>Not Zero Sales</x:v>
      </x:c>
      <x:c r="W1098" s="12" t="n">
        <x:f>IF(V1098="Active Zero Sales",U1098,0)</x:f>
        <x:v>0</x:v>
      </x:c>
      <x:c r="X1098" t="str">
        <x:f>IF(E1098&lt;25,"Low &lt; 25",IF(E1098&lt;100,"Medium 25-99",IF(E1098&lt;300,"High 100-299","Premium 300+")))</x:f>
        <x:v>High 100-299</x:v>
      </x:c>
      <x:c r="Y1098" t="n">
        <x:f>IF(C1098="Active",1,0)</x:f>
        <x:v>1</x:v>
      </x:c>
    </x:row>
    <x:row r="1099">
      <x:c r="A1099" t="str">
        <x:v>SKU01098</x:v>
      </x:c>
      <x:c r="B1099" t="str">
        <x:v>Sample Product 01098</x:v>
      </x:c>
      <x:c r="C1099" t="str">
        <x:v>Blocked</x:v>
      </x:c>
      <x:c r="D1099" t="str">
        <x:v>2026-02</x:v>
      </x:c>
      <x:c r="E1099" s="12" t="n">
        <x:v>47.85</x:v>
      </x:c>
      <x:c r="F1099" s="10" t="n">
        <x:v>0.347</x:v>
      </x:c>
      <x:c r="G1099" t="str">
        <x:v>General Merchandise</x:v>
      </x:c>
      <x:c r="H1099" t="str">
        <x:v>Accessories</x:v>
      </x:c>
      <x:c r="I1099" t="str">
        <x:v>MFG011</x:v>
      </x:c>
      <x:c r="J1099" t="str">
        <x:v>Manufacturer 011</x:v>
      </x:c>
      <x:c r="K1099" t="str">
        <x:v>SUP020</x:v>
      </x:c>
      <x:c r="L1099" t="str">
        <x:v>Supplier 020</x:v>
      </x:c>
      <x:c r="M1099" t="str">
        <x:v>REG-587757</x:v>
      </x:c>
      <x:c r="N1099" t="str">
        <x:v>Generic Ingredient 104</x:v>
      </x:c>
      <x:c r="O1099" t="str">
        <x:v>General Sale</x:v>
      </x:c>
      <x:c r="P1099" t="n">
        <x:v>38</x:v>
      </x:c>
      <x:c r="Q1099" t="n">
        <x:v>0</x:v>
      </x:c>
      <x:c r="R1099" t="n">
        <x:v>0</x:v>
      </x:c>
      <x:c r="S1099" s="12" t="n">
        <x:f>E1099*Q1099</x:f>
        <x:v>0</x:v>
      </x:c>
      <x:c r="T1099" s="12" t="n">
        <x:f>ROUND(S1099*F1099+0.000000001,2)</x:f>
        <x:v>0</x:v>
      </x:c>
      <x:c r="U1099" s="12" t="n">
        <x:f>E1099*R1099</x:f>
        <x:v>0</x:v>
      </x:c>
      <x:c r="V1099" t="str">
        <x:f>IF(AND(C1099="Active",Q1099=0),"Active Zero Sales","Not Zero Sales")</x:f>
        <x:v>Not Zero Sales</x:v>
      </x:c>
      <x:c r="W1099" s="12" t="n">
        <x:f>IF(V1099="Active Zero Sales",U1099,0)</x:f>
        <x:v>0</x:v>
      </x:c>
      <x:c r="X1099" t="str">
        <x:f>IF(E1099&lt;25,"Low &lt; 25",IF(E1099&lt;100,"Medium 25-99",IF(E1099&lt;300,"High 100-299","Premium 300+")))</x:f>
        <x:v>Medium 25-99</x:v>
      </x:c>
      <x:c r="Y1099" t="n">
        <x:f>IF(C1099="Active",1,0)</x:f>
        <x:v>0</x:v>
      </x:c>
    </x:row>
    <x:row r="1100">
      <x:c r="A1100" t="str">
        <x:v>SKU01099</x:v>
      </x:c>
      <x:c r="B1100" t="str">
        <x:v>Sample Product 01099</x:v>
      </x:c>
      <x:c r="C1100" t="str">
        <x:v>Active</x:v>
      </x:c>
      <x:c r="D1100" t="str">
        <x:v>2026-02</x:v>
      </x:c>
      <x:c r="E1100" s="12" t="n">
        <x:v>54.52</x:v>
      </x:c>
      <x:c r="F1100" s="10" t="n">
        <x:v>0.336</x:v>
      </x:c>
      <x:c r="G1100" t="str">
        <x:v>Nutrition</x:v>
      </x:c>
      <x:c r="H1100" t="str">
        <x:v>Hydration</x:v>
      </x:c>
      <x:c r="I1100" t="str">
        <x:v>MFG014</x:v>
      </x:c>
      <x:c r="J1100" t="str">
        <x:v>Manufacturer 014</x:v>
      </x:c>
      <x:c r="K1100" t="str">
        <x:v>SUP017</x:v>
      </x:c>
      <x:c r="L1100" t="str">
        <x:v>Supplier 017</x:v>
      </x:c>
      <x:c r="M1100" t="str">
        <x:v>REG-616555</x:v>
      </x:c>
      <x:c r="N1100" t="str">
        <x:v>Generic Ingredient 172</x:v>
      </x:c>
      <x:c r="O1100" t="str">
        <x:v>Pharmacy Only</x:v>
      </x:c>
      <x:c r="P1100" t="n">
        <x:v>97</x:v>
      </x:c>
      <x:c r="Q1100" t="n">
        <x:v>58</x:v>
      </x:c>
      <x:c r="R1100" t="n">
        <x:v>45</x:v>
      </x:c>
      <x:c r="S1100" s="12" t="n">
        <x:f>E1100*Q1100</x:f>
        <x:v>3162.1600000000003</x:v>
      </x:c>
      <x:c r="T1100" s="12" t="n">
        <x:f>ROUND(S1100*F1100+0.000000001,2)</x:f>
        <x:v>1062.49</x:v>
      </x:c>
      <x:c r="U1100" s="12" t="n">
        <x:f>E1100*R1100</x:f>
        <x:v>2453.4</x:v>
      </x:c>
      <x:c r="V1100" t="str">
        <x:f>IF(AND(C1100="Active",Q1100=0),"Active Zero Sales","Not Zero Sales")</x:f>
        <x:v>Not Zero Sales</x:v>
      </x:c>
      <x:c r="W1100" s="12" t="n">
        <x:f>IF(V1100="Active Zero Sales",U1100,0)</x:f>
        <x:v>0</x:v>
      </x:c>
      <x:c r="X1100" t="str">
        <x:f>IF(E1100&lt;25,"Low &lt; 25",IF(E1100&lt;100,"Medium 25-99",IF(E1100&lt;300,"High 100-299","Premium 300+")))</x:f>
        <x:v>Medium 25-99</x:v>
      </x:c>
      <x:c r="Y1100" t="n">
        <x:f>IF(C1100="Active",1,0)</x:f>
        <x:v>1</x:v>
      </x:c>
    </x:row>
    <x:row r="1101">
      <x:c r="A1101" t="str">
        <x:v>SKU01100</x:v>
      </x:c>
      <x:c r="B1101" t="str">
        <x:v>Sample Product 01100</x:v>
      </x:c>
      <x:c r="C1101" t="str">
        <x:v>Blocked</x:v>
      </x:c>
      <x:c r="D1101" t="str">
        <x:v>2026-02</x:v>
      </x:c>
      <x:c r="E1101" s="12" t="n">
        <x:v>12.43</x:v>
      </x:c>
      <x:c r="F1101" s="10" t="n">
        <x:v>0.333</x:v>
      </x:c>
      <x:c r="G1101" t="str">
        <x:v>Personal Care</x:v>
      </x:c>
      <x:c r="H1101" t="str">
        <x:v>Skin Care</x:v>
      </x:c>
      <x:c r="I1101" t="str">
        <x:v>MFG005</x:v>
      </x:c>
      <x:c r="J1101" t="str">
        <x:v>Manufacturer 005</x:v>
      </x:c>
      <x:c r="K1101" t="str">
        <x:v>SUP005</x:v>
      </x:c>
      <x:c r="L1101" t="str">
        <x:v>Supplier 005</x:v>
      </x:c>
      <x:c r="M1101" t="str">
        <x:v>REG-527959</x:v>
      </x:c>
      <x:c r="N1101" t="str">
        <x:v>Generic Ingredient 098</x:v>
      </x:c>
      <x:c r="O1101" t="str">
        <x:v>General Sale</x:v>
      </x:c>
      <x:c r="P1101" t="n">
        <x:v>3</x:v>
      </x:c>
      <x:c r="Q1101" t="n">
        <x:v>0</x:v>
      </x:c>
      <x:c r="R1101" t="n">
        <x:v>0</x:v>
      </x:c>
      <x:c r="S1101" s="12" t="n">
        <x:f>E1101*Q1101</x:f>
        <x:v>0</x:v>
      </x:c>
      <x:c r="T1101" s="12" t="n">
        <x:f>ROUND(S1101*F1101+0.000000001,2)</x:f>
        <x:v>0</x:v>
      </x:c>
      <x:c r="U1101" s="12" t="n">
        <x:f>E1101*R1101</x:f>
        <x:v>0</x:v>
      </x:c>
      <x:c r="V1101" t="str">
        <x:f>IF(AND(C1101="Active",Q1101=0),"Active Zero Sales","Not Zero Sales")</x:f>
        <x:v>Not Zero Sales</x:v>
      </x:c>
      <x:c r="W1101" s="12" t="n">
        <x:f>IF(V1101="Active Zero Sales",U1101,0)</x:f>
        <x:v>0</x:v>
      </x:c>
      <x:c r="X1101" t="str">
        <x:f>IF(E1101&lt;25,"Low &lt; 25",IF(E1101&lt;100,"Medium 25-99",IF(E1101&lt;300,"High 100-299","Premium 300+")))</x:f>
        <x:v>Low &lt; 25</x:v>
      </x:c>
      <x:c r="Y1101" t="n">
        <x:f>IF(C1101="Active",1,0)</x:f>
        <x:v>0</x:v>
      </x:c>
    </x:row>
    <x:row r="1102">
      <x:c r="A1102" t="str">
        <x:v>SKU01101</x:v>
      </x:c>
      <x:c r="B1102" t="str">
        <x:v>Sample Product 01101</x:v>
      </x:c>
      <x:c r="C1102" t="str">
        <x:v>Active</x:v>
      </x:c>
      <x:c r="D1102" t="str">
        <x:v>2026-04</x:v>
      </x:c>
      <x:c r="E1102" s="12" t="n">
        <x:v>6.97</x:v>
      </x:c>
      <x:c r="F1102" s="10" t="n">
        <x:v>0.428</x:v>
      </x:c>
      <x:c r="G1102" t="str">
        <x:v>Personal Care</x:v>
      </x:c>
      <x:c r="H1102" t="str">
        <x:v>Hygiene</x:v>
      </x:c>
      <x:c r="I1102" t="str">
        <x:v>MFG013</x:v>
      </x:c>
      <x:c r="J1102" t="str">
        <x:v>Manufacturer 013</x:v>
      </x:c>
      <x:c r="K1102" t="str">
        <x:v>SUP020</x:v>
      </x:c>
      <x:c r="L1102" t="str">
        <x:v>Supplier 020</x:v>
      </x:c>
      <x:c r="M1102" t="str">
        <x:v>REG-913034</x:v>
      </x:c>
      <x:c r="N1102" t="str">
        <x:v>Generic Ingredient 141</x:v>
      </x:c>
      <x:c r="O1102" t="str">
        <x:v>General Sale</x:v>
      </x:c>
      <x:c r="P1102" t="n">
        <x:v>122</x:v>
      </x:c>
      <x:c r="Q1102" t="n">
        <x:v>47</x:v>
      </x:c>
      <x:c r="R1102" t="n">
        <x:v>25</x:v>
      </x:c>
      <x:c r="S1102" s="12" t="n">
        <x:f>E1102*Q1102</x:f>
        <x:v>327.59</x:v>
      </x:c>
      <x:c r="T1102" s="12" t="n">
        <x:f>ROUND(S1102*F1102+0.000000001,2)</x:f>
        <x:v>140.21</x:v>
      </x:c>
      <x:c r="U1102" s="12" t="n">
        <x:f>E1102*R1102</x:f>
        <x:v>174.25</x:v>
      </x:c>
      <x:c r="V1102" t="str">
        <x:f>IF(AND(C1102="Active",Q1102=0),"Active Zero Sales","Not Zero Sales")</x:f>
        <x:v>Not Zero Sales</x:v>
      </x:c>
      <x:c r="W1102" s="12" t="n">
        <x:f>IF(V1102="Active Zero Sales",U1102,0)</x:f>
        <x:v>0</x:v>
      </x:c>
      <x:c r="X1102" t="str">
        <x:f>IF(E1102&lt;25,"Low &lt; 25",IF(E1102&lt;100,"Medium 25-99",IF(E1102&lt;300,"High 100-299","Premium 300+")))</x:f>
        <x:v>Low &lt; 25</x:v>
      </x:c>
      <x:c r="Y1102" t="n">
        <x:f>IF(C1102="Active",1,0)</x:f>
        <x:v>1</x:v>
      </x:c>
    </x:row>
    <x:row r="1103">
      <x:c r="A1103" t="str">
        <x:v>SKU01102</x:v>
      </x:c>
      <x:c r="B1103" t="str">
        <x:v>Sample Product 01102</x:v>
      </x:c>
      <x:c r="C1103" t="str">
        <x:v>Active</x:v>
      </x:c>
      <x:c r="D1103" t="str">
        <x:v>2026-05</x:v>
      </x:c>
      <x:c r="E1103" s="12" t="n">
        <x:v>8.58</x:v>
      </x:c>
      <x:c r="F1103" s="10" t="n">
        <x:v>0.269</x:v>
      </x:c>
      <x:c r="G1103" t="str">
        <x:v>Medical Devices</x:v>
      </x:c>
      <x:c r="H1103" t="str">
        <x:v>First Aid</x:v>
      </x:c>
      <x:c r="I1103" t="str">
        <x:v>MFG008</x:v>
      </x:c>
      <x:c r="J1103" t="str">
        <x:v>Manufacturer 008</x:v>
      </x:c>
      <x:c r="K1103" t="str">
        <x:v>SUP013</x:v>
      </x:c>
      <x:c r="L1103" t="str">
        <x:v>Supplier 013</x:v>
      </x:c>
      <x:c r="M1103" t="str">
        <x:v>REG-817053</x:v>
      </x:c>
      <x:c r="N1103" t="str">
        <x:v>Generic Ingredient 051</x:v>
      </x:c>
      <x:c r="O1103" t="str">
        <x:v>Pharmacy Only</x:v>
      </x:c>
      <x:c r="P1103" t="n">
        <x:v>20</x:v>
      </x:c>
      <x:c r="Q1103" t="n">
        <x:v>7</x:v>
      </x:c>
      <x:c r="R1103" t="n">
        <x:v>0</x:v>
      </x:c>
      <x:c r="S1103" s="12" t="n">
        <x:f>E1103*Q1103</x:f>
        <x:v>60.06</x:v>
      </x:c>
      <x:c r="T1103" s="12" t="n">
        <x:f>ROUND(S1103*F1103+0.000000001,2)</x:f>
        <x:v>16.16</x:v>
      </x:c>
      <x:c r="U1103" s="12" t="n">
        <x:f>E1103*R1103</x:f>
        <x:v>0</x:v>
      </x:c>
      <x:c r="V1103" t="str">
        <x:f>IF(AND(C1103="Active",Q1103=0),"Active Zero Sales","Not Zero Sales")</x:f>
        <x:v>Not Zero Sales</x:v>
      </x:c>
      <x:c r="W1103" s="12" t="n">
        <x:f>IF(V1103="Active Zero Sales",U1103,0)</x:f>
        <x:v>0</x:v>
      </x:c>
      <x:c r="X1103" t="str">
        <x:f>IF(E1103&lt;25,"Low &lt; 25",IF(E1103&lt;100,"Medium 25-99",IF(E1103&lt;300,"High 100-299","Premium 300+")))</x:f>
        <x:v>Low &lt; 25</x:v>
      </x:c>
      <x:c r="Y1103" t="n">
        <x:f>IF(C1103="Active",1,0)</x:f>
        <x:v>1</x:v>
      </x:c>
    </x:row>
    <x:row r="1104">
      <x:c r="A1104" t="str">
        <x:v>SKU01103</x:v>
      </x:c>
      <x:c r="B1104" t="str">
        <x:v>Sample Product 01103</x:v>
      </x:c>
      <x:c r="C1104" t="str">
        <x:v>Active</x:v>
      </x:c>
      <x:c r="D1104" t="str">
        <x:v>2026-03</x:v>
      </x:c>
      <x:c r="E1104" s="12" t="n">
        <x:v>262.69</x:v>
      </x:c>
      <x:c r="F1104" s="10" t="n">
        <x:v>0.34</x:v>
      </x:c>
      <x:c r="G1104" t="str">
        <x:v>OTC &amp; Wellness</x:v>
      </x:c>
      <x:c r="H1104" t="str">
        <x:v>Vitamins</x:v>
      </x:c>
      <x:c r="I1104" t="str">
        <x:v>MFG019</x:v>
      </x:c>
      <x:c r="J1104" t="str">
        <x:v>Manufacturer 019</x:v>
      </x:c>
      <x:c r="K1104" t="str">
        <x:v>SUP025</x:v>
      </x:c>
      <x:c r="L1104" t="str">
        <x:v>Supplier 025</x:v>
      </x:c>
      <x:c r="M1104" t="str">
        <x:v>REG-193262</x:v>
      </x:c>
      <x:c r="N1104" t="str">
        <x:v>Generic Ingredient 028</x:v>
      </x:c>
      <x:c r="O1104" t="str">
        <x:v>General Sale</x:v>
      </x:c>
      <x:c r="P1104" t="n">
        <x:v>0</x:v>
      </x:c>
      <x:c r="Q1104" t="n">
        <x:v>3</x:v>
      </x:c>
      <x:c r="R1104" t="n">
        <x:v>0</x:v>
      </x:c>
      <x:c r="S1104" s="12" t="n">
        <x:f>E1104*Q1104</x:f>
        <x:v>788.0699999999999</x:v>
      </x:c>
      <x:c r="T1104" s="12" t="n">
        <x:f>ROUND(S1104*F1104+0.000000001,2)</x:f>
        <x:v>267.94</x:v>
      </x:c>
      <x:c r="U1104" s="12" t="n">
        <x:f>E1104*R1104</x:f>
        <x:v>0</x:v>
      </x:c>
      <x:c r="V1104" t="str">
        <x:f>IF(AND(C1104="Active",Q1104=0),"Active Zero Sales","Not Zero Sales")</x:f>
        <x:v>Not Zero Sales</x:v>
      </x:c>
      <x:c r="W1104" s="12" t="n">
        <x:f>IF(V1104="Active Zero Sales",U1104,0)</x:f>
        <x:v>0</x:v>
      </x:c>
      <x:c r="X1104" t="str">
        <x:f>IF(E1104&lt;25,"Low &lt; 25",IF(E1104&lt;100,"Medium 25-99",IF(E1104&lt;300,"High 100-299","Premium 300+")))</x:f>
        <x:v>High 100-299</x:v>
      </x:c>
      <x:c r="Y1104" t="n">
        <x:f>IF(C1104="Active",1,0)</x:f>
        <x:v>1</x:v>
      </x:c>
    </x:row>
    <x:row r="1105">
      <x:c r="A1105" t="str">
        <x:v>SKU01104</x:v>
      </x:c>
      <x:c r="B1105" t="str">
        <x:v>Sample Product 01104</x:v>
      </x:c>
      <x:c r="C1105" t="str">
        <x:v>Blocked</x:v>
      </x:c>
      <x:c r="D1105" t="str">
        <x:v>2026-03</x:v>
      </x:c>
      <x:c r="E1105" s="12" t="n">
        <x:v>150.24</x:v>
      </x:c>
      <x:c r="F1105" s="10" t="n">
        <x:v>0.296</x:v>
      </x:c>
      <x:c r="G1105" t="str">
        <x:v>General Merchandise</x:v>
      </x:c>
      <x:c r="H1105" t="str">
        <x:v>Travel Health</x:v>
      </x:c>
      <x:c r="I1105" t="str">
        <x:v>MFG015</x:v>
      </x:c>
      <x:c r="J1105" t="str">
        <x:v>Manufacturer 015</x:v>
      </x:c>
      <x:c r="K1105" t="str">
        <x:v>SUP019</x:v>
      </x:c>
      <x:c r="L1105" t="str">
        <x:v>Supplier 019</x:v>
      </x:c>
      <x:c r="M1105" t="str">
        <x:v>REG-724634</x:v>
      </x:c>
      <x:c r="N1105" t="str">
        <x:v>Generic Ingredient 119</x:v>
      </x:c>
      <x:c r="O1105" t="str">
        <x:v>General Sale</x:v>
      </x:c>
      <x:c r="P1105" t="n">
        <x:v>31</x:v>
      </x:c>
      <x:c r="Q1105" t="n">
        <x:v>0</x:v>
      </x:c>
      <x:c r="R1105" t="n">
        <x:v>0</x:v>
      </x:c>
      <x:c r="S1105" s="12" t="n">
        <x:f>E1105*Q1105</x:f>
        <x:v>0</x:v>
      </x:c>
      <x:c r="T1105" s="12" t="n">
        <x:f>ROUND(S1105*F1105+0.000000001,2)</x:f>
        <x:v>0</x:v>
      </x:c>
      <x:c r="U1105" s="12" t="n">
        <x:f>E1105*R1105</x:f>
        <x:v>0</x:v>
      </x:c>
      <x:c r="V1105" t="str">
        <x:f>IF(AND(C1105="Active",Q1105=0),"Active Zero Sales","Not Zero Sales")</x:f>
        <x:v>Not Zero Sales</x:v>
      </x:c>
      <x:c r="W1105" s="12" t="n">
        <x:f>IF(V1105="Active Zero Sales",U1105,0)</x:f>
        <x:v>0</x:v>
      </x:c>
      <x:c r="X1105" t="str">
        <x:f>IF(E1105&lt;25,"Low &lt; 25",IF(E1105&lt;100,"Medium 25-99",IF(E1105&lt;300,"High 100-299","Premium 300+")))</x:f>
        <x:v>High 100-299</x:v>
      </x:c>
      <x:c r="Y1105" t="n">
        <x:f>IF(C1105="Active",1,0)</x:f>
        <x:v>0</x:v>
      </x:c>
    </x:row>
    <x:row r="1106">
      <x:c r="A1106" t="str">
        <x:v>SKU01105</x:v>
      </x:c>
      <x:c r="B1106" t="str">
        <x:v>Sample Product 01105</x:v>
      </x:c>
      <x:c r="C1106" t="str">
        <x:v>Active</x:v>
      </x:c>
      <x:c r="D1106" t="str">
        <x:v>2026-01</x:v>
      </x:c>
      <x:c r="E1106" s="12" t="n">
        <x:v>79.15</x:v>
      </x:c>
      <x:c r="F1106" s="10" t="n">
        <x:v>0.324</x:v>
      </x:c>
      <x:c r="G1106" t="str">
        <x:v>OTC &amp; Wellness</x:v>
      </x:c>
      <x:c r="H1106" t="str">
        <x:v>Pain Relief</x:v>
      </x:c>
      <x:c r="I1106" t="str">
        <x:v>MFG008</x:v>
      </x:c>
      <x:c r="J1106" t="str">
        <x:v>Manufacturer 008</x:v>
      </x:c>
      <x:c r="K1106" t="str">
        <x:v>SUP022</x:v>
      </x:c>
      <x:c r="L1106" t="str">
        <x:v>Supplier 022</x:v>
      </x:c>
      <x:c r="M1106" t="str">
        <x:v>REG-631309</x:v>
      </x:c>
      <x:c r="N1106" t="str">
        <x:v>Generic Ingredient 118</x:v>
      </x:c>
      <x:c r="O1106" t="str">
        <x:v>General Sale</x:v>
      </x:c>
      <x:c r="P1106" t="n">
        <x:v>104</x:v>
      </x:c>
      <x:c r="Q1106" t="n">
        <x:v>43</x:v>
      </x:c>
      <x:c r="R1106" t="n">
        <x:v>30</x:v>
      </x:c>
      <x:c r="S1106" s="12" t="n">
        <x:f>E1106*Q1106</x:f>
        <x:v>3403.4500000000003</x:v>
      </x:c>
      <x:c r="T1106" s="12" t="n">
        <x:f>ROUND(S1106*F1106+0.000000001,2)</x:f>
        <x:v>1102.72</x:v>
      </x:c>
      <x:c r="U1106" s="12" t="n">
        <x:f>E1106*R1106</x:f>
        <x:v>2374.5</x:v>
      </x:c>
      <x:c r="V1106" t="str">
        <x:f>IF(AND(C1106="Active",Q1106=0),"Active Zero Sales","Not Zero Sales")</x:f>
        <x:v>Not Zero Sales</x:v>
      </x:c>
      <x:c r="W1106" s="12" t="n">
        <x:f>IF(V1106="Active Zero Sales",U1106,0)</x:f>
        <x:v>0</x:v>
      </x:c>
      <x:c r="X1106" t="str">
        <x:f>IF(E1106&lt;25,"Low &lt; 25",IF(E1106&lt;100,"Medium 25-99",IF(E1106&lt;300,"High 100-299","Premium 300+")))</x:f>
        <x:v>Medium 25-99</x:v>
      </x:c>
      <x:c r="Y1106" t="n">
        <x:f>IF(C1106="Active",1,0)</x:f>
        <x:v>1</x:v>
      </x:c>
    </x:row>
    <x:row r="1107">
      <x:c r="A1107" t="str">
        <x:v>SKU01106</x:v>
      </x:c>
      <x:c r="B1107" t="str">
        <x:v>Sample Product 01106</x:v>
      </x:c>
      <x:c r="C1107" t="str">
        <x:v>Blocked</x:v>
      </x:c>
      <x:c r="D1107" t="str">
        <x:v>2026-06</x:v>
      </x:c>
      <x:c r="E1107" s="12" t="n">
        <x:v>156.55</x:v>
      </x:c>
      <x:c r="F1107" s="10" t="n">
        <x:v>0.269</x:v>
      </x:c>
      <x:c r="G1107" t="str">
        <x:v>Medical Devices</x:v>
      </x:c>
      <x:c r="H1107" t="str">
        <x:v>First Aid</x:v>
      </x:c>
      <x:c r="I1107" t="str">
        <x:v>MFG005</x:v>
      </x:c>
      <x:c r="J1107" t="str">
        <x:v>Manufacturer 005</x:v>
      </x:c>
      <x:c r="K1107" t="str">
        <x:v>SUP017</x:v>
      </x:c>
      <x:c r="L1107" t="str">
        <x:v>Supplier 017</x:v>
      </x:c>
      <x:c r="M1107" t="str">
        <x:v>REG-361685</x:v>
      </x:c>
      <x:c r="N1107" t="str">
        <x:v>Generic Ingredient 024</x:v>
      </x:c>
      <x:c r="O1107" t="str">
        <x:v>Pharmacy Only</x:v>
      </x:c>
      <x:c r="P1107" t="n">
        <x:v>34</x:v>
      </x:c>
      <x:c r="Q1107" t="n">
        <x:v>0</x:v>
      </x:c>
      <x:c r="R1107" t="n">
        <x:v>0</x:v>
      </x:c>
      <x:c r="S1107" s="12" t="n">
        <x:f>E1107*Q1107</x:f>
        <x:v>0</x:v>
      </x:c>
      <x:c r="T1107" s="12" t="n">
        <x:f>ROUND(S1107*F1107+0.000000001,2)</x:f>
        <x:v>0</x:v>
      </x:c>
      <x:c r="U1107" s="12" t="n">
        <x:f>E1107*R1107</x:f>
        <x:v>0</x:v>
      </x:c>
      <x:c r="V1107" t="str">
        <x:f>IF(AND(C1107="Active",Q1107=0),"Active Zero Sales","Not Zero Sales")</x:f>
        <x:v>Not Zero Sales</x:v>
      </x:c>
      <x:c r="W1107" s="12" t="n">
        <x:f>IF(V1107="Active Zero Sales",U1107,0)</x:f>
        <x:v>0</x:v>
      </x:c>
      <x:c r="X1107" t="str">
        <x:f>IF(E1107&lt;25,"Low &lt; 25",IF(E1107&lt;100,"Medium 25-99",IF(E1107&lt;300,"High 100-299","Premium 300+")))</x:f>
        <x:v>High 100-299</x:v>
      </x:c>
      <x:c r="Y1107" t="n">
        <x:f>IF(C1107="Active",1,0)</x:f>
        <x:v>0</x:v>
      </x:c>
    </x:row>
    <x:row r="1108">
      <x:c r="A1108" t="str">
        <x:v>SKU01107</x:v>
      </x:c>
      <x:c r="B1108" t="str">
        <x:v>Sample Product 01107</x:v>
      </x:c>
      <x:c r="C1108" t="str">
        <x:v>Active</x:v>
      </x:c>
      <x:c r="D1108" t="str">
        <x:v>2026-04</x:v>
      </x:c>
      <x:c r="E1108" s="12" t="n">
        <x:v>277.16</x:v>
      </x:c>
      <x:c r="F1108" s="10" t="n">
        <x:v>0.315</x:v>
      </x:c>
      <x:c r="G1108" t="str">
        <x:v>Nutrition</x:v>
      </x:c>
      <x:c r="H1108" t="str">
        <x:v>Hydration</x:v>
      </x:c>
      <x:c r="I1108" t="str">
        <x:v>MFG017</x:v>
      </x:c>
      <x:c r="J1108" t="str">
        <x:v>Manufacturer 017</x:v>
      </x:c>
      <x:c r="K1108" t="str">
        <x:v>SUP004</x:v>
      </x:c>
      <x:c r="L1108" t="str">
        <x:v>Supplier 004</x:v>
      </x:c>
      <x:c r="M1108" t="str">
        <x:v>REG-137825</x:v>
      </x:c>
      <x:c r="N1108" t="str">
        <x:v>Generic Ingredient 091</x:v>
      </x:c>
      <x:c r="O1108" t="str">
        <x:v>General Sale</x:v>
      </x:c>
      <x:c r="P1108" t="n">
        <x:v>40</x:v>
      </x:c>
      <x:c r="Q1108" t="n">
        <x:v>0</x:v>
      </x:c>
      <x:c r="R1108" t="n">
        <x:v>18</x:v>
      </x:c>
      <x:c r="S1108" s="12" t="n">
        <x:f>E1108*Q1108</x:f>
        <x:v>0</x:v>
      </x:c>
      <x:c r="T1108" s="12" t="n">
        <x:f>ROUND(S1108*F1108+0.000000001,2)</x:f>
        <x:v>0</x:v>
      </x:c>
      <x:c r="U1108" s="12" t="n">
        <x:f>E1108*R1108</x:f>
        <x:v>4988.88</x:v>
      </x:c>
      <x:c r="V1108" t="str">
        <x:f>IF(AND(C1108="Active",Q1108=0),"Active Zero Sales","Not Zero Sales")</x:f>
        <x:v>Active Zero Sales</x:v>
      </x:c>
      <x:c r="W1108" s="12" t="n">
        <x:f>IF(V1108="Active Zero Sales",U1108,0)</x:f>
        <x:v>4988.88</x:v>
      </x:c>
      <x:c r="X1108" t="str">
        <x:f>IF(E1108&lt;25,"Low &lt; 25",IF(E1108&lt;100,"Medium 25-99",IF(E1108&lt;300,"High 100-299","Premium 300+")))</x:f>
        <x:v>High 100-299</x:v>
      </x:c>
      <x:c r="Y1108" t="n">
        <x:f>IF(C1108="Active",1,0)</x:f>
        <x:v>1</x:v>
      </x:c>
    </x:row>
    <x:row r="1109">
      <x:c r="A1109" t="str">
        <x:v>SKU01108</x:v>
      </x:c>
      <x:c r="B1109" t="str">
        <x:v>Sample Product 01108</x:v>
      </x:c>
      <x:c r="C1109" t="str">
        <x:v>Active</x:v>
      </x:c>
      <x:c r="D1109" t="str">
        <x:v>2026-02</x:v>
      </x:c>
      <x:c r="E1109" s="12" t="n">
        <x:v>119.39</x:v>
      </x:c>
      <x:c r="F1109" s="10" t="n">
        <x:v>0.34</x:v>
      </x:c>
      <x:c r="G1109" t="str">
        <x:v>Nutrition</x:v>
      </x:c>
      <x:c r="H1109" t="str">
        <x:v>Adult Nutrition</x:v>
      </x:c>
      <x:c r="I1109" t="str">
        <x:v>MFG011</x:v>
      </x:c>
      <x:c r="J1109" t="str">
        <x:v>Manufacturer 011</x:v>
      </x:c>
      <x:c r="K1109" t="str">
        <x:v>SUP014</x:v>
      </x:c>
      <x:c r="L1109" t="str">
        <x:v>Supplier 014</x:v>
      </x:c>
      <x:c r="M1109" t="str">
        <x:v>REG-215316</x:v>
      </x:c>
      <x:c r="N1109" t="str">
        <x:v>Generic Ingredient 080</x:v>
      </x:c>
      <x:c r="O1109" t="str">
        <x:v>Pharmacy Only</x:v>
      </x:c>
      <x:c r="P1109" t="n">
        <x:v>116</x:v>
      </x:c>
      <x:c r="Q1109" t="n">
        <x:v>62</x:v>
      </x:c>
      <x:c r="R1109" t="n">
        <x:v>26</x:v>
      </x:c>
      <x:c r="S1109" s="12" t="n">
        <x:f>E1109*Q1109</x:f>
        <x:v>7402.18</x:v>
      </x:c>
      <x:c r="T1109" s="12" t="n">
        <x:f>ROUND(S1109*F1109+0.000000001,2)</x:f>
        <x:v>2516.74</x:v>
      </x:c>
      <x:c r="U1109" s="12" t="n">
        <x:f>E1109*R1109</x:f>
        <x:v>3104.14</x:v>
      </x:c>
      <x:c r="V1109" t="str">
        <x:f>IF(AND(C1109="Active",Q1109=0),"Active Zero Sales","Not Zero Sales")</x:f>
        <x:v>Not Zero Sales</x:v>
      </x:c>
      <x:c r="W1109" s="12" t="n">
        <x:f>IF(V1109="Active Zero Sales",U1109,0)</x:f>
        <x:v>0</x:v>
      </x:c>
      <x:c r="X1109" t="str">
        <x:f>IF(E1109&lt;25,"Low &lt; 25",IF(E1109&lt;100,"Medium 25-99",IF(E1109&lt;300,"High 100-299","Premium 300+")))</x:f>
        <x:v>High 100-299</x:v>
      </x:c>
      <x:c r="Y1109" t="n">
        <x:f>IF(C1109="Active",1,0)</x:f>
        <x:v>1</x:v>
      </x:c>
    </x:row>
    <x:row r="1110">
      <x:c r="A1110" t="str">
        <x:v>SKU01109</x:v>
      </x:c>
      <x:c r="B1110" t="str">
        <x:v>Sample Product 01109</x:v>
      </x:c>
      <x:c r="C1110" t="str">
        <x:v>Blocked</x:v>
      </x:c>
      <x:c r="D1110" t="str">
        <x:v>2026-04</x:v>
      </x:c>
      <x:c r="E1110" s="12" t="n">
        <x:v>97.58</x:v>
      </x:c>
      <x:c r="F1110" s="10" t="n">
        <x:v>0.32</x:v>
      </x:c>
      <x:c r="G1110" t="str">
        <x:v>General Merchandise</x:v>
      </x:c>
      <x:c r="H1110" t="str">
        <x:v>Accessories</x:v>
      </x:c>
      <x:c r="I1110" t="str">
        <x:v>MFG017</x:v>
      </x:c>
      <x:c r="J1110" t="str">
        <x:v>Manufacturer 017</x:v>
      </x:c>
      <x:c r="K1110" t="str">
        <x:v>SUP020</x:v>
      </x:c>
      <x:c r="L1110" t="str">
        <x:v>Supplier 020</x:v>
      </x:c>
      <x:c r="M1110" t="str">
        <x:v>REG-369337</x:v>
      </x:c>
      <x:c r="N1110" t="str">
        <x:v>Generic Ingredient 160</x:v>
      </x:c>
      <x:c r="O1110" t="str">
        <x:v>General Sale</x:v>
      </x:c>
      <x:c r="P1110" t="n">
        <x:v>0</x:v>
      </x:c>
      <x:c r="Q1110" t="n">
        <x:v>0</x:v>
      </x:c>
      <x:c r="R1110" t="n">
        <x:v>0</x:v>
      </x:c>
      <x:c r="S1110" s="12" t="n">
        <x:f>E1110*Q1110</x:f>
        <x:v>0</x:v>
      </x:c>
      <x:c r="T1110" s="12" t="n">
        <x:f>ROUND(S1110*F1110+0.000000001,2)</x:f>
        <x:v>0</x:v>
      </x:c>
      <x:c r="U1110" s="12" t="n">
        <x:f>E1110*R1110</x:f>
        <x:v>0</x:v>
      </x:c>
      <x:c r="V1110" t="str">
        <x:f>IF(AND(C1110="Active",Q1110=0),"Active Zero Sales","Not Zero Sales")</x:f>
        <x:v>Not Zero Sales</x:v>
      </x:c>
      <x:c r="W1110" s="12" t="n">
        <x:f>IF(V1110="Active Zero Sales",U1110,0)</x:f>
        <x:v>0</x:v>
      </x:c>
      <x:c r="X1110" t="str">
        <x:f>IF(E1110&lt;25,"Low &lt; 25",IF(E1110&lt;100,"Medium 25-99",IF(E1110&lt;300,"High 100-299","Premium 300+")))</x:f>
        <x:v>Medium 25-99</x:v>
      </x:c>
      <x:c r="Y1110" t="n">
        <x:f>IF(C1110="Active",1,0)</x:f>
        <x:v>0</x:v>
      </x:c>
    </x:row>
    <x:row r="1111">
      <x:c r="A1111" t="str">
        <x:v>SKU01110</x:v>
      </x:c>
      <x:c r="B1111" t="str">
        <x:v>Sample Product 01110</x:v>
      </x:c>
      <x:c r="C1111" t="str">
        <x:v>Blocked</x:v>
      </x:c>
      <x:c r="D1111" t="str">
        <x:v>2026-06</x:v>
      </x:c>
      <x:c r="E1111" s="12" t="n">
        <x:v>354.97</x:v>
      </x:c>
      <x:c r="F1111" s="10" t="n">
        <x:v>0.459</x:v>
      </x:c>
      <x:c r="G1111" t="str">
        <x:v>General Merchandise</x:v>
      </x:c>
      <x:c r="H1111" t="str">
        <x:v>Seasonal Care</x:v>
      </x:c>
      <x:c r="I1111" t="str">
        <x:v>MFG020</x:v>
      </x:c>
      <x:c r="J1111" t="str">
        <x:v>Manufacturer 020</x:v>
      </x:c>
      <x:c r="K1111" t="str">
        <x:v>SUP014</x:v>
      </x:c>
      <x:c r="L1111" t="str">
        <x:v>Supplier 014</x:v>
      </x:c>
      <x:c r="M1111" t="str">
        <x:v>REG-386592</x:v>
      </x:c>
      <x:c r="N1111" t="str">
        <x:v>Generic Ingredient 067</x:v>
      </x:c>
      <x:c r="O1111" t="str">
        <x:v>General Sale</x:v>
      </x:c>
      <x:c r="P1111" t="n">
        <x:v>26</x:v>
      </x:c>
      <x:c r="Q1111" t="n">
        <x:v>0</x:v>
      </x:c>
      <x:c r="R1111" t="n">
        <x:v>0</x:v>
      </x:c>
      <x:c r="S1111" s="12" t="n">
        <x:f>E1111*Q1111</x:f>
        <x:v>0</x:v>
      </x:c>
      <x:c r="T1111" s="12" t="n">
        <x:f>ROUND(S1111*F1111+0.000000001,2)</x:f>
        <x:v>0</x:v>
      </x:c>
      <x:c r="U1111" s="12" t="n">
        <x:f>E1111*R1111</x:f>
        <x:v>0</x:v>
      </x:c>
      <x:c r="V1111" t="str">
        <x:f>IF(AND(C1111="Active",Q1111=0),"Active Zero Sales","Not Zero Sales")</x:f>
        <x:v>Not Zero Sales</x:v>
      </x:c>
      <x:c r="W1111" s="12" t="n">
        <x:f>IF(V1111="Active Zero Sales",U1111,0)</x:f>
        <x:v>0</x:v>
      </x:c>
      <x:c r="X1111" t="str">
        <x:f>IF(E1111&lt;25,"Low &lt; 25",IF(E1111&lt;100,"Medium 25-99",IF(E1111&lt;300,"High 100-299","Premium 300+")))</x:f>
        <x:v>Premium 300+</x:v>
      </x:c>
      <x:c r="Y1111" t="n">
        <x:f>IF(C1111="Active",1,0)</x:f>
        <x:v>0</x:v>
      </x:c>
    </x:row>
    <x:row r="1112">
      <x:c r="A1112" t="str">
        <x:v>SKU01111</x:v>
      </x:c>
      <x:c r="B1112" t="str">
        <x:v>Sample Product 01111</x:v>
      </x:c>
      <x:c r="C1112" t="str">
        <x:v>Blocked</x:v>
      </x:c>
      <x:c r="D1112" t="str">
        <x:v>2026-03</x:v>
      </x:c>
      <x:c r="E1112" s="12" t="n">
        <x:v>26.45</x:v>
      </x:c>
      <x:c r="F1112" s="10" t="n">
        <x:v>0.236</x:v>
      </x:c>
      <x:c r="G1112" t="str">
        <x:v>Medical Devices</x:v>
      </x:c>
      <x:c r="H1112" t="str">
        <x:v>Monitoring Supplies</x:v>
      </x:c>
      <x:c r="I1112" t="str">
        <x:v>MFG003</x:v>
      </x:c>
      <x:c r="J1112" t="str">
        <x:v>Manufacturer 003</x:v>
      </x:c>
      <x:c r="K1112" t="str">
        <x:v>SUP009</x:v>
      </x:c>
      <x:c r="L1112" t="str">
        <x:v>Supplier 009</x:v>
      </x:c>
      <x:c r="M1112" t="str">
        <x:v>REG-893181</x:v>
      </x:c>
      <x:c r="N1112" t="str">
        <x:v>Generic Ingredient 179</x:v>
      </x:c>
      <x:c r="O1112" t="str">
        <x:v>Pharmacy Only</x:v>
      </x:c>
      <x:c r="P1112" t="n">
        <x:v>6</x:v>
      </x:c>
      <x:c r="Q1112" t="n">
        <x:v>0</x:v>
      </x:c>
      <x:c r="R1112" t="n">
        <x:v>0</x:v>
      </x:c>
      <x:c r="S1112" s="12" t="n">
        <x:f>E1112*Q1112</x:f>
        <x:v>0</x:v>
      </x:c>
      <x:c r="T1112" s="12" t="n">
        <x:f>ROUND(S1112*F1112+0.000000001,2)</x:f>
        <x:v>0</x:v>
      </x:c>
      <x:c r="U1112" s="12" t="n">
        <x:f>E1112*R1112</x:f>
        <x:v>0</x:v>
      </x:c>
      <x:c r="V1112" t="str">
        <x:f>IF(AND(C1112="Active",Q1112=0),"Active Zero Sales","Not Zero Sales")</x:f>
        <x:v>Not Zero Sales</x:v>
      </x:c>
      <x:c r="W1112" s="12" t="n">
        <x:f>IF(V1112="Active Zero Sales",U1112,0)</x:f>
        <x:v>0</x:v>
      </x:c>
      <x:c r="X1112" t="str">
        <x:f>IF(E1112&lt;25,"Low &lt; 25",IF(E1112&lt;100,"Medium 25-99",IF(E1112&lt;300,"High 100-299","Premium 300+")))</x:f>
        <x:v>Medium 25-99</x:v>
      </x:c>
      <x:c r="Y1112" t="n">
        <x:f>IF(C1112="Active",1,0)</x:f>
        <x:v>0</x:v>
      </x:c>
    </x:row>
    <x:row r="1113">
      <x:c r="A1113" t="str">
        <x:v>SKU01112</x:v>
      </x:c>
      <x:c r="B1113" t="str">
        <x:v>Sample Product 01112</x:v>
      </x:c>
      <x:c r="C1113" t="str">
        <x:v>Active</x:v>
      </x:c>
      <x:c r="D1113" t="str">
        <x:v>2026-01</x:v>
      </x:c>
      <x:c r="E1113" s="12" t="n">
        <x:v>244.76</x:v>
      </x:c>
      <x:c r="F1113" s="10" t="n">
        <x:v>0.327</x:v>
      </x:c>
      <x:c r="G1113" t="str">
        <x:v>Personal Care</x:v>
      </x:c>
      <x:c r="H1113" t="str">
        <x:v>Hair Care</x:v>
      </x:c>
      <x:c r="I1113" t="str">
        <x:v>MFG010</x:v>
      </x:c>
      <x:c r="J1113" t="str">
        <x:v>Manufacturer 010</x:v>
      </x:c>
      <x:c r="K1113" t="str">
        <x:v>SUP009</x:v>
      </x:c>
      <x:c r="L1113" t="str">
        <x:v>Supplier 009</x:v>
      </x:c>
      <x:c r="M1113" t="str">
        <x:v>REG-439548</x:v>
      </x:c>
      <x:c r="N1113" t="str">
        <x:v>Generic Ingredient 121</x:v>
      </x:c>
      <x:c r="O1113" t="str">
        <x:v>Pharmacy Only</x:v>
      </x:c>
      <x:c r="P1113" t="n">
        <x:v>64</x:v>
      </x:c>
      <x:c r="Q1113" t="n">
        <x:v>32</x:v>
      </x:c>
      <x:c r="R1113" t="n">
        <x:v>0</x:v>
      </x:c>
      <x:c r="S1113" s="12" t="n">
        <x:f>E1113*Q1113</x:f>
        <x:v>7832.32</x:v>
      </x:c>
      <x:c r="T1113" s="12" t="n">
        <x:f>ROUND(S1113*F1113+0.000000001,2)</x:f>
        <x:v>2561.17</x:v>
      </x:c>
      <x:c r="U1113" s="12" t="n">
        <x:f>E1113*R1113</x:f>
        <x:v>0</x:v>
      </x:c>
      <x:c r="V1113" t="str">
        <x:f>IF(AND(C1113="Active",Q1113=0),"Active Zero Sales","Not Zero Sales")</x:f>
        <x:v>Not Zero Sales</x:v>
      </x:c>
      <x:c r="W1113" s="12" t="n">
        <x:f>IF(V1113="Active Zero Sales",U1113,0)</x:f>
        <x:v>0</x:v>
      </x:c>
      <x:c r="X1113" t="str">
        <x:f>IF(E1113&lt;25,"Low &lt; 25",IF(E1113&lt;100,"Medium 25-99",IF(E1113&lt;300,"High 100-299","Premium 300+")))</x:f>
        <x:v>High 100-299</x:v>
      </x:c>
      <x:c r="Y1113" t="n">
        <x:f>IF(C1113="Active",1,0)</x:f>
        <x:v>1</x:v>
      </x:c>
    </x:row>
    <x:row r="1114">
      <x:c r="A1114" t="str">
        <x:v>SKU01113</x:v>
      </x:c>
      <x:c r="B1114" t="str">
        <x:v>Sample Product 01113</x:v>
      </x:c>
      <x:c r="C1114" t="str">
        <x:v>Active</x:v>
      </x:c>
      <x:c r="D1114" t="str">
        <x:v>2026-01</x:v>
      </x:c>
      <x:c r="E1114" s="12" t="n">
        <x:v>10.18</x:v>
      </x:c>
      <x:c r="F1114" s="10" t="n">
        <x:v>0.392</x:v>
      </x:c>
      <x:c r="G1114" t="str">
        <x:v>Medical Devices</x:v>
      </x:c>
      <x:c r="H1114" t="str">
        <x:v>Home Diagnostics</x:v>
      </x:c>
      <x:c r="I1114" t="str">
        <x:v>MFG010</x:v>
      </x:c>
      <x:c r="J1114" t="str">
        <x:v>Manufacturer 010</x:v>
      </x:c>
      <x:c r="K1114" t="str">
        <x:v>SUP003</x:v>
      </x:c>
      <x:c r="L1114" t="str">
        <x:v>Supplier 003</x:v>
      </x:c>
      <x:c r="M1114" t="str">
        <x:v>REG-407791</x:v>
      </x:c>
      <x:c r="N1114" t="str">
        <x:v>Generic Ingredient 023</x:v>
      </x:c>
      <x:c r="O1114" t="str">
        <x:v>General Sale</x:v>
      </x:c>
      <x:c r="P1114" t="n">
        <x:v>97</x:v>
      </x:c>
      <x:c r="Q1114" t="n">
        <x:v>68</x:v>
      </x:c>
      <x:c r="R1114" t="n">
        <x:v>23</x:v>
      </x:c>
      <x:c r="S1114" s="12" t="n">
        <x:f>E1114*Q1114</x:f>
        <x:v>692.24</x:v>
      </x:c>
      <x:c r="T1114" s="12" t="n">
        <x:f>ROUND(S1114*F1114+0.000000001,2)</x:f>
        <x:v>271.36</x:v>
      </x:c>
      <x:c r="U1114" s="12" t="n">
        <x:f>E1114*R1114</x:f>
        <x:v>234.14</x:v>
      </x:c>
      <x:c r="V1114" t="str">
        <x:f>IF(AND(C1114="Active",Q1114=0),"Active Zero Sales","Not Zero Sales")</x:f>
        <x:v>Not Zero Sales</x:v>
      </x:c>
      <x:c r="W1114" s="12" t="n">
        <x:f>IF(V1114="Active Zero Sales",U1114,0)</x:f>
        <x:v>0</x:v>
      </x:c>
      <x:c r="X1114" t="str">
        <x:f>IF(E1114&lt;25,"Low &lt; 25",IF(E1114&lt;100,"Medium 25-99",IF(E1114&lt;300,"High 100-299","Premium 300+")))</x:f>
        <x:v>Low &lt; 25</x:v>
      </x:c>
      <x:c r="Y1114" t="n">
        <x:f>IF(C1114="Active",1,0)</x:f>
        <x:v>1</x:v>
      </x:c>
    </x:row>
    <x:row r="1115">
      <x:c r="A1115" t="str">
        <x:v>SKU01114</x:v>
      </x:c>
      <x:c r="B1115" t="str">
        <x:v>Sample Product 01114</x:v>
      </x:c>
      <x:c r="C1115" t="str">
        <x:v>Blocked</x:v>
      </x:c>
      <x:c r="D1115" t="str">
        <x:v>2026-02</x:v>
      </x:c>
      <x:c r="E1115" s="12" t="n">
        <x:v>24.54</x:v>
      </x:c>
      <x:c r="F1115" s="10" t="n">
        <x:v>0.36</x:v>
      </x:c>
      <x:c r="G1115" t="str">
        <x:v>Personal Care</x:v>
      </x:c>
      <x:c r="H1115" t="str">
        <x:v>Hair Care</x:v>
      </x:c>
      <x:c r="I1115" t="str">
        <x:v>MFG011</x:v>
      </x:c>
      <x:c r="J1115" t="str">
        <x:v>Manufacturer 011</x:v>
      </x:c>
      <x:c r="K1115" t="str">
        <x:v>SUP002</x:v>
      </x:c>
      <x:c r="L1115" t="str">
        <x:v>Supplier 002</x:v>
      </x:c>
      <x:c r="M1115" t="str">
        <x:v>REG-852708</x:v>
      </x:c>
      <x:c r="N1115" t="str">
        <x:v>Generic Ingredient 005</x:v>
      </x:c>
      <x:c r="O1115" t="str">
        <x:v>General Sale</x:v>
      </x:c>
      <x:c r="P1115" t="n">
        <x:v>36</x:v>
      </x:c>
      <x:c r="Q1115" t="n">
        <x:v>0</x:v>
      </x:c>
      <x:c r="R1115" t="n">
        <x:v>9</x:v>
      </x:c>
      <x:c r="S1115" s="12" t="n">
        <x:f>E1115*Q1115</x:f>
        <x:v>0</x:v>
      </x:c>
      <x:c r="T1115" s="12" t="n">
        <x:f>ROUND(S1115*F1115+0.000000001,2)</x:f>
        <x:v>0</x:v>
      </x:c>
      <x:c r="U1115" s="12" t="n">
        <x:f>E1115*R1115</x:f>
        <x:v>220.85999999999999</x:v>
      </x:c>
      <x:c r="V1115" t="str">
        <x:f>IF(AND(C1115="Active",Q1115=0),"Active Zero Sales","Not Zero Sales")</x:f>
        <x:v>Not Zero Sales</x:v>
      </x:c>
      <x:c r="W1115" s="12" t="n">
        <x:f>IF(V1115="Active Zero Sales",U1115,0)</x:f>
        <x:v>0</x:v>
      </x:c>
      <x:c r="X1115" t="str">
        <x:f>IF(E1115&lt;25,"Low &lt; 25",IF(E1115&lt;100,"Medium 25-99",IF(E1115&lt;300,"High 100-299","Premium 300+")))</x:f>
        <x:v>Low &lt; 25</x:v>
      </x:c>
      <x:c r="Y1115" t="n">
        <x:f>IF(C1115="Active",1,0)</x:f>
        <x:v>0</x:v>
      </x:c>
    </x:row>
    <x:row r="1116">
      <x:c r="A1116" t="str">
        <x:v>SKU01115</x:v>
      </x:c>
      <x:c r="B1116" t="str">
        <x:v>Sample Product 01115</x:v>
      </x:c>
      <x:c r="C1116" t="str">
        <x:v>Active</x:v>
      </x:c>
      <x:c r="D1116" t="str">
        <x:v>2026-05</x:v>
      </x:c>
      <x:c r="E1116" s="12" t="n">
        <x:v>8.84</x:v>
      </x:c>
      <x:c r="F1116" s="10" t="n">
        <x:v>0.317</x:v>
      </x:c>
      <x:c r="G1116" t="str">
        <x:v>General Merchandise</x:v>
      </x:c>
      <x:c r="H1116" t="str">
        <x:v>Travel Health</x:v>
      </x:c>
      <x:c r="I1116" t="str">
        <x:v>MFG020</x:v>
      </x:c>
      <x:c r="J1116" t="str">
        <x:v>Manufacturer 020</x:v>
      </x:c>
      <x:c r="K1116" t="str">
        <x:v>SUP019</x:v>
      </x:c>
      <x:c r="L1116" t="str">
        <x:v>Supplier 019</x:v>
      </x:c>
      <x:c r="M1116" t="str">
        <x:v>REG-665434</x:v>
      </x:c>
      <x:c r="N1116" t="str">
        <x:v>Generic Ingredient 078</x:v>
      </x:c>
      <x:c r="O1116" t="str">
        <x:v>Pharmacy Only</x:v>
      </x:c>
      <x:c r="P1116" t="n">
        <x:v>36</x:v>
      </x:c>
      <x:c r="Q1116" t="n">
        <x:v>12</x:v>
      </x:c>
      <x:c r="R1116" t="n">
        <x:v>0</x:v>
      </x:c>
      <x:c r="S1116" s="12" t="n">
        <x:f>E1116*Q1116</x:f>
        <x:v>106.08</x:v>
      </x:c>
      <x:c r="T1116" s="12" t="n">
        <x:f>ROUND(S1116*F1116+0.000000001,2)</x:f>
        <x:v>33.63</x:v>
      </x:c>
      <x:c r="U1116" s="12" t="n">
        <x:f>E1116*R1116</x:f>
        <x:v>0</x:v>
      </x:c>
      <x:c r="V1116" t="str">
        <x:f>IF(AND(C1116="Active",Q1116=0),"Active Zero Sales","Not Zero Sales")</x:f>
        <x:v>Not Zero Sales</x:v>
      </x:c>
      <x:c r="W1116" s="12" t="n">
        <x:f>IF(V1116="Active Zero Sales",U1116,0)</x:f>
        <x:v>0</x:v>
      </x:c>
      <x:c r="X1116" t="str">
        <x:f>IF(E1116&lt;25,"Low &lt; 25",IF(E1116&lt;100,"Medium 25-99",IF(E1116&lt;300,"High 100-299","Premium 300+")))</x:f>
        <x:v>Low &lt; 25</x:v>
      </x:c>
      <x:c r="Y1116" t="n">
        <x:f>IF(C1116="Active",1,0)</x:f>
        <x:v>1</x:v>
      </x:c>
    </x:row>
    <x:row r="1117">
      <x:c r="A1117" t="str">
        <x:v>SKU01116</x:v>
      </x:c>
      <x:c r="B1117" t="str">
        <x:v>Sample Product 01116</x:v>
      </x:c>
      <x:c r="C1117" t="str">
        <x:v>Active</x:v>
      </x:c>
      <x:c r="D1117" t="str">
        <x:v>2026-03</x:v>
      </x:c>
      <x:c r="E1117" s="12" t="n">
        <x:v>19.24</x:v>
      </x:c>
      <x:c r="F1117" s="10" t="n">
        <x:v>0.411</x:v>
      </x:c>
      <x:c r="G1117" t="str">
        <x:v>Nutrition</x:v>
      </x:c>
      <x:c r="H1117" t="str">
        <x:v>Healthy Snacks</x:v>
      </x:c>
      <x:c r="I1117" t="str">
        <x:v>MFG002</x:v>
      </x:c>
      <x:c r="J1117" t="str">
        <x:v>Manufacturer 002</x:v>
      </x:c>
      <x:c r="K1117" t="str">
        <x:v>SUP007</x:v>
      </x:c>
      <x:c r="L1117" t="str">
        <x:v>Supplier 007</x:v>
      </x:c>
      <x:c r="M1117" t="str">
        <x:v>REG-385498</x:v>
      </x:c>
      <x:c r="N1117" t="str">
        <x:v>Generic Ingredient 160</x:v>
      </x:c>
      <x:c r="O1117" t="str">
        <x:v>General Sale</x:v>
      </x:c>
      <x:c r="P1117" t="n">
        <x:v>79</x:v>
      </x:c>
      <x:c r="Q1117" t="n">
        <x:v>29</x:v>
      </x:c>
      <x:c r="R1117" t="n">
        <x:v>0</x:v>
      </x:c>
      <x:c r="S1117" s="12" t="n">
        <x:f>E1117*Q1117</x:f>
        <x:v>557.9599999999999</x:v>
      </x:c>
      <x:c r="T1117" s="12" t="n">
        <x:f>ROUND(S1117*F1117+0.000000001,2)</x:f>
        <x:v>229.32</x:v>
      </x:c>
      <x:c r="U1117" s="12" t="n">
        <x:f>E1117*R1117</x:f>
        <x:v>0</x:v>
      </x:c>
      <x:c r="V1117" t="str">
        <x:f>IF(AND(C1117="Active",Q1117=0),"Active Zero Sales","Not Zero Sales")</x:f>
        <x:v>Not Zero Sales</x:v>
      </x:c>
      <x:c r="W1117" s="12" t="n">
        <x:f>IF(V1117="Active Zero Sales",U1117,0)</x:f>
        <x:v>0</x:v>
      </x:c>
      <x:c r="X1117" t="str">
        <x:f>IF(E1117&lt;25,"Low &lt; 25",IF(E1117&lt;100,"Medium 25-99",IF(E1117&lt;300,"High 100-299","Premium 300+")))</x:f>
        <x:v>Low &lt; 25</x:v>
      </x:c>
      <x:c r="Y1117" t="n">
        <x:f>IF(C1117="Active",1,0)</x:f>
        <x:v>1</x:v>
      </x:c>
    </x:row>
    <x:row r="1118">
      <x:c r="A1118" t="str">
        <x:v>SKU01117</x:v>
      </x:c>
      <x:c r="B1118" t="str">
        <x:v>Sample Product 01117</x:v>
      </x:c>
      <x:c r="C1118" t="str">
        <x:v>Blocked</x:v>
      </x:c>
      <x:c r="D1118" t="str">
        <x:v>2026-03</x:v>
      </x:c>
      <x:c r="E1118" s="12" t="n">
        <x:v>74.92</x:v>
      </x:c>
      <x:c r="F1118" s="10" t="n">
        <x:v>0.297</x:v>
      </x:c>
      <x:c r="G1118" t="str">
        <x:v>Medical Devices</x:v>
      </x:c>
      <x:c r="H1118" t="str">
        <x:v>First Aid</x:v>
      </x:c>
      <x:c r="I1118" t="str">
        <x:v>MFG016</x:v>
      </x:c>
      <x:c r="J1118" t="str">
        <x:v>Manufacturer 016</x:v>
      </x:c>
      <x:c r="K1118" t="str">
        <x:v>SUP004</x:v>
      </x:c>
      <x:c r="L1118" t="str">
        <x:v>Supplier 004</x:v>
      </x:c>
      <x:c r="M1118" t="str">
        <x:v>REG-113527</x:v>
      </x:c>
      <x:c r="N1118" t="str">
        <x:v>Generic Ingredient 043</x:v>
      </x:c>
      <x:c r="O1118" t="str">
        <x:v>Pharmacy Only</x:v>
      </x:c>
      <x:c r="P1118" t="n">
        <x:v>10</x:v>
      </x:c>
      <x:c r="Q1118" t="n">
        <x:v>0</x:v>
      </x:c>
      <x:c r="R1118" t="n">
        <x:v>0</x:v>
      </x:c>
      <x:c r="S1118" s="12" t="n">
        <x:f>E1118*Q1118</x:f>
        <x:v>0</x:v>
      </x:c>
      <x:c r="T1118" s="12" t="n">
        <x:f>ROUND(S1118*F1118+0.000000001,2)</x:f>
        <x:v>0</x:v>
      </x:c>
      <x:c r="U1118" s="12" t="n">
        <x:f>E1118*R1118</x:f>
        <x:v>0</x:v>
      </x:c>
      <x:c r="V1118" t="str">
        <x:f>IF(AND(C1118="Active",Q1118=0),"Active Zero Sales","Not Zero Sales")</x:f>
        <x:v>Not Zero Sales</x:v>
      </x:c>
      <x:c r="W1118" s="12" t="n">
        <x:f>IF(V1118="Active Zero Sales",U1118,0)</x:f>
        <x:v>0</x:v>
      </x:c>
      <x:c r="X1118" t="str">
        <x:f>IF(E1118&lt;25,"Low &lt; 25",IF(E1118&lt;100,"Medium 25-99",IF(E1118&lt;300,"High 100-299","Premium 300+")))</x:f>
        <x:v>Medium 25-99</x:v>
      </x:c>
      <x:c r="Y1118" t="n">
        <x:f>IF(C1118="Active",1,0)</x:f>
        <x:v>0</x:v>
      </x:c>
    </x:row>
    <x:row r="1119">
      <x:c r="A1119" t="str">
        <x:v>SKU01118</x:v>
      </x:c>
      <x:c r="B1119" t="str">
        <x:v>Sample Product 01118</x:v>
      </x:c>
      <x:c r="C1119" t="str">
        <x:v>Active</x:v>
      </x:c>
      <x:c r="D1119" t="str">
        <x:v>2026-06</x:v>
      </x:c>
      <x:c r="E1119" s="12" t="n">
        <x:v>73.26</x:v>
      </x:c>
      <x:c r="F1119" s="10" t="n">
        <x:v>0.434</x:v>
      </x:c>
      <x:c r="G1119" t="str">
        <x:v>OTC &amp; Wellness</x:v>
      </x:c>
      <x:c r="H1119" t="str">
        <x:v>Cold &amp; Allergy</x:v>
      </x:c>
      <x:c r="I1119" t="str">
        <x:v>MFG001</x:v>
      </x:c>
      <x:c r="J1119" t="str">
        <x:v>Manufacturer 001</x:v>
      </x:c>
      <x:c r="K1119" t="str">
        <x:v>SUP024</x:v>
      </x:c>
      <x:c r="L1119" t="str">
        <x:v>Supplier 024</x:v>
      </x:c>
      <x:c r="M1119" t="str">
        <x:v>REG-515156</x:v>
      </x:c>
      <x:c r="N1119" t="str">
        <x:v>Generic Ingredient 110</x:v>
      </x:c>
      <x:c r="O1119" t="str">
        <x:v>Pharmacy Only</x:v>
      </x:c>
      <x:c r="P1119" t="n">
        <x:v>38</x:v>
      </x:c>
      <x:c r="Q1119" t="n">
        <x:v>29</x:v>
      </x:c>
      <x:c r="R1119" t="n">
        <x:v>16</x:v>
      </x:c>
      <x:c r="S1119" s="12" t="n">
        <x:f>E1119*Q1119</x:f>
        <x:v>2124.54</x:v>
      </x:c>
      <x:c r="T1119" s="12" t="n">
        <x:f>ROUND(S1119*F1119+0.000000001,2)</x:f>
        <x:v>922.05</x:v>
      </x:c>
      <x:c r="U1119" s="12" t="n">
        <x:f>E1119*R1119</x:f>
        <x:v>1172.16</x:v>
      </x:c>
      <x:c r="V1119" t="str">
        <x:f>IF(AND(C1119="Active",Q1119=0),"Active Zero Sales","Not Zero Sales")</x:f>
        <x:v>Not Zero Sales</x:v>
      </x:c>
      <x:c r="W1119" s="12" t="n">
        <x:f>IF(V1119="Active Zero Sales",U1119,0)</x:f>
        <x:v>0</x:v>
      </x:c>
      <x:c r="X1119" t="str">
        <x:f>IF(E1119&lt;25,"Low &lt; 25",IF(E1119&lt;100,"Medium 25-99",IF(E1119&lt;300,"High 100-299","Premium 300+")))</x:f>
        <x:v>Medium 25-99</x:v>
      </x:c>
      <x:c r="Y1119" t="n">
        <x:f>IF(C1119="Active",1,0)</x:f>
        <x:v>1</x:v>
      </x:c>
    </x:row>
    <x:row r="1120">
      <x:c r="A1120" t="str">
        <x:v>SKU01119</x:v>
      </x:c>
      <x:c r="B1120" t="str">
        <x:v>Sample Product 01119</x:v>
      </x:c>
      <x:c r="C1120" t="str">
        <x:v>Active</x:v>
      </x:c>
      <x:c r="D1120" t="str">
        <x:v>2026-02</x:v>
      </x:c>
      <x:c r="E1120" s="12" t="n">
        <x:v>99.31</x:v>
      </x:c>
      <x:c r="F1120" s="10" t="n">
        <x:v>0.36</x:v>
      </x:c>
      <x:c r="G1120" t="str">
        <x:v>General Merchandise</x:v>
      </x:c>
      <x:c r="H1120" t="str">
        <x:v>Travel Health</x:v>
      </x:c>
      <x:c r="I1120" t="str">
        <x:v>MFG015</x:v>
      </x:c>
      <x:c r="J1120" t="str">
        <x:v>Manufacturer 015</x:v>
      </x:c>
      <x:c r="K1120" t="str">
        <x:v>SUP019</x:v>
      </x:c>
      <x:c r="L1120" t="str">
        <x:v>Supplier 019</x:v>
      </x:c>
      <x:c r="M1120" t="str">
        <x:v>REG-308208</x:v>
      </x:c>
      <x:c r="N1120" t="str">
        <x:v>Generic Ingredient 174</x:v>
      </x:c>
      <x:c r="O1120" t="str">
        <x:v>General Sale</x:v>
      </x:c>
      <x:c r="P1120" t="n">
        <x:v>50</x:v>
      </x:c>
      <x:c r="Q1120" t="n">
        <x:v>22</x:v>
      </x:c>
      <x:c r="R1120" t="n">
        <x:v>0</x:v>
      </x:c>
      <x:c r="S1120" s="12" t="n">
        <x:f>E1120*Q1120</x:f>
        <x:v>2184.82</x:v>
      </x:c>
      <x:c r="T1120" s="12" t="n">
        <x:f>ROUND(S1120*F1120+0.000000001,2)</x:f>
        <x:v>786.54</x:v>
      </x:c>
      <x:c r="U1120" s="12" t="n">
        <x:f>E1120*R1120</x:f>
        <x:v>0</x:v>
      </x:c>
      <x:c r="V1120" t="str">
        <x:f>IF(AND(C1120="Active",Q1120=0),"Active Zero Sales","Not Zero Sales")</x:f>
        <x:v>Not Zero Sales</x:v>
      </x:c>
      <x:c r="W1120" s="12" t="n">
        <x:f>IF(V1120="Active Zero Sales",U1120,0)</x:f>
        <x:v>0</x:v>
      </x:c>
      <x:c r="X1120" t="str">
        <x:f>IF(E1120&lt;25,"Low &lt; 25",IF(E1120&lt;100,"Medium 25-99",IF(E1120&lt;300,"High 100-299","Premium 300+")))</x:f>
        <x:v>Medium 25-99</x:v>
      </x:c>
      <x:c r="Y1120" t="n">
        <x:f>IF(C1120="Active",1,0)</x:f>
        <x:v>1</x:v>
      </x:c>
    </x:row>
    <x:row r="1121">
      <x:c r="A1121" t="str">
        <x:v>SKU01120</x:v>
      </x:c>
      <x:c r="B1121" t="str">
        <x:v>Sample Product 01120</x:v>
      </x:c>
      <x:c r="C1121" t="str">
        <x:v>Active</x:v>
      </x:c>
      <x:c r="D1121" t="str">
        <x:v>2026-06</x:v>
      </x:c>
      <x:c r="E1121" s="12" t="n">
        <x:v>49.86</x:v>
      </x:c>
      <x:c r="F1121" s="10" t="n">
        <x:v>0.424</x:v>
      </x:c>
      <x:c r="G1121" t="str">
        <x:v>Personal Care</x:v>
      </x:c>
      <x:c r="H1121" t="str">
        <x:v>Hair Care</x:v>
      </x:c>
      <x:c r="I1121" t="str">
        <x:v>MFG008</x:v>
      </x:c>
      <x:c r="J1121" t="str">
        <x:v>Manufacturer 008</x:v>
      </x:c>
      <x:c r="K1121" t="str">
        <x:v>SUP001</x:v>
      </x:c>
      <x:c r="L1121" t="str">
        <x:v>Supplier 001</x:v>
      </x:c>
      <x:c r="M1121" t="str">
        <x:v>REG-662625</x:v>
      </x:c>
      <x:c r="N1121" t="str">
        <x:v>Generic Ingredient 028</x:v>
      </x:c>
      <x:c r="O1121" t="str">
        <x:v>Pharmacy Only</x:v>
      </x:c>
      <x:c r="P1121" t="n">
        <x:v>24</x:v>
      </x:c>
      <x:c r="Q1121" t="n">
        <x:v>15</x:v>
      </x:c>
      <x:c r="R1121" t="n">
        <x:v>0</x:v>
      </x:c>
      <x:c r="S1121" s="12" t="n">
        <x:f>E1121*Q1121</x:f>
        <x:v>747.9</x:v>
      </x:c>
      <x:c r="T1121" s="12" t="n">
        <x:f>ROUND(S1121*F1121+0.000000001,2)</x:f>
        <x:v>317.11</x:v>
      </x:c>
      <x:c r="U1121" s="12" t="n">
        <x:f>E1121*R1121</x:f>
        <x:v>0</x:v>
      </x:c>
      <x:c r="V1121" t="str">
        <x:f>IF(AND(C1121="Active",Q1121=0),"Active Zero Sales","Not Zero Sales")</x:f>
        <x:v>Not Zero Sales</x:v>
      </x:c>
      <x:c r="W1121" s="12" t="n">
        <x:f>IF(V1121="Active Zero Sales",U1121,0)</x:f>
        <x:v>0</x:v>
      </x:c>
      <x:c r="X1121" t="str">
        <x:f>IF(E1121&lt;25,"Low &lt; 25",IF(E1121&lt;100,"Medium 25-99",IF(E1121&lt;300,"High 100-299","Premium 300+")))</x:f>
        <x:v>Medium 25-99</x:v>
      </x:c>
      <x:c r="Y1121" t="n">
        <x:f>IF(C1121="Active",1,0)</x:f>
        <x:v>1</x:v>
      </x:c>
    </x:row>
    <x:row r="1122">
      <x:c r="A1122" t="str">
        <x:v>SKU01121</x:v>
      </x:c>
      <x:c r="B1122" t="str">
        <x:v>Sample Product 01121</x:v>
      </x:c>
      <x:c r="C1122" t="str">
        <x:v>Blocked</x:v>
      </x:c>
      <x:c r="D1122" t="str">
        <x:v>2026-02</x:v>
      </x:c>
      <x:c r="E1122" s="12" t="n">
        <x:v>63.5</x:v>
      </x:c>
      <x:c r="F1122" s="10" t="n">
        <x:v>0.264</x:v>
      </x:c>
      <x:c r="G1122" t="str">
        <x:v>Medical Devices</x:v>
      </x:c>
      <x:c r="H1122" t="str">
        <x:v>First Aid</x:v>
      </x:c>
      <x:c r="I1122" t="str">
        <x:v>MFG007</x:v>
      </x:c>
      <x:c r="J1122" t="str">
        <x:v>Manufacturer 007</x:v>
      </x:c>
      <x:c r="K1122" t="str">
        <x:v>SUP024</x:v>
      </x:c>
      <x:c r="L1122" t="str">
        <x:v>Supplier 024</x:v>
      </x:c>
      <x:c r="M1122" t="str">
        <x:v>REG-289666</x:v>
      </x:c>
      <x:c r="N1122" t="str">
        <x:v>Generic Ingredient 039</x:v>
      </x:c>
      <x:c r="O1122" t="str">
        <x:v>General Sale</x:v>
      </x:c>
      <x:c r="P1122" t="n">
        <x:v>33</x:v>
      </x:c>
      <x:c r="Q1122" t="n">
        <x:v>25</x:v>
      </x:c>
      <x:c r="R1122" t="n">
        <x:v>0</x:v>
      </x:c>
      <x:c r="S1122" s="12" t="n">
        <x:f>E1122*Q1122</x:f>
        <x:v>1587.5</x:v>
      </x:c>
      <x:c r="T1122" s="12" t="n">
        <x:f>ROUND(S1122*F1122+0.000000001,2)</x:f>
        <x:v>419.1</x:v>
      </x:c>
      <x:c r="U1122" s="12" t="n">
        <x:f>E1122*R1122</x:f>
        <x:v>0</x:v>
      </x:c>
      <x:c r="V1122" t="str">
        <x:f>IF(AND(C1122="Active",Q1122=0),"Active Zero Sales","Not Zero Sales")</x:f>
        <x:v>Not Zero Sales</x:v>
      </x:c>
      <x:c r="W1122" s="12" t="n">
        <x:f>IF(V1122="Active Zero Sales",U1122,0)</x:f>
        <x:v>0</x:v>
      </x:c>
      <x:c r="X1122" t="str">
        <x:f>IF(E1122&lt;25,"Low &lt; 25",IF(E1122&lt;100,"Medium 25-99",IF(E1122&lt;300,"High 100-299","Premium 300+")))</x:f>
        <x:v>Medium 25-99</x:v>
      </x:c>
      <x:c r="Y1122" t="n">
        <x:f>IF(C1122="Active",1,0)</x:f>
        <x:v>0</x:v>
      </x:c>
    </x:row>
    <x:row r="1123">
      <x:c r="A1123" t="str">
        <x:v>SKU01122</x:v>
      </x:c>
      <x:c r="B1123" t="str">
        <x:v>Sample Product 01122</x:v>
      </x:c>
      <x:c r="C1123" t="str">
        <x:v>Active</x:v>
      </x:c>
      <x:c r="D1123" t="str">
        <x:v>2026-02</x:v>
      </x:c>
      <x:c r="E1123" s="12" t="n">
        <x:v>5.08</x:v>
      </x:c>
      <x:c r="F1123" s="10" t="n">
        <x:v>0.34</x:v>
      </x:c>
      <x:c r="G1123" t="str">
        <x:v>OTC &amp; Wellness</x:v>
      </x:c>
      <x:c r="H1123" t="str">
        <x:v>Pain Relief</x:v>
      </x:c>
      <x:c r="I1123" t="str">
        <x:v>MFG005</x:v>
      </x:c>
      <x:c r="J1123" t="str">
        <x:v>Manufacturer 005</x:v>
      </x:c>
      <x:c r="K1123" t="str">
        <x:v>SUP001</x:v>
      </x:c>
      <x:c r="L1123" t="str">
        <x:v>Supplier 001</x:v>
      </x:c>
      <x:c r="M1123" t="str">
        <x:v>REG-453558</x:v>
      </x:c>
      <x:c r="N1123" t="str">
        <x:v>Generic Ingredient 053</x:v>
      </x:c>
      <x:c r="O1123" t="str">
        <x:v>Pharmacy Only</x:v>
      </x:c>
      <x:c r="P1123" t="n">
        <x:v>81</x:v>
      </x:c>
      <x:c r="Q1123" t="n">
        <x:v>46</x:v>
      </x:c>
      <x:c r="R1123" t="n">
        <x:v>32</x:v>
      </x:c>
      <x:c r="S1123" s="12" t="n">
        <x:f>E1123*Q1123</x:f>
        <x:v>233.68</x:v>
      </x:c>
      <x:c r="T1123" s="12" t="n">
        <x:f>ROUND(S1123*F1123+0.000000001,2)</x:f>
        <x:v>79.45</x:v>
      </x:c>
      <x:c r="U1123" s="12" t="n">
        <x:f>E1123*R1123</x:f>
        <x:v>162.56</x:v>
      </x:c>
      <x:c r="V1123" t="str">
        <x:f>IF(AND(C1123="Active",Q1123=0),"Active Zero Sales","Not Zero Sales")</x:f>
        <x:v>Not Zero Sales</x:v>
      </x:c>
      <x:c r="W1123" s="12" t="n">
        <x:f>IF(V1123="Active Zero Sales",U1123,0)</x:f>
        <x:v>0</x:v>
      </x:c>
      <x:c r="X1123" t="str">
        <x:f>IF(E1123&lt;25,"Low &lt; 25",IF(E1123&lt;100,"Medium 25-99",IF(E1123&lt;300,"High 100-299","Premium 300+")))</x:f>
        <x:v>Low &lt; 25</x:v>
      </x:c>
      <x:c r="Y1123" t="n">
        <x:f>IF(C1123="Active",1,0)</x:f>
        <x:v>1</x:v>
      </x:c>
    </x:row>
    <x:row r="1124">
      <x:c r="A1124" t="str">
        <x:v>SKU01123</x:v>
      </x:c>
      <x:c r="B1124" t="str">
        <x:v>Sample Product 01123</x:v>
      </x:c>
      <x:c r="C1124" t="str">
        <x:v>Active</x:v>
      </x:c>
      <x:c r="D1124" t="str">
        <x:v>2026-01</x:v>
      </x:c>
      <x:c r="E1124" s="12" t="n">
        <x:v>8.15</x:v>
      </x:c>
      <x:c r="F1124" s="10" t="n">
        <x:v>0.36</x:v>
      </x:c>
      <x:c r="G1124" t="str">
        <x:v>Nutrition</x:v>
      </x:c>
      <x:c r="H1124" t="str">
        <x:v>Healthy Snacks</x:v>
      </x:c>
      <x:c r="I1124" t="str">
        <x:v>MFG006</x:v>
      </x:c>
      <x:c r="J1124" t="str">
        <x:v>Manufacturer 006</x:v>
      </x:c>
      <x:c r="K1124" t="str">
        <x:v>SUP009</x:v>
      </x:c>
      <x:c r="L1124" t="str">
        <x:v>Supplier 009</x:v>
      </x:c>
      <x:c r="M1124" t="str">
        <x:v>REG-413316</x:v>
      </x:c>
      <x:c r="N1124" t="str">
        <x:v>Generic Ingredient 014</x:v>
      </x:c>
      <x:c r="O1124" t="str">
        <x:v>General Sale</x:v>
      </x:c>
      <x:c r="P1124" t="n">
        <x:v>46</x:v>
      </x:c>
      <x:c r="Q1124" t="n">
        <x:v>10</x:v>
      </x:c>
      <x:c r="R1124" t="n">
        <x:v>0</x:v>
      </x:c>
      <x:c r="S1124" s="12" t="n">
        <x:f>E1124*Q1124</x:f>
        <x:v>81.5</x:v>
      </x:c>
      <x:c r="T1124" s="12" t="n">
        <x:f>ROUND(S1124*F1124+0.000000001,2)</x:f>
        <x:v>29.34</x:v>
      </x:c>
      <x:c r="U1124" s="12" t="n">
        <x:f>E1124*R1124</x:f>
        <x:v>0</x:v>
      </x:c>
      <x:c r="V1124" t="str">
        <x:f>IF(AND(C1124="Active",Q1124=0),"Active Zero Sales","Not Zero Sales")</x:f>
        <x:v>Not Zero Sales</x:v>
      </x:c>
      <x:c r="W1124" s="12" t="n">
        <x:f>IF(V1124="Active Zero Sales",U1124,0)</x:f>
        <x:v>0</x:v>
      </x:c>
      <x:c r="X1124" t="str">
        <x:f>IF(E1124&lt;25,"Low &lt; 25",IF(E1124&lt;100,"Medium 25-99",IF(E1124&lt;300,"High 100-299","Premium 300+")))</x:f>
        <x:v>Low &lt; 25</x:v>
      </x:c>
      <x:c r="Y1124" t="n">
        <x:f>IF(C1124="Active",1,0)</x:f>
        <x:v>1</x:v>
      </x:c>
    </x:row>
    <x:row r="1125">
      <x:c r="A1125" t="str">
        <x:v>SKU01124</x:v>
      </x:c>
      <x:c r="B1125" t="str">
        <x:v>Sample Product 01124</x:v>
      </x:c>
      <x:c r="C1125" t="str">
        <x:v>Active</x:v>
      </x:c>
      <x:c r="D1125" t="str">
        <x:v>2026-02</x:v>
      </x:c>
      <x:c r="E1125" s="12" t="n">
        <x:v>491.89</x:v>
      </x:c>
      <x:c r="F1125" s="10" t="n">
        <x:v>0.443</x:v>
      </x:c>
      <x:c r="G1125" t="str">
        <x:v>OTC &amp; Wellness</x:v>
      </x:c>
      <x:c r="H1125" t="str">
        <x:v>Pain Relief</x:v>
      </x:c>
      <x:c r="I1125" t="str">
        <x:v>MFG010</x:v>
      </x:c>
      <x:c r="J1125" t="str">
        <x:v>Manufacturer 010</x:v>
      </x:c>
      <x:c r="K1125" t="str">
        <x:v>SUP002</x:v>
      </x:c>
      <x:c r="L1125" t="str">
        <x:v>Supplier 002</x:v>
      </x:c>
      <x:c r="M1125" t="str">
        <x:v>REG-539544</x:v>
      </x:c>
      <x:c r="N1125" t="str">
        <x:v>Generic Ingredient 072</x:v>
      </x:c>
      <x:c r="O1125" t="str">
        <x:v>Pharmacy Only</x:v>
      </x:c>
      <x:c r="P1125" t="n">
        <x:v>67</x:v>
      </x:c>
      <x:c r="Q1125" t="n">
        <x:v>37</x:v>
      </x:c>
      <x:c r="R1125" t="n">
        <x:v>0</x:v>
      </x:c>
      <x:c r="S1125" s="12" t="n">
        <x:f>E1125*Q1125</x:f>
        <x:v>18199.93</x:v>
      </x:c>
      <x:c r="T1125" s="12" t="n">
        <x:f>ROUND(S1125*F1125+0.000000001,2)</x:f>
        <x:v>8062.57</x:v>
      </x:c>
      <x:c r="U1125" s="12" t="n">
        <x:f>E1125*R1125</x:f>
        <x:v>0</x:v>
      </x:c>
      <x:c r="V1125" t="str">
        <x:f>IF(AND(C1125="Active",Q1125=0),"Active Zero Sales","Not Zero Sales")</x:f>
        <x:v>Not Zero Sales</x:v>
      </x:c>
      <x:c r="W1125" s="12" t="n">
        <x:f>IF(V1125="Active Zero Sales",U1125,0)</x:f>
        <x:v>0</x:v>
      </x:c>
      <x:c r="X1125" t="str">
        <x:f>IF(E1125&lt;25,"Low &lt; 25",IF(E1125&lt;100,"Medium 25-99",IF(E1125&lt;300,"High 100-299","Premium 300+")))</x:f>
        <x:v>Premium 300+</x:v>
      </x:c>
      <x:c r="Y1125" t="n">
        <x:f>IF(C1125="Active",1,0)</x:f>
        <x:v>1</x:v>
      </x:c>
    </x:row>
    <x:row r="1126">
      <x:c r="A1126" t="str">
        <x:v>SKU01125</x:v>
      </x:c>
      <x:c r="B1126" t="str">
        <x:v>Sample Product 01125</x:v>
      </x:c>
      <x:c r="C1126" t="str">
        <x:v>Active</x:v>
      </x:c>
      <x:c r="D1126" t="str">
        <x:v>2026-01</x:v>
      </x:c>
      <x:c r="E1126" s="12" t="n">
        <x:v>17.55</x:v>
      </x:c>
      <x:c r="F1126" s="10" t="n">
        <x:v>0.388</x:v>
      </x:c>
      <x:c r="G1126" t="str">
        <x:v>General Merchandise</x:v>
      </x:c>
      <x:c r="H1126" t="str">
        <x:v>Seasonal Care</x:v>
      </x:c>
      <x:c r="I1126" t="str">
        <x:v>MFG016</x:v>
      </x:c>
      <x:c r="J1126" t="str">
        <x:v>Manufacturer 016</x:v>
      </x:c>
      <x:c r="K1126" t="str">
        <x:v>SUP021</x:v>
      </x:c>
      <x:c r="L1126" t="str">
        <x:v>Supplier 021</x:v>
      </x:c>
      <x:c r="M1126" t="str">
        <x:v>REG-316481</x:v>
      </x:c>
      <x:c r="N1126" t="str">
        <x:v>Generic Ingredient 036</x:v>
      </x:c>
      <x:c r="O1126" t="str">
        <x:v>General Sale</x:v>
      </x:c>
      <x:c r="P1126" t="n">
        <x:v>52</x:v>
      </x:c>
      <x:c r="Q1126" t="n">
        <x:v>20</x:v>
      </x:c>
      <x:c r="R1126" t="n">
        <x:v>2</x:v>
      </x:c>
      <x:c r="S1126" s="12" t="n">
        <x:f>E1126*Q1126</x:f>
        <x:v>351</x:v>
      </x:c>
      <x:c r="T1126" s="12" t="n">
        <x:f>ROUND(S1126*F1126+0.000000001,2)</x:f>
        <x:v>136.19</x:v>
      </x:c>
      <x:c r="U1126" s="12" t="n">
        <x:f>E1126*R1126</x:f>
        <x:v>35.1</x:v>
      </x:c>
      <x:c r="V1126" t="str">
        <x:f>IF(AND(C1126="Active",Q1126=0),"Active Zero Sales","Not Zero Sales")</x:f>
        <x:v>Not Zero Sales</x:v>
      </x:c>
      <x:c r="W1126" s="12" t="n">
        <x:f>IF(V1126="Active Zero Sales",U1126,0)</x:f>
        <x:v>0</x:v>
      </x:c>
      <x:c r="X1126" t="str">
        <x:f>IF(E1126&lt;25,"Low &lt; 25",IF(E1126&lt;100,"Medium 25-99",IF(E1126&lt;300,"High 100-299","Premium 300+")))</x:f>
        <x:v>Low &lt; 25</x:v>
      </x:c>
      <x:c r="Y1126" t="n">
        <x:f>IF(C1126="Active",1,0)</x:f>
        <x:v>1</x:v>
      </x:c>
    </x:row>
    <x:row r="1127">
      <x:c r="A1127" t="str">
        <x:v>SKU01126</x:v>
      </x:c>
      <x:c r="B1127" t="str">
        <x:v>Sample Product 01126</x:v>
      </x:c>
      <x:c r="C1127" t="str">
        <x:v>Active</x:v>
      </x:c>
      <x:c r="D1127" t="str">
        <x:v>2026-03</x:v>
      </x:c>
      <x:c r="E1127" s="12" t="n">
        <x:v>155.96</x:v>
      </x:c>
      <x:c r="F1127" s="10" t="n">
        <x:v>0.566</x:v>
      </x:c>
      <x:c r="G1127" t="str">
        <x:v>Personal Care</x:v>
      </x:c>
      <x:c r="H1127" t="str">
        <x:v>Oral Care</x:v>
      </x:c>
      <x:c r="I1127" t="str">
        <x:v>MFG009</x:v>
      </x:c>
      <x:c r="J1127" t="str">
        <x:v>Manufacturer 009</x:v>
      </x:c>
      <x:c r="K1127" t="str">
        <x:v>SUP029</x:v>
      </x:c>
      <x:c r="L1127" t="str">
        <x:v>Supplier 029</x:v>
      </x:c>
      <x:c r="M1127" t="str">
        <x:v>REG-949100</x:v>
      </x:c>
      <x:c r="N1127" t="str">
        <x:v>Generic Ingredient 050</x:v>
      </x:c>
      <x:c r="O1127" t="str">
        <x:v>General Sale</x:v>
      </x:c>
      <x:c r="P1127" t="n">
        <x:v>130</x:v>
      </x:c>
      <x:c r="Q1127" t="n">
        <x:v>81</x:v>
      </x:c>
      <x:c r="R1127" t="n">
        <x:v>19</x:v>
      </x:c>
      <x:c r="S1127" s="12" t="n">
        <x:f>E1127*Q1127</x:f>
        <x:v>12632.76</x:v>
      </x:c>
      <x:c r="T1127" s="12" t="n">
        <x:f>ROUND(S1127*F1127+0.000000001,2)</x:f>
        <x:v>7150.14</x:v>
      </x:c>
      <x:c r="U1127" s="12" t="n">
        <x:f>E1127*R1127</x:f>
        <x:v>2963.2400000000002</x:v>
      </x:c>
      <x:c r="V1127" t="str">
        <x:f>IF(AND(C1127="Active",Q1127=0),"Active Zero Sales","Not Zero Sales")</x:f>
        <x:v>Not Zero Sales</x:v>
      </x:c>
      <x:c r="W1127" s="12" t="n">
        <x:f>IF(V1127="Active Zero Sales",U1127,0)</x:f>
        <x:v>0</x:v>
      </x:c>
      <x:c r="X1127" t="str">
        <x:f>IF(E1127&lt;25,"Low &lt; 25",IF(E1127&lt;100,"Medium 25-99",IF(E1127&lt;300,"High 100-299","Premium 300+")))</x:f>
        <x:v>High 100-299</x:v>
      </x:c>
      <x:c r="Y1127" t="n">
        <x:f>IF(C1127="Active",1,0)</x:f>
        <x:v>1</x:v>
      </x:c>
    </x:row>
    <x:row r="1128">
      <x:c r="A1128" t="str">
        <x:v>SKU01127</x:v>
      </x:c>
      <x:c r="B1128" t="str">
        <x:v>Sample Product 01127</x:v>
      </x:c>
      <x:c r="C1128" t="str">
        <x:v>Blocked</x:v>
      </x:c>
      <x:c r="D1128" t="str">
        <x:v>2026-05</x:v>
      </x:c>
      <x:c r="E1128" s="12" t="n">
        <x:v>469.59</x:v>
      </x:c>
      <x:c r="F1128" s="10" t="n">
        <x:v>0.312</x:v>
      </x:c>
      <x:c r="G1128" t="str">
        <x:v>Medical Devices</x:v>
      </x:c>
      <x:c r="H1128" t="str">
        <x:v>Monitoring Supplies</x:v>
      </x:c>
      <x:c r="I1128" t="str">
        <x:v>MFG017</x:v>
      </x:c>
      <x:c r="J1128" t="str">
        <x:v>Manufacturer 017</x:v>
      </x:c>
      <x:c r="K1128" t="str">
        <x:v>SUP006</x:v>
      </x:c>
      <x:c r="L1128" t="str">
        <x:v>Supplier 006</x:v>
      </x:c>
      <x:c r="M1128" t="str">
        <x:v>REG-690459</x:v>
      </x:c>
      <x:c r="N1128" t="str">
        <x:v>Generic Ingredient 011</x:v>
      </x:c>
      <x:c r="O1128" t="str">
        <x:v>Pharmacy Only</x:v>
      </x:c>
      <x:c r="P1128" t="n">
        <x:v>13</x:v>
      </x:c>
      <x:c r="Q1128" t="n">
        <x:v>0</x:v>
      </x:c>
      <x:c r="R1128" t="n">
        <x:v>0</x:v>
      </x:c>
      <x:c r="S1128" s="12" t="n">
        <x:f>E1128*Q1128</x:f>
        <x:v>0</x:v>
      </x:c>
      <x:c r="T1128" s="12" t="n">
        <x:f>ROUND(S1128*F1128+0.000000001,2)</x:f>
        <x:v>0</x:v>
      </x:c>
      <x:c r="U1128" s="12" t="n">
        <x:f>E1128*R1128</x:f>
        <x:v>0</x:v>
      </x:c>
      <x:c r="V1128" t="str">
        <x:f>IF(AND(C1128="Active",Q1128=0),"Active Zero Sales","Not Zero Sales")</x:f>
        <x:v>Not Zero Sales</x:v>
      </x:c>
      <x:c r="W1128" s="12" t="n">
        <x:f>IF(V1128="Active Zero Sales",U1128,0)</x:f>
        <x:v>0</x:v>
      </x:c>
      <x:c r="X1128" t="str">
        <x:f>IF(E1128&lt;25,"Low &lt; 25",IF(E1128&lt;100,"Medium 25-99",IF(E1128&lt;300,"High 100-299","Premium 300+")))</x:f>
        <x:v>Premium 300+</x:v>
      </x:c>
      <x:c r="Y1128" t="n">
        <x:f>IF(C1128="Active",1,0)</x:f>
        <x:v>0</x:v>
      </x:c>
    </x:row>
    <x:row r="1129">
      <x:c r="A1129" t="str">
        <x:v>SKU01128</x:v>
      </x:c>
      <x:c r="B1129" t="str">
        <x:v>Sample Product 01128</x:v>
      </x:c>
      <x:c r="C1129" t="str">
        <x:v>Blocked</x:v>
      </x:c>
      <x:c r="D1129" t="str">
        <x:v>2026-05</x:v>
      </x:c>
      <x:c r="E1129" s="12" t="n">
        <x:v>211.64</x:v>
      </x:c>
      <x:c r="F1129" s="10" t="n">
        <x:v>0.289</x:v>
      </x:c>
      <x:c r="G1129" t="str">
        <x:v>Medical Devices</x:v>
      </x:c>
      <x:c r="H1129" t="str">
        <x:v>First Aid</x:v>
      </x:c>
      <x:c r="I1129" t="str">
        <x:v>MFG004</x:v>
      </x:c>
      <x:c r="J1129" t="str">
        <x:v>Manufacturer 004</x:v>
      </x:c>
      <x:c r="K1129" t="str">
        <x:v>SUP010</x:v>
      </x:c>
      <x:c r="L1129" t="str">
        <x:v>Supplier 010</x:v>
      </x:c>
      <x:c r="M1129" t="str">
        <x:v>REG-381205</x:v>
      </x:c>
      <x:c r="N1129" t="str">
        <x:v>Generic Ingredient 119</x:v>
      </x:c>
      <x:c r="O1129" t="str">
        <x:v>General Sale</x:v>
      </x:c>
      <x:c r="P1129" t="n">
        <x:v>0</x:v>
      </x:c>
      <x:c r="Q1129" t="n">
        <x:v>0</x:v>
      </x:c>
      <x:c r="R1129" t="n">
        <x:v>0</x:v>
      </x:c>
      <x:c r="S1129" s="12" t="n">
        <x:f>E1129*Q1129</x:f>
        <x:v>0</x:v>
      </x:c>
      <x:c r="T1129" s="12" t="n">
        <x:f>ROUND(S1129*F1129+0.000000001,2)</x:f>
        <x:v>0</x:v>
      </x:c>
      <x:c r="U1129" s="12" t="n">
        <x:f>E1129*R1129</x:f>
        <x:v>0</x:v>
      </x:c>
      <x:c r="V1129" t="str">
        <x:f>IF(AND(C1129="Active",Q1129=0),"Active Zero Sales","Not Zero Sales")</x:f>
        <x:v>Not Zero Sales</x:v>
      </x:c>
      <x:c r="W1129" s="12" t="n">
        <x:f>IF(V1129="Active Zero Sales",U1129,0)</x:f>
        <x:v>0</x:v>
      </x:c>
      <x:c r="X1129" t="str">
        <x:f>IF(E1129&lt;25,"Low &lt; 25",IF(E1129&lt;100,"Medium 25-99",IF(E1129&lt;300,"High 100-299","Premium 300+")))</x:f>
        <x:v>High 100-299</x:v>
      </x:c>
      <x:c r="Y1129" t="n">
        <x:f>IF(C1129="Active",1,0)</x:f>
        <x:v>0</x:v>
      </x:c>
    </x:row>
    <x:row r="1130">
      <x:c r="A1130" t="str">
        <x:v>SKU01129</x:v>
      </x:c>
      <x:c r="B1130" t="str">
        <x:v>Sample Product 01129</x:v>
      </x:c>
      <x:c r="C1130" t="str">
        <x:v>Active</x:v>
      </x:c>
      <x:c r="D1130" t="str">
        <x:v>2026-04</x:v>
      </x:c>
      <x:c r="E1130" s="12" t="n">
        <x:v>265.73</x:v>
      </x:c>
      <x:c r="F1130" s="10" t="n">
        <x:v>0.342</x:v>
      </x:c>
      <x:c r="G1130" t="str">
        <x:v>Medical Devices</x:v>
      </x:c>
      <x:c r="H1130" t="str">
        <x:v>Home Diagnostics</x:v>
      </x:c>
      <x:c r="I1130" t="str">
        <x:v>MFG004</x:v>
      </x:c>
      <x:c r="J1130" t="str">
        <x:v>Manufacturer 004</x:v>
      </x:c>
      <x:c r="K1130" t="str">
        <x:v>SUP003</x:v>
      </x:c>
      <x:c r="L1130" t="str">
        <x:v>Supplier 003</x:v>
      </x:c>
      <x:c r="M1130" t="str">
        <x:v>REG-430478</x:v>
      </x:c>
      <x:c r="N1130" t="str">
        <x:v>Generic Ingredient 099</x:v>
      </x:c>
      <x:c r="O1130" t="str">
        <x:v>General Sale</x:v>
      </x:c>
      <x:c r="P1130" t="n">
        <x:v>91</x:v>
      </x:c>
      <x:c r="Q1130" t="n">
        <x:v>37</x:v>
      </x:c>
      <x:c r="R1130" t="n">
        <x:v>20</x:v>
      </x:c>
      <x:c r="S1130" s="12" t="n">
        <x:f>E1130*Q1130</x:f>
        <x:v>9832.01</x:v>
      </x:c>
      <x:c r="T1130" s="12" t="n">
        <x:f>ROUND(S1130*F1130+0.000000001,2)</x:f>
        <x:v>3362.55</x:v>
      </x:c>
      <x:c r="U1130" s="12" t="n">
        <x:f>E1130*R1130</x:f>
        <x:v>5314.6</x:v>
      </x:c>
      <x:c r="V1130" t="str">
        <x:f>IF(AND(C1130="Active",Q1130=0),"Active Zero Sales","Not Zero Sales")</x:f>
        <x:v>Not Zero Sales</x:v>
      </x:c>
      <x:c r="W1130" s="12" t="n">
        <x:f>IF(V1130="Active Zero Sales",U1130,0)</x:f>
        <x:v>0</x:v>
      </x:c>
      <x:c r="X1130" t="str">
        <x:f>IF(E1130&lt;25,"Low &lt; 25",IF(E1130&lt;100,"Medium 25-99",IF(E1130&lt;300,"High 100-299","Premium 300+")))</x:f>
        <x:v>High 100-299</x:v>
      </x:c>
      <x:c r="Y1130" t="n">
        <x:f>IF(C1130="Active",1,0)</x:f>
        <x:v>1</x:v>
      </x:c>
    </x:row>
    <x:row r="1131">
      <x:c r="A1131" t="str">
        <x:v>SKU01130</x:v>
      </x:c>
      <x:c r="B1131" t="str">
        <x:v>Sample Product 01130</x:v>
      </x:c>
      <x:c r="C1131" t="str">
        <x:v>Active</x:v>
      </x:c>
      <x:c r="D1131" t="str">
        <x:v>2026-01</x:v>
      </x:c>
      <x:c r="E1131" s="12" t="n">
        <x:v>8.35</x:v>
      </x:c>
      <x:c r="F1131" s="10" t="n">
        <x:v>0.466</x:v>
      </x:c>
      <x:c r="G1131" t="str">
        <x:v>OTC &amp; Wellness</x:v>
      </x:c>
      <x:c r="H1131" t="str">
        <x:v>Pain Relief</x:v>
      </x:c>
      <x:c r="I1131" t="str">
        <x:v>MFG019</x:v>
      </x:c>
      <x:c r="J1131" t="str">
        <x:v>Manufacturer 019</x:v>
      </x:c>
      <x:c r="K1131" t="str">
        <x:v>SUP020</x:v>
      </x:c>
      <x:c r="L1131" t="str">
        <x:v>Supplier 020</x:v>
      </x:c>
      <x:c r="M1131" t="str">
        <x:v>REG-852106</x:v>
      </x:c>
      <x:c r="N1131" t="str">
        <x:v>Generic Ingredient 003</x:v>
      </x:c>
      <x:c r="O1131" t="str">
        <x:v>Pharmacy Only</x:v>
      </x:c>
      <x:c r="P1131" t="n">
        <x:v>28</x:v>
      </x:c>
      <x:c r="Q1131" t="n">
        <x:v>20</x:v>
      </x:c>
      <x:c r="R1131" t="n">
        <x:v>18</x:v>
      </x:c>
      <x:c r="S1131" s="12" t="n">
        <x:f>E1131*Q1131</x:f>
        <x:v>167</x:v>
      </x:c>
      <x:c r="T1131" s="12" t="n">
        <x:f>ROUND(S1131*F1131+0.000000001,2)</x:f>
        <x:v>77.82</x:v>
      </x:c>
      <x:c r="U1131" s="12" t="n">
        <x:f>E1131*R1131</x:f>
        <x:v>150.29999999999998</x:v>
      </x:c>
      <x:c r="V1131" t="str">
        <x:f>IF(AND(C1131="Active",Q1131=0),"Active Zero Sales","Not Zero Sales")</x:f>
        <x:v>Not Zero Sales</x:v>
      </x:c>
      <x:c r="W1131" s="12" t="n">
        <x:f>IF(V1131="Active Zero Sales",U1131,0)</x:f>
        <x:v>0</x:v>
      </x:c>
      <x:c r="X1131" t="str">
        <x:f>IF(E1131&lt;25,"Low &lt; 25",IF(E1131&lt;100,"Medium 25-99",IF(E1131&lt;300,"High 100-299","Premium 300+")))</x:f>
        <x:v>Low &lt; 25</x:v>
      </x:c>
      <x:c r="Y1131" t="n">
        <x:f>IF(C1131="Active",1,0)</x:f>
        <x:v>1</x:v>
      </x:c>
    </x:row>
    <x:row r="1132">
      <x:c r="A1132" t="str">
        <x:v>SKU01131</x:v>
      </x:c>
      <x:c r="B1132" t="str">
        <x:v>Sample Product 01131</x:v>
      </x:c>
      <x:c r="C1132" t="str">
        <x:v>Active</x:v>
      </x:c>
      <x:c r="D1132" t="str">
        <x:v>2026-06</x:v>
      </x:c>
      <x:c r="E1132" s="12" t="n">
        <x:v>10.73</x:v>
      </x:c>
      <x:c r="F1132" s="10" t="n">
        <x:v>0.356</x:v>
      </x:c>
      <x:c r="G1132" t="str">
        <x:v>OTC &amp; Wellness</x:v>
      </x:c>
      <x:c r="H1132" t="str">
        <x:v>Vitamins</x:v>
      </x:c>
      <x:c r="I1132" t="str">
        <x:v>MFG014</x:v>
      </x:c>
      <x:c r="J1132" t="str">
        <x:v>Manufacturer 014</x:v>
      </x:c>
      <x:c r="K1132" t="str">
        <x:v>SUP009</x:v>
      </x:c>
      <x:c r="L1132" t="str">
        <x:v>Supplier 009</x:v>
      </x:c>
      <x:c r="M1132" t="str">
        <x:v>REG-364996</x:v>
      </x:c>
      <x:c r="N1132" t="str">
        <x:v>Generic Ingredient 176</x:v>
      </x:c>
      <x:c r="O1132" t="str">
        <x:v>General Sale</x:v>
      </x:c>
      <x:c r="P1132" t="n">
        <x:v>44</x:v>
      </x:c>
      <x:c r="Q1132" t="n">
        <x:v>38</x:v>
      </x:c>
      <x:c r="R1132" t="n">
        <x:v>14</x:v>
      </x:c>
      <x:c r="S1132" s="12" t="n">
        <x:f>E1132*Q1132</x:f>
        <x:v>407.74</x:v>
      </x:c>
      <x:c r="T1132" s="12" t="n">
        <x:f>ROUND(S1132*F1132+0.000000001,2)</x:f>
        <x:v>145.16</x:v>
      </x:c>
      <x:c r="U1132" s="12" t="n">
        <x:f>E1132*R1132</x:f>
        <x:v>150.22</x:v>
      </x:c>
      <x:c r="V1132" t="str">
        <x:f>IF(AND(C1132="Active",Q1132=0),"Active Zero Sales","Not Zero Sales")</x:f>
        <x:v>Not Zero Sales</x:v>
      </x:c>
      <x:c r="W1132" s="12" t="n">
        <x:f>IF(V1132="Active Zero Sales",U1132,0)</x:f>
        <x:v>0</x:v>
      </x:c>
      <x:c r="X1132" t="str">
        <x:f>IF(E1132&lt;25,"Low &lt; 25",IF(E1132&lt;100,"Medium 25-99",IF(E1132&lt;300,"High 100-299","Premium 300+")))</x:f>
        <x:v>Low &lt; 25</x:v>
      </x:c>
      <x:c r="Y1132" t="n">
        <x:f>IF(C1132="Active",1,0)</x:f>
        <x:v>1</x:v>
      </x:c>
    </x:row>
    <x:row r="1133">
      <x:c r="A1133" t="str">
        <x:v>SKU01132</x:v>
      </x:c>
      <x:c r="B1133" t="str">
        <x:v>Sample Product 01132</x:v>
      </x:c>
      <x:c r="C1133" t="str">
        <x:v>Active</x:v>
      </x:c>
      <x:c r="D1133" t="str">
        <x:v>2026-01</x:v>
      </x:c>
      <x:c r="E1133" s="12" t="n">
        <x:v>53.77</x:v>
      </x:c>
      <x:c r="F1133" s="10" t="n">
        <x:v>0.259</x:v>
      </x:c>
      <x:c r="G1133" t="str">
        <x:v>OTC &amp; Wellness</x:v>
      </x:c>
      <x:c r="H1133" t="str">
        <x:v>Cold &amp; Allergy</x:v>
      </x:c>
      <x:c r="I1133" t="str">
        <x:v>MFG016</x:v>
      </x:c>
      <x:c r="J1133" t="str">
        <x:v>Manufacturer 016</x:v>
      </x:c>
      <x:c r="K1133" t="str">
        <x:v>SUP022</x:v>
      </x:c>
      <x:c r="L1133" t="str">
        <x:v>Supplier 022</x:v>
      </x:c>
      <x:c r="M1133" t="str">
        <x:v>REG-234290</x:v>
      </x:c>
      <x:c r="N1133" t="str">
        <x:v>Generic Ingredient 112</x:v>
      </x:c>
      <x:c r="O1133" t="str">
        <x:v>General Sale</x:v>
      </x:c>
      <x:c r="P1133" t="n">
        <x:v>44</x:v>
      </x:c>
      <x:c r="Q1133" t="n">
        <x:v>5</x:v>
      </x:c>
      <x:c r="R1133" t="n">
        <x:v>10</x:v>
      </x:c>
      <x:c r="S1133" s="12" t="n">
        <x:f>E1133*Q1133</x:f>
        <x:v>268.85</x:v>
      </x:c>
      <x:c r="T1133" s="12" t="n">
        <x:f>ROUND(S1133*F1133+0.000000001,2)</x:f>
        <x:v>69.63</x:v>
      </x:c>
      <x:c r="U1133" s="12" t="n">
        <x:f>E1133*R1133</x:f>
        <x:v>537.7</x:v>
      </x:c>
      <x:c r="V1133" t="str">
        <x:f>IF(AND(C1133="Active",Q1133=0),"Active Zero Sales","Not Zero Sales")</x:f>
        <x:v>Not Zero Sales</x:v>
      </x:c>
      <x:c r="W1133" s="12" t="n">
        <x:f>IF(V1133="Active Zero Sales",U1133,0)</x:f>
        <x:v>0</x:v>
      </x:c>
      <x:c r="X1133" t="str">
        <x:f>IF(E1133&lt;25,"Low &lt; 25",IF(E1133&lt;100,"Medium 25-99",IF(E1133&lt;300,"High 100-299","Premium 300+")))</x:f>
        <x:v>Medium 25-99</x:v>
      </x:c>
      <x:c r="Y1133" t="n">
        <x:f>IF(C1133="Active",1,0)</x:f>
        <x:v>1</x:v>
      </x:c>
    </x:row>
    <x:row r="1134">
      <x:c r="A1134" t="str">
        <x:v>SKU01133</x:v>
      </x:c>
      <x:c r="B1134" t="str">
        <x:v>Sample Product 01133</x:v>
      </x:c>
      <x:c r="C1134" t="str">
        <x:v>Active</x:v>
      </x:c>
      <x:c r="D1134" t="str">
        <x:v>2026-06</x:v>
      </x:c>
      <x:c r="E1134" s="12" t="n">
        <x:v>19.04</x:v>
      </x:c>
      <x:c r="F1134" s="10" t="n">
        <x:v>0.375</x:v>
      </x:c>
      <x:c r="G1134" t="str">
        <x:v>OTC &amp; Wellness</x:v>
      </x:c>
      <x:c r="H1134" t="str">
        <x:v>Vitamins</x:v>
      </x:c>
      <x:c r="I1134" t="str">
        <x:v>MFG017</x:v>
      </x:c>
      <x:c r="J1134" t="str">
        <x:v>Manufacturer 017</x:v>
      </x:c>
      <x:c r="K1134" t="str">
        <x:v>SUP012</x:v>
      </x:c>
      <x:c r="L1134" t="str">
        <x:v>Supplier 012</x:v>
      </x:c>
      <x:c r="M1134" t="str">
        <x:v>REG-129064</x:v>
      </x:c>
      <x:c r="N1134" t="str">
        <x:v>Generic Ingredient 091</x:v>
      </x:c>
      <x:c r="O1134" t="str">
        <x:v>General Sale</x:v>
      </x:c>
      <x:c r="P1134" t="n">
        <x:v>48</x:v>
      </x:c>
      <x:c r="Q1134" t="n">
        <x:v>12</x:v>
      </x:c>
      <x:c r="R1134" t="n">
        <x:v>3</x:v>
      </x:c>
      <x:c r="S1134" s="12" t="n">
        <x:f>E1134*Q1134</x:f>
        <x:v>228.48</x:v>
      </x:c>
      <x:c r="T1134" s="12" t="n">
        <x:f>ROUND(S1134*F1134+0.000000001,2)</x:f>
        <x:v>85.68</x:v>
      </x:c>
      <x:c r="U1134" s="12" t="n">
        <x:f>E1134*R1134</x:f>
        <x:v>57.12</x:v>
      </x:c>
      <x:c r="V1134" t="str">
        <x:f>IF(AND(C1134="Active",Q1134=0),"Active Zero Sales","Not Zero Sales")</x:f>
        <x:v>Not Zero Sales</x:v>
      </x:c>
      <x:c r="W1134" s="12" t="n">
        <x:f>IF(V1134="Active Zero Sales",U1134,0)</x:f>
        <x:v>0</x:v>
      </x:c>
      <x:c r="X1134" t="str">
        <x:f>IF(E1134&lt;25,"Low &lt; 25",IF(E1134&lt;100,"Medium 25-99",IF(E1134&lt;300,"High 100-299","Premium 300+")))</x:f>
        <x:v>Low &lt; 25</x:v>
      </x:c>
      <x:c r="Y1134" t="n">
        <x:f>IF(C1134="Active",1,0)</x:f>
        <x:v>1</x:v>
      </x:c>
    </x:row>
    <x:row r="1135">
      <x:c r="A1135" t="str">
        <x:v>SKU01134</x:v>
      </x:c>
      <x:c r="B1135" t="str">
        <x:v>Sample Product 01134</x:v>
      </x:c>
      <x:c r="C1135" t="str">
        <x:v>Active</x:v>
      </x:c>
      <x:c r="D1135" t="str">
        <x:v>2026-04</x:v>
      </x:c>
      <x:c r="E1135" s="12" t="n">
        <x:v>34.29</x:v>
      </x:c>
      <x:c r="F1135" s="10" t="n">
        <x:v>0.301</x:v>
      </x:c>
      <x:c r="G1135" t="str">
        <x:v>General Merchandise</x:v>
      </x:c>
      <x:c r="H1135" t="str">
        <x:v>Travel Health</x:v>
      </x:c>
      <x:c r="I1135" t="str">
        <x:v>MFG016</x:v>
      </x:c>
      <x:c r="J1135" t="str">
        <x:v>Manufacturer 016</x:v>
      </x:c>
      <x:c r="K1135" t="str">
        <x:v>SUP019</x:v>
      </x:c>
      <x:c r="L1135" t="str">
        <x:v>Supplier 019</x:v>
      </x:c>
      <x:c r="M1135" t="str">
        <x:v>REG-152534</x:v>
      </x:c>
      <x:c r="N1135" t="str">
        <x:v>Generic Ingredient 080</x:v>
      </x:c>
      <x:c r="O1135" t="str">
        <x:v>General Sale</x:v>
      </x:c>
      <x:c r="P1135" t="n">
        <x:v>86</x:v>
      </x:c>
      <x:c r="Q1135" t="n">
        <x:v>56</x:v>
      </x:c>
      <x:c r="R1135" t="n">
        <x:v>27</x:v>
      </x:c>
      <x:c r="S1135" s="12" t="n">
        <x:f>E1135*Q1135</x:f>
        <x:v>1920.24</x:v>
      </x:c>
      <x:c r="T1135" s="12" t="n">
        <x:f>ROUND(S1135*F1135+0.000000001,2)</x:f>
        <x:v>577.99</x:v>
      </x:c>
      <x:c r="U1135" s="12" t="n">
        <x:f>E1135*R1135</x:f>
        <x:v>925.8299999999999</x:v>
      </x:c>
      <x:c r="V1135" t="str">
        <x:f>IF(AND(C1135="Active",Q1135=0),"Active Zero Sales","Not Zero Sales")</x:f>
        <x:v>Not Zero Sales</x:v>
      </x:c>
      <x:c r="W1135" s="12" t="n">
        <x:f>IF(V1135="Active Zero Sales",U1135,0)</x:f>
        <x:v>0</x:v>
      </x:c>
      <x:c r="X1135" t="str">
        <x:f>IF(E1135&lt;25,"Low &lt; 25",IF(E1135&lt;100,"Medium 25-99",IF(E1135&lt;300,"High 100-299","Premium 300+")))</x:f>
        <x:v>Medium 25-99</x:v>
      </x:c>
      <x:c r="Y1135" t="n">
        <x:f>IF(C1135="Active",1,0)</x:f>
        <x:v>1</x:v>
      </x:c>
    </x:row>
    <x:row r="1136">
      <x:c r="A1136" t="str">
        <x:v>SKU01135</x:v>
      </x:c>
      <x:c r="B1136" t="str">
        <x:v>Sample Product 01135</x:v>
      </x:c>
      <x:c r="C1136" t="str">
        <x:v>Blocked</x:v>
      </x:c>
      <x:c r="D1136" t="str">
        <x:v>2026-04</x:v>
      </x:c>
      <x:c r="E1136" s="12" t="n">
        <x:v>10.64</x:v>
      </x:c>
      <x:c r="F1136" s="10" t="n">
        <x:v>0.417</x:v>
      </x:c>
      <x:c r="G1136" t="str">
        <x:v>OTC &amp; Wellness</x:v>
      </x:c>
      <x:c r="H1136" t="str">
        <x:v>Pain Relief</x:v>
      </x:c>
      <x:c r="I1136" t="str">
        <x:v>MFG014</x:v>
      </x:c>
      <x:c r="J1136" t="str">
        <x:v>Manufacturer 014</x:v>
      </x:c>
      <x:c r="K1136" t="str">
        <x:v>SUP014</x:v>
      </x:c>
      <x:c r="L1136" t="str">
        <x:v>Supplier 014</x:v>
      </x:c>
      <x:c r="M1136" t="str">
        <x:v>REG-909326</x:v>
      </x:c>
      <x:c r="N1136" t="str">
        <x:v>Generic Ingredient 080</x:v>
      </x:c>
      <x:c r="O1136" t="str">
        <x:v>General Sale</x:v>
      </x:c>
      <x:c r="P1136" t="n">
        <x:v>0</x:v>
      </x:c>
      <x:c r="Q1136" t="n">
        <x:v>0</x:v>
      </x:c>
      <x:c r="R1136" t="n">
        <x:v>0</x:v>
      </x:c>
      <x:c r="S1136" s="12" t="n">
        <x:f>E1136*Q1136</x:f>
        <x:v>0</x:v>
      </x:c>
      <x:c r="T1136" s="12" t="n">
        <x:f>ROUND(S1136*F1136+0.000000001,2)</x:f>
        <x:v>0</x:v>
      </x:c>
      <x:c r="U1136" s="12" t="n">
        <x:f>E1136*R1136</x:f>
        <x:v>0</x:v>
      </x:c>
      <x:c r="V1136" t="str">
        <x:f>IF(AND(C1136="Active",Q1136=0),"Active Zero Sales","Not Zero Sales")</x:f>
        <x:v>Not Zero Sales</x:v>
      </x:c>
      <x:c r="W1136" s="12" t="n">
        <x:f>IF(V1136="Active Zero Sales",U1136,0)</x:f>
        <x:v>0</x:v>
      </x:c>
      <x:c r="X1136" t="str">
        <x:f>IF(E1136&lt;25,"Low &lt; 25",IF(E1136&lt;100,"Medium 25-99",IF(E1136&lt;300,"High 100-299","Premium 300+")))</x:f>
        <x:v>Low &lt; 25</x:v>
      </x:c>
      <x:c r="Y1136" t="n">
        <x:f>IF(C1136="Active",1,0)</x:f>
        <x:v>0</x:v>
      </x:c>
    </x:row>
    <x:row r="1137">
      <x:c r="A1137" t="str">
        <x:v>SKU01136</x:v>
      </x:c>
      <x:c r="B1137" t="str">
        <x:v>Sample Product 01136</x:v>
      </x:c>
      <x:c r="C1137" t="str">
        <x:v>Active</x:v>
      </x:c>
      <x:c r="D1137" t="str">
        <x:v>2026-05</x:v>
      </x:c>
      <x:c r="E1137" s="12" t="n">
        <x:v>4.65</x:v>
      </x:c>
      <x:c r="F1137" s="10" t="n">
        <x:v>0.299</x:v>
      </x:c>
      <x:c r="G1137" t="str">
        <x:v>Medical Devices</x:v>
      </x:c>
      <x:c r="H1137" t="str">
        <x:v>Monitoring Supplies</x:v>
      </x:c>
      <x:c r="I1137" t="str">
        <x:v>MFG013</x:v>
      </x:c>
      <x:c r="J1137" t="str">
        <x:v>Manufacturer 013</x:v>
      </x:c>
      <x:c r="K1137" t="str">
        <x:v>SUP001</x:v>
      </x:c>
      <x:c r="L1137" t="str">
        <x:v>Supplier 001</x:v>
      </x:c>
      <x:c r="M1137" t="str">
        <x:v>REG-226483</x:v>
      </x:c>
      <x:c r="N1137" t="str">
        <x:v>Generic Ingredient 061</x:v>
      </x:c>
      <x:c r="O1137" t="str">
        <x:v>Restricted Sale</x:v>
      </x:c>
      <x:c r="P1137" t="n">
        <x:v>43</x:v>
      </x:c>
      <x:c r="Q1137" t="n">
        <x:v>0</x:v>
      </x:c>
      <x:c r="R1137" t="n">
        <x:v>48</x:v>
      </x:c>
      <x:c r="S1137" s="12" t="n">
        <x:f>E1137*Q1137</x:f>
        <x:v>0</x:v>
      </x:c>
      <x:c r="T1137" s="12" t="n">
        <x:f>ROUND(S1137*F1137+0.000000001,2)</x:f>
        <x:v>0</x:v>
      </x:c>
      <x:c r="U1137" s="12" t="n">
        <x:f>E1137*R1137</x:f>
        <x:v>223.20000000000002</x:v>
      </x:c>
      <x:c r="V1137" t="str">
        <x:f>IF(AND(C1137="Active",Q1137=0),"Active Zero Sales","Not Zero Sales")</x:f>
        <x:v>Active Zero Sales</x:v>
      </x:c>
      <x:c r="W1137" s="12" t="n">
        <x:f>IF(V1137="Active Zero Sales",U1137,0)</x:f>
        <x:v>223.20000000000002</x:v>
      </x:c>
      <x:c r="X1137" t="str">
        <x:f>IF(E1137&lt;25,"Low &lt; 25",IF(E1137&lt;100,"Medium 25-99",IF(E1137&lt;300,"High 100-299","Premium 300+")))</x:f>
        <x:v>Low &lt; 25</x:v>
      </x:c>
      <x:c r="Y1137" t="n">
        <x:f>IF(C1137="Active",1,0)</x:f>
        <x:v>1</x:v>
      </x:c>
    </x:row>
    <x:row r="1138">
      <x:c r="A1138" t="str">
        <x:v>SKU01137</x:v>
      </x:c>
      <x:c r="B1138" t="str">
        <x:v>Sample Product 01137</x:v>
      </x:c>
      <x:c r="C1138" t="str">
        <x:v>Active</x:v>
      </x:c>
      <x:c r="D1138" t="str">
        <x:v>2026-01</x:v>
      </x:c>
      <x:c r="E1138" s="12" t="n">
        <x:v>9.71</x:v>
      </x:c>
      <x:c r="F1138" s="10" t="n">
        <x:v>0.262</x:v>
      </x:c>
      <x:c r="G1138" t="str">
        <x:v>OTC &amp; Wellness</x:v>
      </x:c>
      <x:c r="H1138" t="str">
        <x:v>Pain Relief</x:v>
      </x:c>
      <x:c r="I1138" t="str">
        <x:v>MFG006</x:v>
      </x:c>
      <x:c r="J1138" t="str">
        <x:v>Manufacturer 006</x:v>
      </x:c>
      <x:c r="K1138" t="str">
        <x:v>SUP013</x:v>
      </x:c>
      <x:c r="L1138" t="str">
        <x:v>Supplier 013</x:v>
      </x:c>
      <x:c r="M1138" t="str">
        <x:v>REG-958550</x:v>
      </x:c>
      <x:c r="N1138" t="str">
        <x:v>Generic Ingredient 075</x:v>
      </x:c>
      <x:c r="O1138" t="str">
        <x:v>Restricted Sale</x:v>
      </x:c>
      <x:c r="P1138" t="n">
        <x:v>26</x:v>
      </x:c>
      <x:c r="Q1138" t="n">
        <x:v>11</x:v>
      </x:c>
      <x:c r="R1138" t="n">
        <x:v>6</x:v>
      </x:c>
      <x:c r="S1138" s="12" t="n">
        <x:f>E1138*Q1138</x:f>
        <x:v>106.81</x:v>
      </x:c>
      <x:c r="T1138" s="12" t="n">
        <x:f>ROUND(S1138*F1138+0.000000001,2)</x:f>
        <x:v>27.98</x:v>
      </x:c>
      <x:c r="U1138" s="12" t="n">
        <x:f>E1138*R1138</x:f>
        <x:v>58.260000000000005</x:v>
      </x:c>
      <x:c r="V1138" t="str">
        <x:f>IF(AND(C1138="Active",Q1138=0),"Active Zero Sales","Not Zero Sales")</x:f>
        <x:v>Not Zero Sales</x:v>
      </x:c>
      <x:c r="W1138" s="12" t="n">
        <x:f>IF(V1138="Active Zero Sales",U1138,0)</x:f>
        <x:v>0</x:v>
      </x:c>
      <x:c r="X1138" t="str">
        <x:f>IF(E1138&lt;25,"Low &lt; 25",IF(E1138&lt;100,"Medium 25-99",IF(E1138&lt;300,"High 100-299","Premium 300+")))</x:f>
        <x:v>Low &lt; 25</x:v>
      </x:c>
      <x:c r="Y1138" t="n">
        <x:f>IF(C1138="Active",1,0)</x:f>
        <x:v>1</x:v>
      </x:c>
    </x:row>
    <x:row r="1139">
      <x:c r="A1139" t="str">
        <x:v>SKU01138</x:v>
      </x:c>
      <x:c r="B1139" t="str">
        <x:v>Sample Product 01138</x:v>
      </x:c>
      <x:c r="C1139" t="str">
        <x:v>Active</x:v>
      </x:c>
      <x:c r="D1139" t="str">
        <x:v>2026-05</x:v>
      </x:c>
      <x:c r="E1139" s="12" t="n">
        <x:v>39.54</x:v>
      </x:c>
      <x:c r="F1139" s="10" t="n">
        <x:v>0.279</x:v>
      </x:c>
      <x:c r="G1139" t="str">
        <x:v>Nutrition</x:v>
      </x:c>
      <x:c r="H1139" t="str">
        <x:v>Sports Nutrition</x:v>
      </x:c>
      <x:c r="I1139" t="str">
        <x:v>MFG012</x:v>
      </x:c>
      <x:c r="J1139" t="str">
        <x:v>Manufacturer 012</x:v>
      </x:c>
      <x:c r="K1139" t="str">
        <x:v>SUP017</x:v>
      </x:c>
      <x:c r="L1139" t="str">
        <x:v>Supplier 017</x:v>
      </x:c>
      <x:c r="M1139" t="str">
        <x:v>REG-820486</x:v>
      </x:c>
      <x:c r="N1139" t="str">
        <x:v>Generic Ingredient 131</x:v>
      </x:c>
      <x:c r="O1139" t="str">
        <x:v>General Sale</x:v>
      </x:c>
      <x:c r="P1139" t="n">
        <x:v>35</x:v>
      </x:c>
      <x:c r="Q1139" t="n">
        <x:v>16</x:v>
      </x:c>
      <x:c r="R1139" t="n">
        <x:v>1</x:v>
      </x:c>
      <x:c r="S1139" s="12" t="n">
        <x:f>E1139*Q1139</x:f>
        <x:v>632.64</x:v>
      </x:c>
      <x:c r="T1139" s="12" t="n">
        <x:f>ROUND(S1139*F1139+0.000000001,2)</x:f>
        <x:v>176.51</x:v>
      </x:c>
      <x:c r="U1139" s="12" t="n">
        <x:f>E1139*R1139</x:f>
        <x:v>39.54</x:v>
      </x:c>
      <x:c r="V1139" t="str">
        <x:f>IF(AND(C1139="Active",Q1139=0),"Active Zero Sales","Not Zero Sales")</x:f>
        <x:v>Not Zero Sales</x:v>
      </x:c>
      <x:c r="W1139" s="12" t="n">
        <x:f>IF(V1139="Active Zero Sales",U1139,0)</x:f>
        <x:v>0</x:v>
      </x:c>
      <x:c r="X1139" t="str">
        <x:f>IF(E1139&lt;25,"Low &lt; 25",IF(E1139&lt;100,"Medium 25-99",IF(E1139&lt;300,"High 100-299","Premium 300+")))</x:f>
        <x:v>Medium 25-99</x:v>
      </x:c>
      <x:c r="Y1139" t="n">
        <x:f>IF(C1139="Active",1,0)</x:f>
        <x:v>1</x:v>
      </x:c>
    </x:row>
    <x:row r="1140">
      <x:c r="A1140" t="str">
        <x:v>SKU01139</x:v>
      </x:c>
      <x:c r="B1140" t="str">
        <x:v>Sample Product 01139</x:v>
      </x:c>
      <x:c r="C1140" t="str">
        <x:v>Active</x:v>
      </x:c>
      <x:c r="D1140" t="str">
        <x:v>2026-04</x:v>
      </x:c>
      <x:c r="E1140" s="12" t="n">
        <x:v>286.49</x:v>
      </x:c>
      <x:c r="F1140" s="10" t="n">
        <x:v>0.312</x:v>
      </x:c>
      <x:c r="G1140" t="str">
        <x:v>OTC &amp; Wellness</x:v>
      </x:c>
      <x:c r="H1140" t="str">
        <x:v>Digestive Care</x:v>
      </x:c>
      <x:c r="I1140" t="str">
        <x:v>MFG016</x:v>
      </x:c>
      <x:c r="J1140" t="str">
        <x:v>Manufacturer 016</x:v>
      </x:c>
      <x:c r="K1140" t="str">
        <x:v>SUP027</x:v>
      </x:c>
      <x:c r="L1140" t="str">
        <x:v>Supplier 027</x:v>
      </x:c>
      <x:c r="M1140" t="str">
        <x:v>REG-305237</x:v>
      </x:c>
      <x:c r="N1140" t="str">
        <x:v>Generic Ingredient 171</x:v>
      </x:c>
      <x:c r="O1140" t="str">
        <x:v>General Sale</x:v>
      </x:c>
      <x:c r="P1140" t="n">
        <x:v>12</x:v>
      </x:c>
      <x:c r="Q1140" t="n">
        <x:v>20</x:v>
      </x:c>
      <x:c r="R1140" t="n">
        <x:v>0</x:v>
      </x:c>
      <x:c r="S1140" s="12" t="n">
        <x:f>E1140*Q1140</x:f>
        <x:v>5729.8</x:v>
      </x:c>
      <x:c r="T1140" s="12" t="n">
        <x:f>ROUND(S1140*F1140+0.000000001,2)</x:f>
        <x:v>1787.7</x:v>
      </x:c>
      <x:c r="U1140" s="12" t="n">
        <x:f>E1140*R1140</x:f>
        <x:v>0</x:v>
      </x:c>
      <x:c r="V1140" t="str">
        <x:f>IF(AND(C1140="Active",Q1140=0),"Active Zero Sales","Not Zero Sales")</x:f>
        <x:v>Not Zero Sales</x:v>
      </x:c>
      <x:c r="W1140" s="12" t="n">
        <x:f>IF(V1140="Active Zero Sales",U1140,0)</x:f>
        <x:v>0</x:v>
      </x:c>
      <x:c r="X1140" t="str">
        <x:f>IF(E1140&lt;25,"Low &lt; 25",IF(E1140&lt;100,"Medium 25-99",IF(E1140&lt;300,"High 100-299","Premium 300+")))</x:f>
        <x:v>High 100-299</x:v>
      </x:c>
      <x:c r="Y1140" t="n">
        <x:f>IF(C1140="Active",1,0)</x:f>
        <x:v>1</x:v>
      </x:c>
    </x:row>
    <x:row r="1141">
      <x:c r="A1141" t="str">
        <x:v>SKU01140</x:v>
      </x:c>
      <x:c r="B1141" t="str">
        <x:v>Sample Product 01140</x:v>
      </x:c>
      <x:c r="C1141" t="str">
        <x:v>Active</x:v>
      </x:c>
      <x:c r="D1141" t="str">
        <x:v>2026-01</x:v>
      </x:c>
      <x:c r="E1141" s="12" t="n">
        <x:v>27.38</x:v>
      </x:c>
      <x:c r="F1141" s="10" t="n">
        <x:v>0.361</x:v>
      </x:c>
      <x:c r="G1141" t="str">
        <x:v>Personal Care</x:v>
      </x:c>
      <x:c r="H1141" t="str">
        <x:v>Hair Care</x:v>
      </x:c>
      <x:c r="I1141" t="str">
        <x:v>MFG009</x:v>
      </x:c>
      <x:c r="J1141" t="str">
        <x:v>Manufacturer 009</x:v>
      </x:c>
      <x:c r="K1141" t="str">
        <x:v>SUP007</x:v>
      </x:c>
      <x:c r="L1141" t="str">
        <x:v>Supplier 007</x:v>
      </x:c>
      <x:c r="M1141" t="str">
        <x:v>REG-345477</x:v>
      </x:c>
      <x:c r="N1141" t="str">
        <x:v>Generic Ingredient 136</x:v>
      </x:c>
      <x:c r="O1141" t="str">
        <x:v>General Sale</x:v>
      </x:c>
      <x:c r="P1141" t="n">
        <x:v>71</x:v>
      </x:c>
      <x:c r="Q1141" t="n">
        <x:v>0</x:v>
      </x:c>
      <x:c r="R1141" t="n">
        <x:v>64</x:v>
      </x:c>
      <x:c r="S1141" s="12" t="n">
        <x:f>E1141*Q1141</x:f>
        <x:v>0</x:v>
      </x:c>
      <x:c r="T1141" s="12" t="n">
        <x:f>ROUND(S1141*F1141+0.000000001,2)</x:f>
        <x:v>0</x:v>
      </x:c>
      <x:c r="U1141" s="12" t="n">
        <x:f>E1141*R1141</x:f>
        <x:v>1752.32</x:v>
      </x:c>
      <x:c r="V1141" t="str">
        <x:f>IF(AND(C1141="Active",Q1141=0),"Active Zero Sales","Not Zero Sales")</x:f>
        <x:v>Active Zero Sales</x:v>
      </x:c>
      <x:c r="W1141" s="12" t="n">
        <x:f>IF(V1141="Active Zero Sales",U1141,0)</x:f>
        <x:v>1752.32</x:v>
      </x:c>
      <x:c r="X1141" t="str">
        <x:f>IF(E1141&lt;25,"Low &lt; 25",IF(E1141&lt;100,"Medium 25-99",IF(E1141&lt;300,"High 100-299","Premium 300+")))</x:f>
        <x:v>Medium 25-99</x:v>
      </x:c>
      <x:c r="Y1141" t="n">
        <x:f>IF(C1141="Active",1,0)</x:f>
        <x:v>1</x:v>
      </x:c>
    </x:row>
    <x:row r="1142">
      <x:c r="A1142" t="str">
        <x:v>SKU01141</x:v>
      </x:c>
      <x:c r="B1142" t="str">
        <x:v>Sample Product 01141</x:v>
      </x:c>
      <x:c r="C1142" t="str">
        <x:v>Active</x:v>
      </x:c>
      <x:c r="D1142" t="str">
        <x:v>2026-03</x:v>
      </x:c>
      <x:c r="E1142" s="12" t="n">
        <x:v>21.15</x:v>
      </x:c>
      <x:c r="F1142" s="10" t="n">
        <x:v>0.228</x:v>
      </x:c>
      <x:c r="G1142" t="str">
        <x:v>Medical Devices</x:v>
      </x:c>
      <x:c r="H1142" t="str">
        <x:v>Monitoring Supplies</x:v>
      </x:c>
      <x:c r="I1142" t="str">
        <x:v>MFG018</x:v>
      </x:c>
      <x:c r="J1142" t="str">
        <x:v>Manufacturer 018</x:v>
      </x:c>
      <x:c r="K1142" t="str">
        <x:v>SUP012</x:v>
      </x:c>
      <x:c r="L1142" t="str">
        <x:v>Supplier 012</x:v>
      </x:c>
      <x:c r="M1142" t="str">
        <x:v>REG-726337</x:v>
      </x:c>
      <x:c r="N1142" t="str">
        <x:v>Generic Ingredient 037</x:v>
      </x:c>
      <x:c r="O1142" t="str">
        <x:v>General Sale</x:v>
      </x:c>
      <x:c r="P1142" t="n">
        <x:v>50</x:v>
      </x:c>
      <x:c r="Q1142" t="n">
        <x:v>5</x:v>
      </x:c>
      <x:c r="R1142" t="n">
        <x:v>10</x:v>
      </x:c>
      <x:c r="S1142" s="12" t="n">
        <x:f>E1142*Q1142</x:f>
        <x:v>105.75</x:v>
      </x:c>
      <x:c r="T1142" s="12" t="n">
        <x:f>ROUND(S1142*F1142+0.000000001,2)</x:f>
        <x:v>24.11</x:v>
      </x:c>
      <x:c r="U1142" s="12" t="n">
        <x:f>E1142*R1142</x:f>
        <x:v>211.5</x:v>
      </x:c>
      <x:c r="V1142" t="str">
        <x:f>IF(AND(C1142="Active",Q1142=0),"Active Zero Sales","Not Zero Sales")</x:f>
        <x:v>Not Zero Sales</x:v>
      </x:c>
      <x:c r="W1142" s="12" t="n">
        <x:f>IF(V1142="Active Zero Sales",U1142,0)</x:f>
        <x:v>0</x:v>
      </x:c>
      <x:c r="X1142" t="str">
        <x:f>IF(E1142&lt;25,"Low &lt; 25",IF(E1142&lt;100,"Medium 25-99",IF(E1142&lt;300,"High 100-299","Premium 300+")))</x:f>
        <x:v>Low &lt; 25</x:v>
      </x:c>
      <x:c r="Y1142" t="n">
        <x:f>IF(C1142="Active",1,0)</x:f>
        <x:v>1</x:v>
      </x:c>
    </x:row>
    <x:row r="1143">
      <x:c r="A1143" t="str">
        <x:v>SKU01142</x:v>
      </x:c>
      <x:c r="B1143" t="str">
        <x:v>Sample Product 01142</x:v>
      </x:c>
      <x:c r="C1143" t="str">
        <x:v>Active</x:v>
      </x:c>
      <x:c r="D1143" t="str">
        <x:v>2026-06</x:v>
      </x:c>
      <x:c r="E1143" s="12" t="n">
        <x:v>256.4</x:v>
      </x:c>
      <x:c r="F1143" s="10" t="n">
        <x:v>0.374</x:v>
      </x:c>
      <x:c r="G1143" t="str">
        <x:v>OTC &amp; Wellness</x:v>
      </x:c>
      <x:c r="H1143" t="str">
        <x:v>Vitamins</x:v>
      </x:c>
      <x:c r="I1143" t="str">
        <x:v>MFG002</x:v>
      </x:c>
      <x:c r="J1143" t="str">
        <x:v>Manufacturer 002</x:v>
      </x:c>
      <x:c r="K1143" t="str">
        <x:v>SUP025</x:v>
      </x:c>
      <x:c r="L1143" t="str">
        <x:v>Supplier 025</x:v>
      </x:c>
      <x:c r="M1143" t="str">
        <x:v>REG-273529</x:v>
      </x:c>
      <x:c r="N1143" t="str">
        <x:v>Generic Ingredient 134</x:v>
      </x:c>
      <x:c r="O1143" t="str">
        <x:v>General Sale</x:v>
      </x:c>
      <x:c r="P1143" t="n">
        <x:v>9</x:v>
      </x:c>
      <x:c r="Q1143" t="n">
        <x:v>5</x:v>
      </x:c>
      <x:c r="R1143" t="n">
        <x:v>0</x:v>
      </x:c>
      <x:c r="S1143" s="12" t="n">
        <x:f>E1143*Q1143</x:f>
        <x:v>1282</x:v>
      </x:c>
      <x:c r="T1143" s="12" t="n">
        <x:f>ROUND(S1143*F1143+0.000000001,2)</x:f>
        <x:v>479.47</x:v>
      </x:c>
      <x:c r="U1143" s="12" t="n">
        <x:f>E1143*R1143</x:f>
        <x:v>0</x:v>
      </x:c>
      <x:c r="V1143" t="str">
        <x:f>IF(AND(C1143="Active",Q1143=0),"Active Zero Sales","Not Zero Sales")</x:f>
        <x:v>Not Zero Sales</x:v>
      </x:c>
      <x:c r="W1143" s="12" t="n">
        <x:f>IF(V1143="Active Zero Sales",U1143,0)</x:f>
        <x:v>0</x:v>
      </x:c>
      <x:c r="X1143" t="str">
        <x:f>IF(E1143&lt;25,"Low &lt; 25",IF(E1143&lt;100,"Medium 25-99",IF(E1143&lt;300,"High 100-299","Premium 300+")))</x:f>
        <x:v>High 100-299</x:v>
      </x:c>
      <x:c r="Y1143" t="n">
        <x:f>IF(C1143="Active",1,0)</x:f>
        <x:v>1</x:v>
      </x:c>
    </x:row>
    <x:row r="1144">
      <x:c r="A1144" t="str">
        <x:v>SKU01143</x:v>
      </x:c>
      <x:c r="B1144" t="str">
        <x:v>Sample Product 01143</x:v>
      </x:c>
      <x:c r="C1144" t="str">
        <x:v>Active</x:v>
      </x:c>
      <x:c r="D1144" t="str">
        <x:v>2026-02</x:v>
      </x:c>
      <x:c r="E1144" s="12" t="n">
        <x:v>139.55</x:v>
      </x:c>
      <x:c r="F1144" s="10" t="n">
        <x:v>0.332</x:v>
      </x:c>
      <x:c r="G1144" t="str">
        <x:v>Nutrition</x:v>
      </x:c>
      <x:c r="H1144" t="str">
        <x:v>Sports Nutrition</x:v>
      </x:c>
      <x:c r="I1144" t="str">
        <x:v>MFG001</x:v>
      </x:c>
      <x:c r="J1144" t="str">
        <x:v>Manufacturer 001</x:v>
      </x:c>
      <x:c r="K1144" t="str">
        <x:v>SUP009</x:v>
      </x:c>
      <x:c r="L1144" t="str">
        <x:v>Supplier 009</x:v>
      </x:c>
      <x:c r="M1144" t="str">
        <x:v>REG-226174</x:v>
      </x:c>
      <x:c r="N1144" t="str">
        <x:v>Generic Ingredient 165</x:v>
      </x:c>
      <x:c r="O1144" t="str">
        <x:v>General Sale</x:v>
      </x:c>
      <x:c r="P1144" t="n">
        <x:v>54</x:v>
      </x:c>
      <x:c r="Q1144" t="n">
        <x:v>2</x:v>
      </x:c>
      <x:c r="R1144" t="n">
        <x:v>8</x:v>
      </x:c>
      <x:c r="S1144" s="12" t="n">
        <x:f>E1144*Q1144</x:f>
        <x:v>279.1</x:v>
      </x:c>
      <x:c r="T1144" s="12" t="n">
        <x:f>ROUND(S1144*F1144+0.000000001,2)</x:f>
        <x:v>92.66</x:v>
      </x:c>
      <x:c r="U1144" s="12" t="n">
        <x:f>E1144*R1144</x:f>
        <x:v>1116.4</x:v>
      </x:c>
      <x:c r="V1144" t="str">
        <x:f>IF(AND(C1144="Active",Q1144=0),"Active Zero Sales","Not Zero Sales")</x:f>
        <x:v>Not Zero Sales</x:v>
      </x:c>
      <x:c r="W1144" s="12" t="n">
        <x:f>IF(V1144="Active Zero Sales",U1144,0)</x:f>
        <x:v>0</x:v>
      </x:c>
      <x:c r="X1144" t="str">
        <x:f>IF(E1144&lt;25,"Low &lt; 25",IF(E1144&lt;100,"Medium 25-99",IF(E1144&lt;300,"High 100-299","Premium 300+")))</x:f>
        <x:v>High 100-299</x:v>
      </x:c>
      <x:c r="Y1144" t="n">
        <x:f>IF(C1144="Active",1,0)</x:f>
        <x:v>1</x:v>
      </x:c>
    </x:row>
    <x:row r="1145">
      <x:c r="A1145" t="str">
        <x:v>SKU01144</x:v>
      </x:c>
      <x:c r="B1145" t="str">
        <x:v>Sample Product 01144</x:v>
      </x:c>
      <x:c r="C1145" t="str">
        <x:v>Active</x:v>
      </x:c>
      <x:c r="D1145" t="str">
        <x:v>2026-06</x:v>
      </x:c>
      <x:c r="E1145" s="12" t="n">
        <x:v>16.28</x:v>
      </x:c>
      <x:c r="F1145" s="10" t="n">
        <x:v>0.352</x:v>
      </x:c>
      <x:c r="G1145" t="str">
        <x:v>OTC &amp; Wellness</x:v>
      </x:c>
      <x:c r="H1145" t="str">
        <x:v>Vitamins</x:v>
      </x:c>
      <x:c r="I1145" t="str">
        <x:v>MFG016</x:v>
      </x:c>
      <x:c r="J1145" t="str">
        <x:v>Manufacturer 016</x:v>
      </x:c>
      <x:c r="K1145" t="str">
        <x:v>SUP009</x:v>
      </x:c>
      <x:c r="L1145" t="str">
        <x:v>Supplier 009</x:v>
      </x:c>
      <x:c r="M1145" t="str">
        <x:v>REG-726461</x:v>
      </x:c>
      <x:c r="N1145" t="str">
        <x:v>Generic Ingredient 103</x:v>
      </x:c>
      <x:c r="O1145" t="str">
        <x:v>General Sale</x:v>
      </x:c>
      <x:c r="P1145" t="n">
        <x:v>94</x:v>
      </x:c>
      <x:c r="Q1145" t="n">
        <x:v>68</x:v>
      </x:c>
      <x:c r="R1145" t="n">
        <x:v>0</x:v>
      </x:c>
      <x:c r="S1145" s="12" t="n">
        <x:f>E1145*Q1145</x:f>
        <x:v>1107.04</x:v>
      </x:c>
      <x:c r="T1145" s="12" t="n">
        <x:f>ROUND(S1145*F1145+0.000000001,2)</x:f>
        <x:v>389.68</x:v>
      </x:c>
      <x:c r="U1145" s="12" t="n">
        <x:f>E1145*R1145</x:f>
        <x:v>0</x:v>
      </x:c>
      <x:c r="V1145" t="str">
        <x:f>IF(AND(C1145="Active",Q1145=0),"Active Zero Sales","Not Zero Sales")</x:f>
        <x:v>Not Zero Sales</x:v>
      </x:c>
      <x:c r="W1145" s="12" t="n">
        <x:f>IF(V1145="Active Zero Sales",U1145,0)</x:f>
        <x:v>0</x:v>
      </x:c>
      <x:c r="X1145" t="str">
        <x:f>IF(E1145&lt;25,"Low &lt; 25",IF(E1145&lt;100,"Medium 25-99",IF(E1145&lt;300,"High 100-299","Premium 300+")))</x:f>
        <x:v>Low &lt; 25</x:v>
      </x:c>
      <x:c r="Y1145" t="n">
        <x:f>IF(C1145="Active",1,0)</x:f>
        <x:v>1</x:v>
      </x:c>
    </x:row>
    <x:row r="1146">
      <x:c r="A1146" t="str">
        <x:v>SKU01145</x:v>
      </x:c>
      <x:c r="B1146" t="str">
        <x:v>Sample Product 01145</x:v>
      </x:c>
      <x:c r="C1146" t="str">
        <x:v>Active</x:v>
      </x:c>
      <x:c r="D1146" t="str">
        <x:v>2026-04</x:v>
      </x:c>
      <x:c r="E1146" s="12" t="n">
        <x:v>23.95</x:v>
      </x:c>
      <x:c r="F1146" s="10" t="n">
        <x:v>0.229</x:v>
      </x:c>
      <x:c r="G1146" t="str">
        <x:v>Medical Devices</x:v>
      </x:c>
      <x:c r="H1146" t="str">
        <x:v>Monitoring Supplies</x:v>
      </x:c>
      <x:c r="I1146" t="str">
        <x:v>MFG007</x:v>
      </x:c>
      <x:c r="J1146" t="str">
        <x:v>Manufacturer 007</x:v>
      </x:c>
      <x:c r="K1146" t="str">
        <x:v>SUP026</x:v>
      </x:c>
      <x:c r="L1146" t="str">
        <x:v>Supplier 026</x:v>
      </x:c>
      <x:c r="M1146" t="str">
        <x:v>REG-784508</x:v>
      </x:c>
      <x:c r="N1146" t="str">
        <x:v>Generic Ingredient 017</x:v>
      </x:c>
      <x:c r="O1146" t="str">
        <x:v>General Sale</x:v>
      </x:c>
      <x:c r="P1146" t="n">
        <x:v>62</x:v>
      </x:c>
      <x:c r="Q1146" t="n">
        <x:v>24</x:v>
      </x:c>
      <x:c r="R1146" t="n">
        <x:v>14</x:v>
      </x:c>
      <x:c r="S1146" s="12" t="n">
        <x:f>E1146*Q1146</x:f>
        <x:v>574.8</x:v>
      </x:c>
      <x:c r="T1146" s="12" t="n">
        <x:f>ROUND(S1146*F1146+0.000000001,2)</x:f>
        <x:v>131.63</x:v>
      </x:c>
      <x:c r="U1146" s="12" t="n">
        <x:f>E1146*R1146</x:f>
        <x:v>335.3</x:v>
      </x:c>
      <x:c r="V1146" t="str">
        <x:f>IF(AND(C1146="Active",Q1146=0),"Active Zero Sales","Not Zero Sales")</x:f>
        <x:v>Not Zero Sales</x:v>
      </x:c>
      <x:c r="W1146" s="12" t="n">
        <x:f>IF(V1146="Active Zero Sales",U1146,0)</x:f>
        <x:v>0</x:v>
      </x:c>
      <x:c r="X1146" t="str">
        <x:f>IF(E1146&lt;25,"Low &lt; 25",IF(E1146&lt;100,"Medium 25-99",IF(E1146&lt;300,"High 100-299","Premium 300+")))</x:f>
        <x:v>Low &lt; 25</x:v>
      </x:c>
      <x:c r="Y1146" t="n">
        <x:f>IF(C1146="Active",1,0)</x:f>
        <x:v>1</x:v>
      </x:c>
    </x:row>
    <x:row r="1147">
      <x:c r="A1147" t="str">
        <x:v>SKU01146</x:v>
      </x:c>
      <x:c r="B1147" t="str">
        <x:v>Sample Product 01146</x:v>
      </x:c>
      <x:c r="C1147" t="str">
        <x:v>Active</x:v>
      </x:c>
      <x:c r="D1147" t="str">
        <x:v>2026-03</x:v>
      </x:c>
      <x:c r="E1147" s="12" t="n">
        <x:v>4.73</x:v>
      </x:c>
      <x:c r="F1147" s="10" t="n">
        <x:v>0.355</x:v>
      </x:c>
      <x:c r="G1147" t="str">
        <x:v>OTC &amp; Wellness</x:v>
      </x:c>
      <x:c r="H1147" t="str">
        <x:v>Cold &amp; Allergy</x:v>
      </x:c>
      <x:c r="I1147" t="str">
        <x:v>MFG020</x:v>
      </x:c>
      <x:c r="J1147" t="str">
        <x:v>Manufacturer 020</x:v>
      </x:c>
      <x:c r="K1147" t="str">
        <x:v>SUP024</x:v>
      </x:c>
      <x:c r="L1147" t="str">
        <x:v>Supplier 024</x:v>
      </x:c>
      <x:c r="M1147" t="str">
        <x:v>REG-534264</x:v>
      </x:c>
      <x:c r="N1147" t="str">
        <x:v>Generic Ingredient 138</x:v>
      </x:c>
      <x:c r="O1147" t="str">
        <x:v>General Sale</x:v>
      </x:c>
      <x:c r="P1147" t="n">
        <x:v>68</x:v>
      </x:c>
      <x:c r="Q1147" t="n">
        <x:v>50</x:v>
      </x:c>
      <x:c r="R1147" t="n">
        <x:v>0</x:v>
      </x:c>
      <x:c r="S1147" s="12" t="n">
        <x:f>E1147*Q1147</x:f>
        <x:v>236.50000000000003</x:v>
      </x:c>
      <x:c r="T1147" s="12" t="n">
        <x:f>ROUND(S1147*F1147+0.000000001,2)</x:f>
        <x:v>83.96</x:v>
      </x:c>
      <x:c r="U1147" s="12" t="n">
        <x:f>E1147*R1147</x:f>
        <x:v>0</x:v>
      </x:c>
      <x:c r="V1147" t="str">
        <x:f>IF(AND(C1147="Active",Q1147=0),"Active Zero Sales","Not Zero Sales")</x:f>
        <x:v>Not Zero Sales</x:v>
      </x:c>
      <x:c r="W1147" s="12" t="n">
        <x:f>IF(V1147="Active Zero Sales",U1147,0)</x:f>
        <x:v>0</x:v>
      </x:c>
      <x:c r="X1147" t="str">
        <x:f>IF(E1147&lt;25,"Low &lt; 25",IF(E1147&lt;100,"Medium 25-99",IF(E1147&lt;300,"High 100-299","Premium 300+")))</x:f>
        <x:v>Low &lt; 25</x:v>
      </x:c>
      <x:c r="Y1147" t="n">
        <x:f>IF(C1147="Active",1,0)</x:f>
        <x:v>1</x:v>
      </x:c>
    </x:row>
    <x:row r="1148">
      <x:c r="A1148" t="str">
        <x:v>SKU01147</x:v>
      </x:c>
      <x:c r="B1148" t="str">
        <x:v>Sample Product 01147</x:v>
      </x:c>
      <x:c r="C1148" t="str">
        <x:v>Active</x:v>
      </x:c>
      <x:c r="D1148" t="str">
        <x:v>2026-06</x:v>
      </x:c>
      <x:c r="E1148" s="12" t="n">
        <x:v>18.27</x:v>
      </x:c>
      <x:c r="F1148" s="10" t="n">
        <x:v>0.351</x:v>
      </x:c>
      <x:c r="G1148" t="str">
        <x:v>Personal Care</x:v>
      </x:c>
      <x:c r="H1148" t="str">
        <x:v>Hair Care</x:v>
      </x:c>
      <x:c r="I1148" t="str">
        <x:v>MFG010</x:v>
      </x:c>
      <x:c r="J1148" t="str">
        <x:v>Manufacturer 010</x:v>
      </x:c>
      <x:c r="K1148" t="str">
        <x:v>SUP014</x:v>
      </x:c>
      <x:c r="L1148" t="str">
        <x:v>Supplier 014</x:v>
      </x:c>
      <x:c r="M1148" t="str">
        <x:v>REG-789772</x:v>
      </x:c>
      <x:c r="N1148" t="str">
        <x:v>Generic Ingredient 155</x:v>
      </x:c>
      <x:c r="O1148" t="str">
        <x:v>General Sale</x:v>
      </x:c>
      <x:c r="P1148" t="n">
        <x:v>106</x:v>
      </x:c>
      <x:c r="Q1148" t="n">
        <x:v>57</x:v>
      </x:c>
      <x:c r="R1148" t="n">
        <x:v>18</x:v>
      </x:c>
      <x:c r="S1148" s="12" t="n">
        <x:f>E1148*Q1148</x:f>
        <x:v>1041.3899999999999</x:v>
      </x:c>
      <x:c r="T1148" s="12" t="n">
        <x:f>ROUND(S1148*F1148+0.000000001,2)</x:f>
        <x:v>365.53</x:v>
      </x:c>
      <x:c r="U1148" s="12" t="n">
        <x:f>E1148*R1148</x:f>
        <x:v>328.86</x:v>
      </x:c>
      <x:c r="V1148" t="str">
        <x:f>IF(AND(C1148="Active",Q1148=0),"Active Zero Sales","Not Zero Sales")</x:f>
        <x:v>Not Zero Sales</x:v>
      </x:c>
      <x:c r="W1148" s="12" t="n">
        <x:f>IF(V1148="Active Zero Sales",U1148,0)</x:f>
        <x:v>0</x:v>
      </x:c>
      <x:c r="X1148" t="str">
        <x:f>IF(E1148&lt;25,"Low &lt; 25",IF(E1148&lt;100,"Medium 25-99",IF(E1148&lt;300,"High 100-299","Premium 300+")))</x:f>
        <x:v>Low &lt; 25</x:v>
      </x:c>
      <x:c r="Y1148" t="n">
        <x:f>IF(C1148="Active",1,0)</x:f>
        <x:v>1</x:v>
      </x:c>
    </x:row>
    <x:row r="1149">
      <x:c r="A1149" t="str">
        <x:v>SKU01148</x:v>
      </x:c>
      <x:c r="B1149" t="str">
        <x:v>Sample Product 01148</x:v>
      </x:c>
      <x:c r="C1149" t="str">
        <x:v>Active</x:v>
      </x:c>
      <x:c r="D1149" t="str">
        <x:v>2026-04</x:v>
      </x:c>
      <x:c r="E1149" s="12" t="n">
        <x:v>12.7</x:v>
      </x:c>
      <x:c r="F1149" s="10" t="n">
        <x:v>0.386</x:v>
      </x:c>
      <x:c r="G1149" t="str">
        <x:v>General Merchandise</x:v>
      </x:c>
      <x:c r="H1149" t="str">
        <x:v>Travel Health</x:v>
      </x:c>
      <x:c r="I1149" t="str">
        <x:v>MFG017</x:v>
      </x:c>
      <x:c r="J1149" t="str">
        <x:v>Manufacturer 017</x:v>
      </x:c>
      <x:c r="K1149" t="str">
        <x:v>SUP019</x:v>
      </x:c>
      <x:c r="L1149" t="str">
        <x:v>Supplier 019</x:v>
      </x:c>
      <x:c r="M1149" t="str">
        <x:v>REG-561666</x:v>
      </x:c>
      <x:c r="N1149" t="str">
        <x:v>Generic Ingredient 159</x:v>
      </x:c>
      <x:c r="O1149" t="str">
        <x:v>General Sale</x:v>
      </x:c>
      <x:c r="P1149" t="n">
        <x:v>18</x:v>
      </x:c>
      <x:c r="Q1149" t="n">
        <x:v>16</x:v>
      </x:c>
      <x:c r="R1149" t="n">
        <x:v>0</x:v>
      </x:c>
      <x:c r="S1149" s="12" t="n">
        <x:f>E1149*Q1149</x:f>
        <x:v>203.2</x:v>
      </x:c>
      <x:c r="T1149" s="12" t="n">
        <x:f>ROUND(S1149*F1149+0.000000001,2)</x:f>
        <x:v>78.44</x:v>
      </x:c>
      <x:c r="U1149" s="12" t="n">
        <x:f>E1149*R1149</x:f>
        <x:v>0</x:v>
      </x:c>
      <x:c r="V1149" t="str">
        <x:f>IF(AND(C1149="Active",Q1149=0),"Active Zero Sales","Not Zero Sales")</x:f>
        <x:v>Not Zero Sales</x:v>
      </x:c>
      <x:c r="W1149" s="12" t="n">
        <x:f>IF(V1149="Active Zero Sales",U1149,0)</x:f>
        <x:v>0</x:v>
      </x:c>
      <x:c r="X1149" t="str">
        <x:f>IF(E1149&lt;25,"Low &lt; 25",IF(E1149&lt;100,"Medium 25-99",IF(E1149&lt;300,"High 100-299","Premium 300+")))</x:f>
        <x:v>Low &lt; 25</x:v>
      </x:c>
      <x:c r="Y1149" t="n">
        <x:f>IF(C1149="Active",1,0)</x:f>
        <x:v>1</x:v>
      </x:c>
    </x:row>
    <x:row r="1150">
      <x:c r="A1150" t="str">
        <x:v>SKU01149</x:v>
      </x:c>
      <x:c r="B1150" t="str">
        <x:v>Sample Product 01149</x:v>
      </x:c>
      <x:c r="C1150" t="str">
        <x:v>Active</x:v>
      </x:c>
      <x:c r="D1150" t="str">
        <x:v>2026-06</x:v>
      </x:c>
      <x:c r="E1150" s="12" t="n">
        <x:v>33.64</x:v>
      </x:c>
      <x:c r="F1150" s="10" t="n">
        <x:v>0.286</x:v>
      </x:c>
      <x:c r="G1150" t="str">
        <x:v>General Merchandise</x:v>
      </x:c>
      <x:c r="H1150" t="str">
        <x:v>Baby Essentials</x:v>
      </x:c>
      <x:c r="I1150" t="str">
        <x:v>MFG001</x:v>
      </x:c>
      <x:c r="J1150" t="str">
        <x:v>Manufacturer 001</x:v>
      </x:c>
      <x:c r="K1150" t="str">
        <x:v>SUP028</x:v>
      </x:c>
      <x:c r="L1150" t="str">
        <x:v>Supplier 028</x:v>
      </x:c>
      <x:c r="M1150" t="str">
        <x:v>REG-322054</x:v>
      </x:c>
      <x:c r="N1150" t="str">
        <x:v>Generic Ingredient 123</x:v>
      </x:c>
      <x:c r="O1150" t="str">
        <x:v>Pharmacy Only</x:v>
      </x:c>
      <x:c r="P1150" t="n">
        <x:v>50</x:v>
      </x:c>
      <x:c r="Q1150" t="n">
        <x:v>13</x:v>
      </x:c>
      <x:c r="R1150" t="n">
        <x:v>0</x:v>
      </x:c>
      <x:c r="S1150" s="12" t="n">
        <x:f>E1150*Q1150</x:f>
        <x:v>437.32</x:v>
      </x:c>
      <x:c r="T1150" s="12" t="n">
        <x:f>ROUND(S1150*F1150+0.000000001,2)</x:f>
        <x:v>125.07</x:v>
      </x:c>
      <x:c r="U1150" s="12" t="n">
        <x:f>E1150*R1150</x:f>
        <x:v>0</x:v>
      </x:c>
      <x:c r="V1150" t="str">
        <x:f>IF(AND(C1150="Active",Q1150=0),"Active Zero Sales","Not Zero Sales")</x:f>
        <x:v>Not Zero Sales</x:v>
      </x:c>
      <x:c r="W1150" s="12" t="n">
        <x:f>IF(V1150="Active Zero Sales",U1150,0)</x:f>
        <x:v>0</x:v>
      </x:c>
      <x:c r="X1150" t="str">
        <x:f>IF(E1150&lt;25,"Low &lt; 25",IF(E1150&lt;100,"Medium 25-99",IF(E1150&lt;300,"High 100-299","Premium 300+")))</x:f>
        <x:v>Medium 25-99</x:v>
      </x:c>
      <x:c r="Y1150" t="n">
        <x:f>IF(C1150="Active",1,0)</x:f>
        <x:v>1</x:v>
      </x:c>
    </x:row>
    <x:row r="1151">
      <x:c r="A1151" t="str">
        <x:v>SKU01150</x:v>
      </x:c>
      <x:c r="B1151" t="str">
        <x:v>Sample Product 01150</x:v>
      </x:c>
      <x:c r="C1151" t="str">
        <x:v>Active</x:v>
      </x:c>
      <x:c r="D1151" t="str">
        <x:v>2026-05</x:v>
      </x:c>
      <x:c r="E1151" s="12" t="n">
        <x:v>66.23</x:v>
      </x:c>
      <x:c r="F1151" s="10" t="n">
        <x:v>0.391</x:v>
      </x:c>
      <x:c r="G1151" t="str">
        <x:v>OTC &amp; Wellness</x:v>
      </x:c>
      <x:c r="H1151" t="str">
        <x:v>Pain Relief</x:v>
      </x:c>
      <x:c r="I1151" t="str">
        <x:v>MFG005</x:v>
      </x:c>
      <x:c r="J1151" t="str">
        <x:v>Manufacturer 005</x:v>
      </x:c>
      <x:c r="K1151" t="str">
        <x:v>SUP020</x:v>
      </x:c>
      <x:c r="L1151" t="str">
        <x:v>Supplier 020</x:v>
      </x:c>
      <x:c r="M1151" t="str">
        <x:v>REG-163609</x:v>
      </x:c>
      <x:c r="N1151" t="str">
        <x:v>Generic Ingredient 090</x:v>
      </x:c>
      <x:c r="O1151" t="str">
        <x:v>General Sale</x:v>
      </x:c>
      <x:c r="P1151" t="n">
        <x:v>54</x:v>
      </x:c>
      <x:c r="Q1151" t="n">
        <x:v>10</x:v>
      </x:c>
      <x:c r="R1151" t="n">
        <x:v>0</x:v>
      </x:c>
      <x:c r="S1151" s="12" t="n">
        <x:f>E1151*Q1151</x:f>
        <x:v>662.3000000000001</x:v>
      </x:c>
      <x:c r="T1151" s="12" t="n">
        <x:f>ROUND(S1151*F1151+0.000000001,2)</x:f>
        <x:v>258.96</x:v>
      </x:c>
      <x:c r="U1151" s="12" t="n">
        <x:f>E1151*R1151</x:f>
        <x:v>0</x:v>
      </x:c>
      <x:c r="V1151" t="str">
        <x:f>IF(AND(C1151="Active",Q1151=0),"Active Zero Sales","Not Zero Sales")</x:f>
        <x:v>Not Zero Sales</x:v>
      </x:c>
      <x:c r="W1151" s="12" t="n">
        <x:f>IF(V1151="Active Zero Sales",U1151,0)</x:f>
        <x:v>0</x:v>
      </x:c>
      <x:c r="X1151" t="str">
        <x:f>IF(E1151&lt;25,"Low &lt; 25",IF(E1151&lt;100,"Medium 25-99",IF(E1151&lt;300,"High 100-299","Premium 300+")))</x:f>
        <x:v>Medium 25-99</x:v>
      </x:c>
      <x:c r="Y1151" t="n">
        <x:f>IF(C1151="Active",1,0)</x:f>
        <x:v>1</x:v>
      </x:c>
    </x:row>
    <x:row r="1152">
      <x:c r="A1152" t="str">
        <x:v>SKU01151</x:v>
      </x:c>
      <x:c r="B1152" t="str">
        <x:v>Sample Product 01151</x:v>
      </x:c>
      <x:c r="C1152" t="str">
        <x:v>Blocked</x:v>
      </x:c>
      <x:c r="D1152" t="str">
        <x:v>2026-01</x:v>
      </x:c>
      <x:c r="E1152" s="12" t="n">
        <x:v>239.45</x:v>
      </x:c>
      <x:c r="F1152" s="10" t="n">
        <x:v>0.479</x:v>
      </x:c>
      <x:c r="G1152" t="str">
        <x:v>OTC &amp; Wellness</x:v>
      </x:c>
      <x:c r="H1152" t="str">
        <x:v>Digestive Care</x:v>
      </x:c>
      <x:c r="I1152" t="str">
        <x:v>MFG020</x:v>
      </x:c>
      <x:c r="J1152" t="str">
        <x:v>Manufacturer 020</x:v>
      </x:c>
      <x:c r="K1152" t="str">
        <x:v>SUP008</x:v>
      </x:c>
      <x:c r="L1152" t="str">
        <x:v>Supplier 008</x:v>
      </x:c>
      <x:c r="M1152" t="str">
        <x:v>REG-932018</x:v>
      </x:c>
      <x:c r="N1152" t="str">
        <x:v>Generic Ingredient 167</x:v>
      </x:c>
      <x:c r="O1152" t="str">
        <x:v>General Sale</x:v>
      </x:c>
      <x:c r="P1152" t="n">
        <x:v>63</x:v>
      </x:c>
      <x:c r="Q1152" t="n">
        <x:v>31</x:v>
      </x:c>
      <x:c r="R1152" t="n">
        <x:v>0</x:v>
      </x:c>
      <x:c r="S1152" s="12" t="n">
        <x:f>E1152*Q1152</x:f>
        <x:v>7422.95</x:v>
      </x:c>
      <x:c r="T1152" s="12" t="n">
        <x:f>ROUND(S1152*F1152+0.000000001,2)</x:f>
        <x:v>3555.59</x:v>
      </x:c>
      <x:c r="U1152" s="12" t="n">
        <x:f>E1152*R1152</x:f>
        <x:v>0</x:v>
      </x:c>
      <x:c r="V1152" t="str">
        <x:f>IF(AND(C1152="Active",Q1152=0),"Active Zero Sales","Not Zero Sales")</x:f>
        <x:v>Not Zero Sales</x:v>
      </x:c>
      <x:c r="W1152" s="12" t="n">
        <x:f>IF(V1152="Active Zero Sales",U1152,0)</x:f>
        <x:v>0</x:v>
      </x:c>
      <x:c r="X1152" t="str">
        <x:f>IF(E1152&lt;25,"Low &lt; 25",IF(E1152&lt;100,"Medium 25-99",IF(E1152&lt;300,"High 100-299","Premium 300+")))</x:f>
        <x:v>High 100-299</x:v>
      </x:c>
      <x:c r="Y1152" t="n">
        <x:f>IF(C1152="Active",1,0)</x:f>
        <x:v>0</x:v>
      </x:c>
    </x:row>
    <x:row r="1153">
      <x:c r="A1153" t="str">
        <x:v>SKU01152</x:v>
      </x:c>
      <x:c r="B1153" t="str">
        <x:v>Sample Product 01152</x:v>
      </x:c>
      <x:c r="C1153" t="str">
        <x:v>Active</x:v>
      </x:c>
      <x:c r="D1153" t="str">
        <x:v>2026-06</x:v>
      </x:c>
      <x:c r="E1153" s="12" t="n">
        <x:v>4.92</x:v>
      </x:c>
      <x:c r="F1153" s="10" t="n">
        <x:v>0.391</x:v>
      </x:c>
      <x:c r="G1153" t="str">
        <x:v>Medical Devices</x:v>
      </x:c>
      <x:c r="H1153" t="str">
        <x:v>Monitoring Supplies</x:v>
      </x:c>
      <x:c r="I1153" t="str">
        <x:v>MFG002</x:v>
      </x:c>
      <x:c r="J1153" t="str">
        <x:v>Manufacturer 002</x:v>
      </x:c>
      <x:c r="K1153" t="str">
        <x:v>SUP026</x:v>
      </x:c>
      <x:c r="L1153" t="str">
        <x:v>Supplier 026</x:v>
      </x:c>
      <x:c r="M1153" t="str">
        <x:v>REG-174073</x:v>
      </x:c>
      <x:c r="N1153" t="str">
        <x:v>Generic Ingredient 166</x:v>
      </x:c>
      <x:c r="O1153" t="str">
        <x:v>General Sale</x:v>
      </x:c>
      <x:c r="P1153" t="n">
        <x:v>110</x:v>
      </x:c>
      <x:c r="Q1153" t="n">
        <x:v>66</x:v>
      </x:c>
      <x:c r="R1153" t="n">
        <x:v>16</x:v>
      </x:c>
      <x:c r="S1153" s="12" t="n">
        <x:f>E1153*Q1153</x:f>
        <x:v>324.71999999999997</x:v>
      </x:c>
      <x:c r="T1153" s="12" t="n">
        <x:f>ROUND(S1153*F1153+0.000000001,2)</x:f>
        <x:v>126.97</x:v>
      </x:c>
      <x:c r="U1153" s="12" t="n">
        <x:f>E1153*R1153</x:f>
        <x:v>78.72</x:v>
      </x:c>
      <x:c r="V1153" t="str">
        <x:f>IF(AND(C1153="Active",Q1153=0),"Active Zero Sales","Not Zero Sales")</x:f>
        <x:v>Not Zero Sales</x:v>
      </x:c>
      <x:c r="W1153" s="12" t="n">
        <x:f>IF(V1153="Active Zero Sales",U1153,0)</x:f>
        <x:v>0</x:v>
      </x:c>
      <x:c r="X1153" t="str">
        <x:f>IF(E1153&lt;25,"Low &lt; 25",IF(E1153&lt;100,"Medium 25-99",IF(E1153&lt;300,"High 100-299","Premium 300+")))</x:f>
        <x:v>Low &lt; 25</x:v>
      </x:c>
      <x:c r="Y1153" t="n">
        <x:f>IF(C1153="Active",1,0)</x:f>
        <x:v>1</x:v>
      </x:c>
    </x:row>
    <x:row r="1154">
      <x:c r="A1154" t="str">
        <x:v>SKU01153</x:v>
      </x:c>
      <x:c r="B1154" t="str">
        <x:v>Sample Product 01153</x:v>
      </x:c>
      <x:c r="C1154" t="str">
        <x:v>Active</x:v>
      </x:c>
      <x:c r="D1154" t="str">
        <x:v>2026-06</x:v>
      </x:c>
      <x:c r="E1154" s="12" t="n">
        <x:v>14.24</x:v>
      </x:c>
      <x:c r="F1154" s="10" t="n">
        <x:v>0.258</x:v>
      </x:c>
      <x:c r="G1154" t="str">
        <x:v>General Merchandise</x:v>
      </x:c>
      <x:c r="H1154" t="str">
        <x:v>Accessories</x:v>
      </x:c>
      <x:c r="I1154" t="str">
        <x:v>MFG014</x:v>
      </x:c>
      <x:c r="J1154" t="str">
        <x:v>Manufacturer 014</x:v>
      </x:c>
      <x:c r="K1154" t="str">
        <x:v>SUP027</x:v>
      </x:c>
      <x:c r="L1154" t="str">
        <x:v>Supplier 027</x:v>
      </x:c>
      <x:c r="M1154" t="str">
        <x:v>REG-931569</x:v>
      </x:c>
      <x:c r="N1154" t="str">
        <x:v>Generic Ingredient 043</x:v>
      </x:c>
      <x:c r="O1154" t="str">
        <x:v>General Sale</x:v>
      </x:c>
      <x:c r="P1154" t="n">
        <x:v>38</x:v>
      </x:c>
      <x:c r="Q1154" t="n">
        <x:v>18</x:v>
      </x:c>
      <x:c r="R1154" t="n">
        <x:v>10</x:v>
      </x:c>
      <x:c r="S1154" s="12" t="n">
        <x:f>E1154*Q1154</x:f>
        <x:v>256.32</x:v>
      </x:c>
      <x:c r="T1154" s="12" t="n">
        <x:f>ROUND(S1154*F1154+0.000000001,2)</x:f>
        <x:v>66.13</x:v>
      </x:c>
      <x:c r="U1154" s="12" t="n">
        <x:f>E1154*R1154</x:f>
        <x:v>142.4</x:v>
      </x:c>
      <x:c r="V1154" t="str">
        <x:f>IF(AND(C1154="Active",Q1154=0),"Active Zero Sales","Not Zero Sales")</x:f>
        <x:v>Not Zero Sales</x:v>
      </x:c>
      <x:c r="W1154" s="12" t="n">
        <x:f>IF(V1154="Active Zero Sales",U1154,0)</x:f>
        <x:v>0</x:v>
      </x:c>
      <x:c r="X1154" t="str">
        <x:f>IF(E1154&lt;25,"Low &lt; 25",IF(E1154&lt;100,"Medium 25-99",IF(E1154&lt;300,"High 100-299","Premium 300+")))</x:f>
        <x:v>Low &lt; 25</x:v>
      </x:c>
      <x:c r="Y1154" t="n">
        <x:f>IF(C1154="Active",1,0)</x:f>
        <x:v>1</x:v>
      </x:c>
    </x:row>
    <x:row r="1155">
      <x:c r="A1155" t="str">
        <x:v>SKU01154</x:v>
      </x:c>
      <x:c r="B1155" t="str">
        <x:v>Sample Product 01154</x:v>
      </x:c>
      <x:c r="C1155" t="str">
        <x:v>Active</x:v>
      </x:c>
      <x:c r="D1155" t="str">
        <x:v>2026-01</x:v>
      </x:c>
      <x:c r="E1155" s="12" t="n">
        <x:v>162.1</x:v>
      </x:c>
      <x:c r="F1155" s="10" t="n">
        <x:v>0.322</x:v>
      </x:c>
      <x:c r="G1155" t="str">
        <x:v>OTC &amp; Wellness</x:v>
      </x:c>
      <x:c r="H1155" t="str">
        <x:v>Pain Relief</x:v>
      </x:c>
      <x:c r="I1155" t="str">
        <x:v>MFG020</x:v>
      </x:c>
      <x:c r="J1155" t="str">
        <x:v>Manufacturer 020</x:v>
      </x:c>
      <x:c r="K1155" t="str">
        <x:v>SUP021</x:v>
      </x:c>
      <x:c r="L1155" t="str">
        <x:v>Supplier 021</x:v>
      </x:c>
      <x:c r="M1155" t="str">
        <x:v>REG-260530</x:v>
      </x:c>
      <x:c r="N1155" t="str">
        <x:v>Generic Ingredient 041</x:v>
      </x:c>
      <x:c r="O1155" t="str">
        <x:v>General Sale</x:v>
      </x:c>
      <x:c r="P1155" t="n">
        <x:v>184</x:v>
      </x:c>
      <x:c r="Q1155" t="n">
        <x:v>137</x:v>
      </x:c>
      <x:c r="R1155" t="n">
        <x:v>47</x:v>
      </x:c>
      <x:c r="S1155" s="12" t="n">
        <x:f>E1155*Q1155</x:f>
        <x:v>22207.7</x:v>
      </x:c>
      <x:c r="T1155" s="12" t="n">
        <x:f>ROUND(S1155*F1155+0.000000001,2)</x:f>
        <x:v>7150.88</x:v>
      </x:c>
      <x:c r="U1155" s="12" t="n">
        <x:f>E1155*R1155</x:f>
        <x:v>7618.7</x:v>
      </x:c>
      <x:c r="V1155" t="str">
        <x:f>IF(AND(C1155="Active",Q1155=0),"Active Zero Sales","Not Zero Sales")</x:f>
        <x:v>Not Zero Sales</x:v>
      </x:c>
      <x:c r="W1155" s="12" t="n">
        <x:f>IF(V1155="Active Zero Sales",U1155,0)</x:f>
        <x:v>0</x:v>
      </x:c>
      <x:c r="X1155" t="str">
        <x:f>IF(E1155&lt;25,"Low &lt; 25",IF(E1155&lt;100,"Medium 25-99",IF(E1155&lt;300,"High 100-299","Premium 300+")))</x:f>
        <x:v>High 100-299</x:v>
      </x:c>
      <x:c r="Y1155" t="n">
        <x:f>IF(C1155="Active",1,0)</x:f>
        <x:v>1</x:v>
      </x:c>
    </x:row>
    <x:row r="1156">
      <x:c r="A1156" t="str">
        <x:v>SKU01155</x:v>
      </x:c>
      <x:c r="B1156" t="str">
        <x:v>Sample Product 01155</x:v>
      </x:c>
      <x:c r="C1156" t="str">
        <x:v>Active</x:v>
      </x:c>
      <x:c r="D1156" t="str">
        <x:v>2026-01</x:v>
      </x:c>
      <x:c r="E1156" s="12" t="n">
        <x:v>270</x:v>
      </x:c>
      <x:c r="F1156" s="10" t="n">
        <x:v>0.283</x:v>
      </x:c>
      <x:c r="G1156" t="str">
        <x:v>Nutrition</x:v>
      </x:c>
      <x:c r="H1156" t="str">
        <x:v>Adult Nutrition</x:v>
      </x:c>
      <x:c r="I1156" t="str">
        <x:v>MFG003</x:v>
      </x:c>
      <x:c r="J1156" t="str">
        <x:v>Manufacturer 003</x:v>
      </x:c>
      <x:c r="K1156" t="str">
        <x:v>SUP001</x:v>
      </x:c>
      <x:c r="L1156" t="str">
        <x:v>Supplier 001</x:v>
      </x:c>
      <x:c r="M1156" t="str">
        <x:v>REG-296904</x:v>
      </x:c>
      <x:c r="N1156" t="str">
        <x:v>Generic Ingredient 100</x:v>
      </x:c>
      <x:c r="O1156" t="str">
        <x:v>General Sale</x:v>
      </x:c>
      <x:c r="P1156" t="n">
        <x:v>30</x:v>
      </x:c>
      <x:c r="Q1156" t="n">
        <x:v>15</x:v>
      </x:c>
      <x:c r="R1156" t="n">
        <x:v>0</x:v>
      </x:c>
      <x:c r="S1156" s="12" t="n">
        <x:f>E1156*Q1156</x:f>
        <x:v>4050</x:v>
      </x:c>
      <x:c r="T1156" s="12" t="n">
        <x:f>ROUND(S1156*F1156+0.000000001,2)</x:f>
        <x:v>1146.15</x:v>
      </x:c>
      <x:c r="U1156" s="12" t="n">
        <x:f>E1156*R1156</x:f>
        <x:v>0</x:v>
      </x:c>
      <x:c r="V1156" t="str">
        <x:f>IF(AND(C1156="Active",Q1156=0),"Active Zero Sales","Not Zero Sales")</x:f>
        <x:v>Not Zero Sales</x:v>
      </x:c>
      <x:c r="W1156" s="12" t="n">
        <x:f>IF(V1156="Active Zero Sales",U1156,0)</x:f>
        <x:v>0</x:v>
      </x:c>
      <x:c r="X1156" t="str">
        <x:f>IF(E1156&lt;25,"Low &lt; 25",IF(E1156&lt;100,"Medium 25-99",IF(E1156&lt;300,"High 100-299","Premium 300+")))</x:f>
        <x:v>High 100-299</x:v>
      </x:c>
      <x:c r="Y1156" t="n">
        <x:f>IF(C1156="Active",1,0)</x:f>
        <x:v>1</x:v>
      </x:c>
    </x:row>
    <x:row r="1157">
      <x:c r="A1157" t="str">
        <x:v>SKU01156</x:v>
      </x:c>
      <x:c r="B1157" t="str">
        <x:v>Sample Product 01156</x:v>
      </x:c>
      <x:c r="C1157" t="str">
        <x:v>Blocked</x:v>
      </x:c>
      <x:c r="D1157" t="str">
        <x:v>2026-04</x:v>
      </x:c>
      <x:c r="E1157" s="12" t="n">
        <x:v>14.77</x:v>
      </x:c>
      <x:c r="F1157" s="10" t="n">
        <x:v>0.296</x:v>
      </x:c>
      <x:c r="G1157" t="str">
        <x:v>Personal Care</x:v>
      </x:c>
      <x:c r="H1157" t="str">
        <x:v>Oral Care</x:v>
      </x:c>
      <x:c r="I1157" t="str">
        <x:v>MFG007</x:v>
      </x:c>
      <x:c r="J1157" t="str">
        <x:v>Manufacturer 007</x:v>
      </x:c>
      <x:c r="K1157" t="str">
        <x:v>SUP022</x:v>
      </x:c>
      <x:c r="L1157" t="str">
        <x:v>Supplier 022</x:v>
      </x:c>
      <x:c r="M1157" t="str">
        <x:v>REG-822269</x:v>
      </x:c>
      <x:c r="N1157" t="str">
        <x:v>Generic Ingredient 140</x:v>
      </x:c>
      <x:c r="O1157" t="str">
        <x:v>General Sale</x:v>
      </x:c>
      <x:c r="P1157" t="n">
        <x:v>17</x:v>
      </x:c>
      <x:c r="Q1157" t="n">
        <x:v>0</x:v>
      </x:c>
      <x:c r="R1157" t="n">
        <x:v>0</x:v>
      </x:c>
      <x:c r="S1157" s="12" t="n">
        <x:f>E1157*Q1157</x:f>
        <x:v>0</x:v>
      </x:c>
      <x:c r="T1157" s="12" t="n">
        <x:f>ROUND(S1157*F1157+0.000000001,2)</x:f>
        <x:v>0</x:v>
      </x:c>
      <x:c r="U1157" s="12" t="n">
        <x:f>E1157*R1157</x:f>
        <x:v>0</x:v>
      </x:c>
      <x:c r="V1157" t="str">
        <x:f>IF(AND(C1157="Active",Q1157=0),"Active Zero Sales","Not Zero Sales")</x:f>
        <x:v>Not Zero Sales</x:v>
      </x:c>
      <x:c r="W1157" s="12" t="n">
        <x:f>IF(V1157="Active Zero Sales",U1157,0)</x:f>
        <x:v>0</x:v>
      </x:c>
      <x:c r="X1157" t="str">
        <x:f>IF(E1157&lt;25,"Low &lt; 25",IF(E1157&lt;100,"Medium 25-99",IF(E1157&lt;300,"High 100-299","Premium 300+")))</x:f>
        <x:v>Low &lt; 25</x:v>
      </x:c>
      <x:c r="Y1157" t="n">
        <x:f>IF(C1157="Active",1,0)</x:f>
        <x:v>0</x:v>
      </x:c>
    </x:row>
    <x:row r="1158">
      <x:c r="A1158" t="str">
        <x:v>SKU01157</x:v>
      </x:c>
      <x:c r="B1158" t="str">
        <x:v>Sample Product 01157</x:v>
      </x:c>
      <x:c r="C1158" t="str">
        <x:v>Active</x:v>
      </x:c>
      <x:c r="D1158" t="str">
        <x:v>2026-05</x:v>
      </x:c>
      <x:c r="E1158" s="12" t="n">
        <x:v>49.2</x:v>
      </x:c>
      <x:c r="F1158" s="10" t="n">
        <x:v>0.384</x:v>
      </x:c>
      <x:c r="G1158" t="str">
        <x:v>OTC &amp; Wellness</x:v>
      </x:c>
      <x:c r="H1158" t="str">
        <x:v>Pain Relief</x:v>
      </x:c>
      <x:c r="I1158" t="str">
        <x:v>MFG015</x:v>
      </x:c>
      <x:c r="J1158" t="str">
        <x:v>Manufacturer 015</x:v>
      </x:c>
      <x:c r="K1158" t="str">
        <x:v>SUP024</x:v>
      </x:c>
      <x:c r="L1158" t="str">
        <x:v>Supplier 024</x:v>
      </x:c>
      <x:c r="M1158" t="str">
        <x:v>REG-702339</x:v>
      </x:c>
      <x:c r="N1158" t="str">
        <x:v>Generic Ingredient 144</x:v>
      </x:c>
      <x:c r="O1158" t="str">
        <x:v>General Sale</x:v>
      </x:c>
      <x:c r="P1158" t="n">
        <x:v>133</x:v>
      </x:c>
      <x:c r="Q1158" t="n">
        <x:v>62</x:v>
      </x:c>
      <x:c r="R1158" t="n">
        <x:v>22</x:v>
      </x:c>
      <x:c r="S1158" s="12" t="n">
        <x:f>E1158*Q1158</x:f>
        <x:v>3050.4</x:v>
      </x:c>
      <x:c r="T1158" s="12" t="n">
        <x:f>ROUND(S1158*F1158+0.000000001,2)</x:f>
        <x:v>1171.35</x:v>
      </x:c>
      <x:c r="U1158" s="12" t="n">
        <x:f>E1158*R1158</x:f>
        <x:v>1082.4</x:v>
      </x:c>
      <x:c r="V1158" t="str">
        <x:f>IF(AND(C1158="Active",Q1158=0),"Active Zero Sales","Not Zero Sales")</x:f>
        <x:v>Not Zero Sales</x:v>
      </x:c>
      <x:c r="W1158" s="12" t="n">
        <x:f>IF(V1158="Active Zero Sales",U1158,0)</x:f>
        <x:v>0</x:v>
      </x:c>
      <x:c r="X1158" t="str">
        <x:f>IF(E1158&lt;25,"Low &lt; 25",IF(E1158&lt;100,"Medium 25-99",IF(E1158&lt;300,"High 100-299","Premium 300+")))</x:f>
        <x:v>Medium 25-99</x:v>
      </x:c>
      <x:c r="Y1158" t="n">
        <x:f>IF(C1158="Active",1,0)</x:f>
        <x:v>1</x:v>
      </x:c>
    </x:row>
    <x:row r="1159">
      <x:c r="A1159" t="str">
        <x:v>SKU01158</x:v>
      </x:c>
      <x:c r="B1159" t="str">
        <x:v>Sample Product 01158</x:v>
      </x:c>
      <x:c r="C1159" t="str">
        <x:v>Active</x:v>
      </x:c>
      <x:c r="D1159" t="str">
        <x:v>2026-03</x:v>
      </x:c>
      <x:c r="E1159" s="12" t="n">
        <x:v>48.65</x:v>
      </x:c>
      <x:c r="F1159" s="10" t="n">
        <x:v>0.301</x:v>
      </x:c>
      <x:c r="G1159" t="str">
        <x:v>General Merchandise</x:v>
      </x:c>
      <x:c r="H1159" t="str">
        <x:v>Seasonal Care</x:v>
      </x:c>
      <x:c r="I1159" t="str">
        <x:v>MFG013</x:v>
      </x:c>
      <x:c r="J1159" t="str">
        <x:v>Manufacturer 013</x:v>
      </x:c>
      <x:c r="K1159" t="str">
        <x:v>SUP013</x:v>
      </x:c>
      <x:c r="L1159" t="str">
        <x:v>Supplier 013</x:v>
      </x:c>
      <x:c r="M1159" t="str">
        <x:v>REG-387796</x:v>
      </x:c>
      <x:c r="N1159" t="str">
        <x:v>Generic Ingredient 133</x:v>
      </x:c>
      <x:c r="O1159" t="str">
        <x:v>General Sale</x:v>
      </x:c>
      <x:c r="P1159" t="n">
        <x:v>22</x:v>
      </x:c>
      <x:c r="Q1159" t="n">
        <x:v>12</x:v>
      </x:c>
      <x:c r="R1159" t="n">
        <x:v>0</x:v>
      </x:c>
      <x:c r="S1159" s="12" t="n">
        <x:f>E1159*Q1159</x:f>
        <x:v>583.8</x:v>
      </x:c>
      <x:c r="T1159" s="12" t="n">
        <x:f>ROUND(S1159*F1159+0.000000001,2)</x:f>
        <x:v>175.72</x:v>
      </x:c>
      <x:c r="U1159" s="12" t="n">
        <x:f>E1159*R1159</x:f>
        <x:v>0</x:v>
      </x:c>
      <x:c r="V1159" t="str">
        <x:f>IF(AND(C1159="Active",Q1159=0),"Active Zero Sales","Not Zero Sales")</x:f>
        <x:v>Not Zero Sales</x:v>
      </x:c>
      <x:c r="W1159" s="12" t="n">
        <x:f>IF(V1159="Active Zero Sales",U1159,0)</x:f>
        <x:v>0</x:v>
      </x:c>
      <x:c r="X1159" t="str">
        <x:f>IF(E1159&lt;25,"Low &lt; 25",IF(E1159&lt;100,"Medium 25-99",IF(E1159&lt;300,"High 100-299","Premium 300+")))</x:f>
        <x:v>Medium 25-99</x:v>
      </x:c>
      <x:c r="Y1159" t="n">
        <x:f>IF(C1159="Active",1,0)</x:f>
        <x:v>1</x:v>
      </x:c>
    </x:row>
    <x:row r="1160">
      <x:c r="A1160" t="str">
        <x:v>SKU01159</x:v>
      </x:c>
      <x:c r="B1160" t="str">
        <x:v>Sample Product 01159</x:v>
      </x:c>
      <x:c r="C1160" t="str">
        <x:v>Blocked</x:v>
      </x:c>
      <x:c r="D1160" t="str">
        <x:v>2026-04</x:v>
      </x:c>
      <x:c r="E1160" s="12" t="n">
        <x:v>359.54</x:v>
      </x:c>
      <x:c r="F1160" s="10" t="n">
        <x:v>0.391</x:v>
      </x:c>
      <x:c r="G1160" t="str">
        <x:v>General Merchandise</x:v>
      </x:c>
      <x:c r="H1160" t="str">
        <x:v>Baby Essentials</x:v>
      </x:c>
      <x:c r="I1160" t="str">
        <x:v>MFG017</x:v>
      </x:c>
      <x:c r="J1160" t="str">
        <x:v>Manufacturer 017</x:v>
      </x:c>
      <x:c r="K1160" t="str">
        <x:v>SUP023</x:v>
      </x:c>
      <x:c r="L1160" t="str">
        <x:v>Supplier 023</x:v>
      </x:c>
      <x:c r="M1160" t="str">
        <x:v>REG-847343</x:v>
      </x:c>
      <x:c r="N1160" t="str">
        <x:v>Generic Ingredient 092</x:v>
      </x:c>
      <x:c r="O1160" t="str">
        <x:v>General Sale</x:v>
      </x:c>
      <x:c r="P1160" t="n">
        <x:v>13</x:v>
      </x:c>
      <x:c r="Q1160" t="n">
        <x:v>0</x:v>
      </x:c>
      <x:c r="R1160" t="n">
        <x:v>0</x:v>
      </x:c>
      <x:c r="S1160" s="12" t="n">
        <x:f>E1160*Q1160</x:f>
        <x:v>0</x:v>
      </x:c>
      <x:c r="T1160" s="12" t="n">
        <x:f>ROUND(S1160*F1160+0.000000001,2)</x:f>
        <x:v>0</x:v>
      </x:c>
      <x:c r="U1160" s="12" t="n">
        <x:f>E1160*R1160</x:f>
        <x:v>0</x:v>
      </x:c>
      <x:c r="V1160" t="str">
        <x:f>IF(AND(C1160="Active",Q1160=0),"Active Zero Sales","Not Zero Sales")</x:f>
        <x:v>Not Zero Sales</x:v>
      </x:c>
      <x:c r="W1160" s="12" t="n">
        <x:f>IF(V1160="Active Zero Sales",U1160,0)</x:f>
        <x:v>0</x:v>
      </x:c>
      <x:c r="X1160" t="str">
        <x:f>IF(E1160&lt;25,"Low &lt; 25",IF(E1160&lt;100,"Medium 25-99",IF(E1160&lt;300,"High 100-299","Premium 300+")))</x:f>
        <x:v>Premium 300+</x:v>
      </x:c>
      <x:c r="Y1160" t="n">
        <x:f>IF(C1160="Active",1,0)</x:f>
        <x:v>0</x:v>
      </x:c>
    </x:row>
    <x:row r="1161">
      <x:c r="A1161" t="str">
        <x:v>SKU01160</x:v>
      </x:c>
      <x:c r="B1161" t="str">
        <x:v>Sample Product 01160</x:v>
      </x:c>
      <x:c r="C1161" t="str">
        <x:v>Active</x:v>
      </x:c>
      <x:c r="D1161" t="str">
        <x:v>2026-02</x:v>
      </x:c>
      <x:c r="E1161" s="12" t="n">
        <x:v>254.58</x:v>
      </x:c>
      <x:c r="F1161" s="10" t="n">
        <x:v>0.366</x:v>
      </x:c>
      <x:c r="G1161" t="str">
        <x:v>OTC &amp; Wellness</x:v>
      </x:c>
      <x:c r="H1161" t="str">
        <x:v>Vitamins</x:v>
      </x:c>
      <x:c r="I1161" t="str">
        <x:v>MFG019</x:v>
      </x:c>
      <x:c r="J1161" t="str">
        <x:v>Manufacturer 019</x:v>
      </x:c>
      <x:c r="K1161" t="str">
        <x:v>SUP022</x:v>
      </x:c>
      <x:c r="L1161" t="str">
        <x:v>Supplier 022</x:v>
      </x:c>
      <x:c r="M1161" t="str">
        <x:v>REG-130985</x:v>
      </x:c>
      <x:c r="N1161" t="str">
        <x:v>Generic Ingredient 055</x:v>
      </x:c>
      <x:c r="O1161" t="str">
        <x:v>General Sale</x:v>
      </x:c>
      <x:c r="P1161" t="n">
        <x:v>32</x:v>
      </x:c>
      <x:c r="Q1161" t="n">
        <x:v>30</x:v>
      </x:c>
      <x:c r="R1161" t="n">
        <x:v>12</x:v>
      </x:c>
      <x:c r="S1161" s="12" t="n">
        <x:f>E1161*Q1161</x:f>
        <x:v>7637.400000000001</x:v>
      </x:c>
      <x:c r="T1161" s="12" t="n">
        <x:f>ROUND(S1161*F1161+0.000000001,2)</x:f>
        <x:v>2795.29</x:v>
      </x:c>
      <x:c r="U1161" s="12" t="n">
        <x:f>E1161*R1161</x:f>
        <x:v>3054.96</x:v>
      </x:c>
      <x:c r="V1161" t="str">
        <x:f>IF(AND(C1161="Active",Q1161=0),"Active Zero Sales","Not Zero Sales")</x:f>
        <x:v>Not Zero Sales</x:v>
      </x:c>
      <x:c r="W1161" s="12" t="n">
        <x:f>IF(V1161="Active Zero Sales",U1161,0)</x:f>
        <x:v>0</x:v>
      </x:c>
      <x:c r="X1161" t="str">
        <x:f>IF(E1161&lt;25,"Low &lt; 25",IF(E1161&lt;100,"Medium 25-99",IF(E1161&lt;300,"High 100-299","Premium 300+")))</x:f>
        <x:v>High 100-299</x:v>
      </x:c>
      <x:c r="Y1161" t="n">
        <x:f>IF(C1161="Active",1,0)</x:f>
        <x:v>1</x:v>
      </x:c>
    </x:row>
    <x:row r="1162">
      <x:c r="A1162" t="str">
        <x:v>SKU01161</x:v>
      </x:c>
      <x:c r="B1162" t="str">
        <x:v>Sample Product 01161</x:v>
      </x:c>
      <x:c r="C1162" t="str">
        <x:v>Active</x:v>
      </x:c>
      <x:c r="D1162" t="str">
        <x:v>2026-03</x:v>
      </x:c>
      <x:c r="E1162" s="12" t="n">
        <x:v>12.92</x:v>
      </x:c>
      <x:c r="F1162" s="10" t="n">
        <x:v>0.357</x:v>
      </x:c>
      <x:c r="G1162" t="str">
        <x:v>Personal Care</x:v>
      </x:c>
      <x:c r="H1162" t="str">
        <x:v>Hair Care</x:v>
      </x:c>
      <x:c r="I1162" t="str">
        <x:v>MFG014</x:v>
      </x:c>
      <x:c r="J1162" t="str">
        <x:v>Manufacturer 014</x:v>
      </x:c>
      <x:c r="K1162" t="str">
        <x:v>SUP017</x:v>
      </x:c>
      <x:c r="L1162" t="str">
        <x:v>Supplier 017</x:v>
      </x:c>
      <x:c r="M1162" t="str">
        <x:v>REG-132643</x:v>
      </x:c>
      <x:c r="N1162" t="str">
        <x:v>Generic Ingredient 020</x:v>
      </x:c>
      <x:c r="O1162" t="str">
        <x:v>General Sale</x:v>
      </x:c>
      <x:c r="P1162" t="n">
        <x:v>37</x:v>
      </x:c>
      <x:c r="Q1162" t="n">
        <x:v>9</x:v>
      </x:c>
      <x:c r="R1162" t="n">
        <x:v>15</x:v>
      </x:c>
      <x:c r="S1162" s="12" t="n">
        <x:f>E1162*Q1162</x:f>
        <x:v>116.28</x:v>
      </x:c>
      <x:c r="T1162" s="12" t="n">
        <x:f>ROUND(S1162*F1162+0.000000001,2)</x:f>
        <x:v>41.51</x:v>
      </x:c>
      <x:c r="U1162" s="12" t="n">
        <x:f>E1162*R1162</x:f>
        <x:v>193.8</x:v>
      </x:c>
      <x:c r="V1162" t="str">
        <x:f>IF(AND(C1162="Active",Q1162=0),"Active Zero Sales","Not Zero Sales")</x:f>
        <x:v>Not Zero Sales</x:v>
      </x:c>
      <x:c r="W1162" s="12" t="n">
        <x:f>IF(V1162="Active Zero Sales",U1162,0)</x:f>
        <x:v>0</x:v>
      </x:c>
      <x:c r="X1162" t="str">
        <x:f>IF(E1162&lt;25,"Low &lt; 25",IF(E1162&lt;100,"Medium 25-99",IF(E1162&lt;300,"High 100-299","Premium 300+")))</x:f>
        <x:v>Low &lt; 25</x:v>
      </x:c>
      <x:c r="Y1162" t="n">
        <x:f>IF(C1162="Active",1,0)</x:f>
        <x:v>1</x:v>
      </x:c>
    </x:row>
    <x:row r="1163">
      <x:c r="A1163" t="str">
        <x:v>SKU01162</x:v>
      </x:c>
      <x:c r="B1163" t="str">
        <x:v>Sample Product 01162</x:v>
      </x:c>
      <x:c r="C1163" t="str">
        <x:v>Active</x:v>
      </x:c>
      <x:c r="D1163" t="str">
        <x:v>2026-05</x:v>
      </x:c>
      <x:c r="E1163" s="12" t="n">
        <x:v>44.28</x:v>
      </x:c>
      <x:c r="F1163" s="10" t="n">
        <x:v>0.257</x:v>
      </x:c>
      <x:c r="G1163" t="str">
        <x:v>Personal Care</x:v>
      </x:c>
      <x:c r="H1163" t="str">
        <x:v>Oral Care</x:v>
      </x:c>
      <x:c r="I1163" t="str">
        <x:v>MFG005</x:v>
      </x:c>
      <x:c r="J1163" t="str">
        <x:v>Manufacturer 005</x:v>
      </x:c>
      <x:c r="K1163" t="str">
        <x:v>SUP011</x:v>
      </x:c>
      <x:c r="L1163" t="str">
        <x:v>Supplier 011</x:v>
      </x:c>
      <x:c r="M1163" t="str">
        <x:v>REG-982265</x:v>
      </x:c>
      <x:c r="N1163" t="str">
        <x:v>Generic Ingredient 008</x:v>
      </x:c>
      <x:c r="O1163" t="str">
        <x:v>General Sale</x:v>
      </x:c>
      <x:c r="P1163" t="n">
        <x:v>82</x:v>
      </x:c>
      <x:c r="Q1163" t="n">
        <x:v>0</x:v>
      </x:c>
      <x:c r="R1163" t="n">
        <x:v>44</x:v>
      </x:c>
      <x:c r="S1163" s="12" t="n">
        <x:f>E1163*Q1163</x:f>
        <x:v>0</x:v>
      </x:c>
      <x:c r="T1163" s="12" t="n">
        <x:f>ROUND(S1163*F1163+0.000000001,2)</x:f>
        <x:v>0</x:v>
      </x:c>
      <x:c r="U1163" s="12" t="n">
        <x:f>E1163*R1163</x:f>
        <x:v>1948.3200000000002</x:v>
      </x:c>
      <x:c r="V1163" t="str">
        <x:f>IF(AND(C1163="Active",Q1163=0),"Active Zero Sales","Not Zero Sales")</x:f>
        <x:v>Active Zero Sales</x:v>
      </x:c>
      <x:c r="W1163" s="12" t="n">
        <x:f>IF(V1163="Active Zero Sales",U1163,0)</x:f>
        <x:v>1948.3200000000002</x:v>
      </x:c>
      <x:c r="X1163" t="str">
        <x:f>IF(E1163&lt;25,"Low &lt; 25",IF(E1163&lt;100,"Medium 25-99",IF(E1163&lt;300,"High 100-299","Premium 300+")))</x:f>
        <x:v>Medium 25-99</x:v>
      </x:c>
      <x:c r="Y1163" t="n">
        <x:f>IF(C1163="Active",1,0)</x:f>
        <x:v>1</x:v>
      </x:c>
    </x:row>
    <x:row r="1164">
      <x:c r="A1164" t="str">
        <x:v>SKU01163</x:v>
      </x:c>
      <x:c r="B1164" t="str">
        <x:v>Sample Product 01163</x:v>
      </x:c>
      <x:c r="C1164" t="str">
        <x:v>Active</x:v>
      </x:c>
      <x:c r="D1164" t="str">
        <x:v>2026-04</x:v>
      </x:c>
      <x:c r="E1164" s="12" t="n">
        <x:v>13.39</x:v>
      </x:c>
      <x:c r="F1164" s="10" t="n">
        <x:v>0.456</x:v>
      </x:c>
      <x:c r="G1164" t="str">
        <x:v>Personal Care</x:v>
      </x:c>
      <x:c r="H1164" t="str">
        <x:v>Oral Care</x:v>
      </x:c>
      <x:c r="I1164" t="str">
        <x:v>MFG007</x:v>
      </x:c>
      <x:c r="J1164" t="str">
        <x:v>Manufacturer 007</x:v>
      </x:c>
      <x:c r="K1164" t="str">
        <x:v>SUP014</x:v>
      </x:c>
      <x:c r="L1164" t="str">
        <x:v>Supplier 014</x:v>
      </x:c>
      <x:c r="M1164" t="str">
        <x:v>REG-286811</x:v>
      </x:c>
      <x:c r="N1164" t="str">
        <x:v>Generic Ingredient 134</x:v>
      </x:c>
      <x:c r="O1164" t="str">
        <x:v>General Sale</x:v>
      </x:c>
      <x:c r="P1164" t="n">
        <x:v>26</x:v>
      </x:c>
      <x:c r="Q1164" t="n">
        <x:v>4</x:v>
      </x:c>
      <x:c r="R1164" t="n">
        <x:v>0</x:v>
      </x:c>
      <x:c r="S1164" s="12" t="n">
        <x:f>E1164*Q1164</x:f>
        <x:v>53.56</x:v>
      </x:c>
      <x:c r="T1164" s="12" t="n">
        <x:f>ROUND(S1164*F1164+0.000000001,2)</x:f>
        <x:v>24.42</x:v>
      </x:c>
      <x:c r="U1164" s="12" t="n">
        <x:f>E1164*R1164</x:f>
        <x:v>0</x:v>
      </x:c>
      <x:c r="V1164" t="str">
        <x:f>IF(AND(C1164="Active",Q1164=0),"Active Zero Sales","Not Zero Sales")</x:f>
        <x:v>Not Zero Sales</x:v>
      </x:c>
      <x:c r="W1164" s="12" t="n">
        <x:f>IF(V1164="Active Zero Sales",U1164,0)</x:f>
        <x:v>0</x:v>
      </x:c>
      <x:c r="X1164" t="str">
        <x:f>IF(E1164&lt;25,"Low &lt; 25",IF(E1164&lt;100,"Medium 25-99",IF(E1164&lt;300,"High 100-299","Premium 300+")))</x:f>
        <x:v>Low &lt; 25</x:v>
      </x:c>
      <x:c r="Y1164" t="n">
        <x:f>IF(C1164="Active",1,0)</x:f>
        <x:v>1</x:v>
      </x:c>
    </x:row>
    <x:row r="1165">
      <x:c r="A1165" t="str">
        <x:v>SKU01164</x:v>
      </x:c>
      <x:c r="B1165" t="str">
        <x:v>Sample Product 01164</x:v>
      </x:c>
      <x:c r="C1165" t="str">
        <x:v>Active</x:v>
      </x:c>
      <x:c r="D1165" t="str">
        <x:v>2026-04</x:v>
      </x:c>
      <x:c r="E1165" s="12" t="n">
        <x:v>51.18</x:v>
      </x:c>
      <x:c r="F1165" s="10" t="n">
        <x:v>0.407</x:v>
      </x:c>
      <x:c r="G1165" t="str">
        <x:v>Personal Care</x:v>
      </x:c>
      <x:c r="H1165" t="str">
        <x:v>Hygiene</x:v>
      </x:c>
      <x:c r="I1165" t="str">
        <x:v>MFG014</x:v>
      </x:c>
      <x:c r="J1165" t="str">
        <x:v>Manufacturer 014</x:v>
      </x:c>
      <x:c r="K1165" t="str">
        <x:v>SUP022</x:v>
      </x:c>
      <x:c r="L1165" t="str">
        <x:v>Supplier 022</x:v>
      </x:c>
      <x:c r="M1165" t="str">
        <x:v>REG-712783</x:v>
      </x:c>
      <x:c r="N1165" t="str">
        <x:v>Generic Ingredient 130</x:v>
      </x:c>
      <x:c r="O1165" t="str">
        <x:v>General Sale</x:v>
      </x:c>
      <x:c r="P1165" t="n">
        <x:v>22</x:v>
      </x:c>
      <x:c r="Q1165" t="n">
        <x:v>19</x:v>
      </x:c>
      <x:c r="R1165" t="n">
        <x:v>3</x:v>
      </x:c>
      <x:c r="S1165" s="12" t="n">
        <x:f>E1165*Q1165</x:f>
        <x:v>972.42</x:v>
      </x:c>
      <x:c r="T1165" s="12" t="n">
        <x:f>ROUND(S1165*F1165+0.000000001,2)</x:f>
        <x:v>395.77</x:v>
      </x:c>
      <x:c r="U1165" s="12" t="n">
        <x:f>E1165*R1165</x:f>
        <x:v>153.54</x:v>
      </x:c>
      <x:c r="V1165" t="str">
        <x:f>IF(AND(C1165="Active",Q1165=0),"Active Zero Sales","Not Zero Sales")</x:f>
        <x:v>Not Zero Sales</x:v>
      </x:c>
      <x:c r="W1165" s="12" t="n">
        <x:f>IF(V1165="Active Zero Sales",U1165,0)</x:f>
        <x:v>0</x:v>
      </x:c>
      <x:c r="X1165" t="str">
        <x:f>IF(E1165&lt;25,"Low &lt; 25",IF(E1165&lt;100,"Medium 25-99",IF(E1165&lt;300,"High 100-299","Premium 300+")))</x:f>
        <x:v>Medium 25-99</x:v>
      </x:c>
      <x:c r="Y1165" t="n">
        <x:f>IF(C1165="Active",1,0)</x:f>
        <x:v>1</x:v>
      </x:c>
    </x:row>
    <x:row r="1166">
      <x:c r="A1166" t="str">
        <x:v>SKU01165</x:v>
      </x:c>
      <x:c r="B1166" t="str">
        <x:v>Sample Product 01165</x:v>
      </x:c>
      <x:c r="C1166" t="str">
        <x:v>Active</x:v>
      </x:c>
      <x:c r="D1166" t="str">
        <x:v>2026-01</x:v>
      </x:c>
      <x:c r="E1166" s="12" t="n">
        <x:v>99.66</x:v>
      </x:c>
      <x:c r="F1166" s="10" t="n">
        <x:v>0.493</x:v>
      </x:c>
      <x:c r="G1166" t="str">
        <x:v>Personal Care</x:v>
      </x:c>
      <x:c r="H1166" t="str">
        <x:v>Hygiene</x:v>
      </x:c>
      <x:c r="I1166" t="str">
        <x:v>MFG010</x:v>
      </x:c>
      <x:c r="J1166" t="str">
        <x:v>Manufacturer 010</x:v>
      </x:c>
      <x:c r="K1166" t="str">
        <x:v>SUP022</x:v>
      </x:c>
      <x:c r="L1166" t="str">
        <x:v>Supplier 022</x:v>
      </x:c>
      <x:c r="M1166" t="str">
        <x:v>REG-881861</x:v>
      </x:c>
      <x:c r="N1166" t="str">
        <x:v>Generic Ingredient 145</x:v>
      </x:c>
      <x:c r="O1166" t="str">
        <x:v>General Sale</x:v>
      </x:c>
      <x:c r="P1166" t="n">
        <x:v>42</x:v>
      </x:c>
      <x:c r="Q1166" t="n">
        <x:v>22</x:v>
      </x:c>
      <x:c r="R1166" t="n">
        <x:v>13</x:v>
      </x:c>
      <x:c r="S1166" s="12" t="n">
        <x:f>E1166*Q1166</x:f>
        <x:v>2192.52</x:v>
      </x:c>
      <x:c r="T1166" s="12" t="n">
        <x:f>ROUND(S1166*F1166+0.000000001,2)</x:f>
        <x:v>1080.91</x:v>
      </x:c>
      <x:c r="U1166" s="12" t="n">
        <x:f>E1166*R1166</x:f>
        <x:v>1295.58</x:v>
      </x:c>
      <x:c r="V1166" t="str">
        <x:f>IF(AND(C1166="Active",Q1166=0),"Active Zero Sales","Not Zero Sales")</x:f>
        <x:v>Not Zero Sales</x:v>
      </x:c>
      <x:c r="W1166" s="12" t="n">
        <x:f>IF(V1166="Active Zero Sales",U1166,0)</x:f>
        <x:v>0</x:v>
      </x:c>
      <x:c r="X1166" t="str">
        <x:f>IF(E1166&lt;25,"Low &lt; 25",IF(E1166&lt;100,"Medium 25-99",IF(E1166&lt;300,"High 100-299","Premium 300+")))</x:f>
        <x:v>Medium 25-99</x:v>
      </x:c>
      <x:c r="Y1166" t="n">
        <x:f>IF(C1166="Active",1,0)</x:f>
        <x:v>1</x:v>
      </x:c>
    </x:row>
    <x:row r="1167">
      <x:c r="A1167" t="str">
        <x:v>SKU01166</x:v>
      </x:c>
      <x:c r="B1167" t="str">
        <x:v>Sample Product 01166</x:v>
      </x:c>
      <x:c r="C1167" t="str">
        <x:v>Active</x:v>
      </x:c>
      <x:c r="D1167" t="str">
        <x:v>2026-04</x:v>
      </x:c>
      <x:c r="E1167" s="12" t="n">
        <x:v>607.85</x:v>
      </x:c>
      <x:c r="F1167" s="10" t="n">
        <x:v>0.306</x:v>
      </x:c>
      <x:c r="G1167" t="str">
        <x:v>OTC &amp; Wellness</x:v>
      </x:c>
      <x:c r="H1167" t="str">
        <x:v>Pain Relief</x:v>
      </x:c>
      <x:c r="I1167" t="str">
        <x:v>MFG005</x:v>
      </x:c>
      <x:c r="J1167" t="str">
        <x:v>Manufacturer 005</x:v>
      </x:c>
      <x:c r="K1167" t="str">
        <x:v>SUP004</x:v>
      </x:c>
      <x:c r="L1167" t="str">
        <x:v>Supplier 004</x:v>
      </x:c>
      <x:c r="M1167" t="str">
        <x:v>REG-898008</x:v>
      </x:c>
      <x:c r="N1167" t="str">
        <x:v>Generic Ingredient 100</x:v>
      </x:c>
      <x:c r="O1167" t="str">
        <x:v>General Sale</x:v>
      </x:c>
      <x:c r="P1167" t="n">
        <x:v>44</x:v>
      </x:c>
      <x:c r="Q1167" t="n">
        <x:v>9</x:v>
      </x:c>
      <x:c r="R1167" t="n">
        <x:v>10</x:v>
      </x:c>
      <x:c r="S1167" s="12" t="n">
        <x:f>E1167*Q1167</x:f>
        <x:v>5470.650000000001</x:v>
      </x:c>
      <x:c r="T1167" s="12" t="n">
        <x:f>ROUND(S1167*F1167+0.000000001,2)</x:f>
        <x:v>1674.02</x:v>
      </x:c>
      <x:c r="U1167" s="12" t="n">
        <x:f>E1167*R1167</x:f>
        <x:v>6078.5</x:v>
      </x:c>
      <x:c r="V1167" t="str">
        <x:f>IF(AND(C1167="Active",Q1167=0),"Active Zero Sales","Not Zero Sales")</x:f>
        <x:v>Not Zero Sales</x:v>
      </x:c>
      <x:c r="W1167" s="12" t="n">
        <x:f>IF(V1167="Active Zero Sales",U1167,0)</x:f>
        <x:v>0</x:v>
      </x:c>
      <x:c r="X1167" t="str">
        <x:f>IF(E1167&lt;25,"Low &lt; 25",IF(E1167&lt;100,"Medium 25-99",IF(E1167&lt;300,"High 100-299","Premium 300+")))</x:f>
        <x:v>Premium 300+</x:v>
      </x:c>
      <x:c r="Y1167" t="n">
        <x:f>IF(C1167="Active",1,0)</x:f>
        <x:v>1</x:v>
      </x:c>
    </x:row>
    <x:row r="1168">
      <x:c r="A1168" t="str">
        <x:v>SKU01167</x:v>
      </x:c>
      <x:c r="B1168" t="str">
        <x:v>Sample Product 01167</x:v>
      </x:c>
      <x:c r="C1168" t="str">
        <x:v>Active</x:v>
      </x:c>
      <x:c r="D1168" t="str">
        <x:v>2026-05</x:v>
      </x:c>
      <x:c r="E1168" s="12" t="n">
        <x:v>9.02</x:v>
      </x:c>
      <x:c r="F1168" s="10" t="n">
        <x:v>0.375</x:v>
      </x:c>
      <x:c r="G1168" t="str">
        <x:v>Personal Care</x:v>
      </x:c>
      <x:c r="H1168" t="str">
        <x:v>Skin Care</x:v>
      </x:c>
      <x:c r="I1168" t="str">
        <x:v>MFG017</x:v>
      </x:c>
      <x:c r="J1168" t="str">
        <x:v>Manufacturer 017</x:v>
      </x:c>
      <x:c r="K1168" t="str">
        <x:v>SUP002</x:v>
      </x:c>
      <x:c r="L1168" t="str">
        <x:v>Supplier 002</x:v>
      </x:c>
      <x:c r="M1168" t="str">
        <x:v>REG-772515</x:v>
      </x:c>
      <x:c r="N1168" t="str">
        <x:v>Generic Ingredient 006</x:v>
      </x:c>
      <x:c r="O1168" t="str">
        <x:v>General Sale</x:v>
      </x:c>
      <x:c r="P1168" t="n">
        <x:v>54</x:v>
      </x:c>
      <x:c r="Q1168" t="n">
        <x:v>22</x:v>
      </x:c>
      <x:c r="R1168" t="n">
        <x:v>0</x:v>
      </x:c>
      <x:c r="S1168" s="12" t="n">
        <x:f>E1168*Q1168</x:f>
        <x:v>198.44</x:v>
      </x:c>
      <x:c r="T1168" s="12" t="n">
        <x:f>ROUND(S1168*F1168+0.000000001,2)</x:f>
        <x:v>74.42</x:v>
      </x:c>
      <x:c r="U1168" s="12" t="n">
        <x:f>E1168*R1168</x:f>
        <x:v>0</x:v>
      </x:c>
      <x:c r="V1168" t="str">
        <x:f>IF(AND(C1168="Active",Q1168=0),"Active Zero Sales","Not Zero Sales")</x:f>
        <x:v>Not Zero Sales</x:v>
      </x:c>
      <x:c r="W1168" s="12" t="n">
        <x:f>IF(V1168="Active Zero Sales",U1168,0)</x:f>
        <x:v>0</x:v>
      </x:c>
      <x:c r="X1168" t="str">
        <x:f>IF(E1168&lt;25,"Low &lt; 25",IF(E1168&lt;100,"Medium 25-99",IF(E1168&lt;300,"High 100-299","Premium 300+")))</x:f>
        <x:v>Low &lt; 25</x:v>
      </x:c>
      <x:c r="Y1168" t="n">
        <x:f>IF(C1168="Active",1,0)</x:f>
        <x:v>1</x:v>
      </x:c>
    </x:row>
    <x:row r="1169">
      <x:c r="A1169" t="str">
        <x:v>SKU01168</x:v>
      </x:c>
      <x:c r="B1169" t="str">
        <x:v>Sample Product 01168</x:v>
      </x:c>
      <x:c r="C1169" t="str">
        <x:v>Active</x:v>
      </x:c>
      <x:c r="D1169" t="str">
        <x:v>2026-05</x:v>
      </x:c>
      <x:c r="E1169" s="12" t="n">
        <x:v>139.71</x:v>
      </x:c>
      <x:c r="F1169" s="10" t="n">
        <x:v>0.469</x:v>
      </x:c>
      <x:c r="G1169" t="str">
        <x:v>Medical Devices</x:v>
      </x:c>
      <x:c r="H1169" t="str">
        <x:v>Monitoring Supplies</x:v>
      </x:c>
      <x:c r="I1169" t="str">
        <x:v>MFG019</x:v>
      </x:c>
      <x:c r="J1169" t="str">
        <x:v>Manufacturer 019</x:v>
      </x:c>
      <x:c r="K1169" t="str">
        <x:v>SUP012</x:v>
      </x:c>
      <x:c r="L1169" t="str">
        <x:v>Supplier 012</x:v>
      </x:c>
      <x:c r="M1169" t="str">
        <x:v>REG-155408</x:v>
      </x:c>
      <x:c r="N1169" t="str">
        <x:v>Generic Ingredient 155</x:v>
      </x:c>
      <x:c r="O1169" t="str">
        <x:v>General Sale</x:v>
      </x:c>
      <x:c r="P1169" t="n">
        <x:v>38</x:v>
      </x:c>
      <x:c r="Q1169" t="n">
        <x:v>19</x:v>
      </x:c>
      <x:c r="R1169" t="n">
        <x:v>7</x:v>
      </x:c>
      <x:c r="S1169" s="12" t="n">
        <x:f>E1169*Q1169</x:f>
        <x:v>2654.4900000000002</x:v>
      </x:c>
      <x:c r="T1169" s="12" t="n">
        <x:f>ROUND(S1169*F1169+0.000000001,2)</x:f>
        <x:v>1244.96</x:v>
      </x:c>
      <x:c r="U1169" s="12" t="n">
        <x:f>E1169*R1169</x:f>
        <x:v>977.97</x:v>
      </x:c>
      <x:c r="V1169" t="str">
        <x:f>IF(AND(C1169="Active",Q1169=0),"Active Zero Sales","Not Zero Sales")</x:f>
        <x:v>Not Zero Sales</x:v>
      </x:c>
      <x:c r="W1169" s="12" t="n">
        <x:f>IF(V1169="Active Zero Sales",U1169,0)</x:f>
        <x:v>0</x:v>
      </x:c>
      <x:c r="X1169" t="str">
        <x:f>IF(E1169&lt;25,"Low &lt; 25",IF(E1169&lt;100,"Medium 25-99",IF(E1169&lt;300,"High 100-299","Premium 300+")))</x:f>
        <x:v>High 100-299</x:v>
      </x:c>
      <x:c r="Y1169" t="n">
        <x:f>IF(C1169="Active",1,0)</x:f>
        <x:v>1</x:v>
      </x:c>
    </x:row>
    <x:row r="1170">
      <x:c r="A1170" t="str">
        <x:v>SKU01169</x:v>
      </x:c>
      <x:c r="B1170" t="str">
        <x:v>Sample Product 01169</x:v>
      </x:c>
      <x:c r="C1170" t="str">
        <x:v>Active</x:v>
      </x:c>
      <x:c r="D1170" t="str">
        <x:v>2026-04</x:v>
      </x:c>
      <x:c r="E1170" s="12" t="n">
        <x:v>251.61</x:v>
      </x:c>
      <x:c r="F1170" s="10" t="n">
        <x:v>0.22</x:v>
      </x:c>
      <x:c r="G1170" t="str">
        <x:v>Medical Devices</x:v>
      </x:c>
      <x:c r="H1170" t="str">
        <x:v>Home Diagnostics</x:v>
      </x:c>
      <x:c r="I1170" t="str">
        <x:v>MFG004</x:v>
      </x:c>
      <x:c r="J1170" t="str">
        <x:v>Manufacturer 004</x:v>
      </x:c>
      <x:c r="K1170" t="str">
        <x:v>SUP003</x:v>
      </x:c>
      <x:c r="L1170" t="str">
        <x:v>Supplier 003</x:v>
      </x:c>
      <x:c r="M1170" t="str">
        <x:v>REG-634585</x:v>
      </x:c>
      <x:c r="N1170" t="str">
        <x:v>Generic Ingredient 029</x:v>
      </x:c>
      <x:c r="O1170" t="str">
        <x:v>General Sale</x:v>
      </x:c>
      <x:c r="P1170" t="n">
        <x:v>48</x:v>
      </x:c>
      <x:c r="Q1170" t="n">
        <x:v>5</x:v>
      </x:c>
      <x:c r="R1170" t="n">
        <x:v>0</x:v>
      </x:c>
      <x:c r="S1170" s="12" t="n">
        <x:f>E1170*Q1170</x:f>
        <x:v>1258.0500000000002</x:v>
      </x:c>
      <x:c r="T1170" s="12" t="n">
        <x:f>ROUND(S1170*F1170+0.000000001,2)</x:f>
        <x:v>276.77</x:v>
      </x:c>
      <x:c r="U1170" s="12" t="n">
        <x:f>E1170*R1170</x:f>
        <x:v>0</x:v>
      </x:c>
      <x:c r="V1170" t="str">
        <x:f>IF(AND(C1170="Active",Q1170=0),"Active Zero Sales","Not Zero Sales")</x:f>
        <x:v>Not Zero Sales</x:v>
      </x:c>
      <x:c r="W1170" s="12" t="n">
        <x:f>IF(V1170="Active Zero Sales",U1170,0)</x:f>
        <x:v>0</x:v>
      </x:c>
      <x:c r="X1170" t="str">
        <x:f>IF(E1170&lt;25,"Low &lt; 25",IF(E1170&lt;100,"Medium 25-99",IF(E1170&lt;300,"High 100-299","Premium 300+")))</x:f>
        <x:v>High 100-299</x:v>
      </x:c>
      <x:c r="Y1170" t="n">
        <x:f>IF(C1170="Active",1,0)</x:f>
        <x:v>1</x:v>
      </x:c>
    </x:row>
    <x:row r="1171">
      <x:c r="A1171" t="str">
        <x:v>SKU01170</x:v>
      </x:c>
      <x:c r="B1171" t="str">
        <x:v>Sample Product 01170</x:v>
      </x:c>
      <x:c r="C1171" t="str">
        <x:v>Active</x:v>
      </x:c>
      <x:c r="D1171" t="str">
        <x:v>2026-03</x:v>
      </x:c>
      <x:c r="E1171" s="12" t="n">
        <x:v>188.21</x:v>
      </x:c>
      <x:c r="F1171" s="10" t="n">
        <x:v>0.313</x:v>
      </x:c>
      <x:c r="G1171" t="str">
        <x:v>General Merchandise</x:v>
      </x:c>
      <x:c r="H1171" t="str">
        <x:v>Baby Essentials</x:v>
      </x:c>
      <x:c r="I1171" t="str">
        <x:v>MFG011</x:v>
      </x:c>
      <x:c r="J1171" t="str">
        <x:v>Manufacturer 011</x:v>
      </x:c>
      <x:c r="K1171" t="str">
        <x:v>SUP026</x:v>
      </x:c>
      <x:c r="L1171" t="str">
        <x:v>Supplier 026</x:v>
      </x:c>
      <x:c r="M1171" t="str">
        <x:v>REG-954232</x:v>
      </x:c>
      <x:c r="N1171" t="str">
        <x:v>Generic Ingredient 133</x:v>
      </x:c>
      <x:c r="O1171" t="str">
        <x:v>General Sale</x:v>
      </x:c>
      <x:c r="P1171" t="n">
        <x:v>70</x:v>
      </x:c>
      <x:c r="Q1171" t="n">
        <x:v>0</x:v>
      </x:c>
      <x:c r="R1171" t="n">
        <x:v>20</x:v>
      </x:c>
      <x:c r="S1171" s="12" t="n">
        <x:f>E1171*Q1171</x:f>
        <x:v>0</x:v>
      </x:c>
      <x:c r="T1171" s="12" t="n">
        <x:f>ROUND(S1171*F1171+0.000000001,2)</x:f>
        <x:v>0</x:v>
      </x:c>
      <x:c r="U1171" s="12" t="n">
        <x:f>E1171*R1171</x:f>
        <x:v>3764.2000000000003</x:v>
      </x:c>
      <x:c r="V1171" t="str">
        <x:f>IF(AND(C1171="Active",Q1171=0),"Active Zero Sales","Not Zero Sales")</x:f>
        <x:v>Active Zero Sales</x:v>
      </x:c>
      <x:c r="W1171" s="12" t="n">
        <x:f>IF(V1171="Active Zero Sales",U1171,0)</x:f>
        <x:v>3764.2000000000003</x:v>
      </x:c>
      <x:c r="X1171" t="str">
        <x:f>IF(E1171&lt;25,"Low &lt; 25",IF(E1171&lt;100,"Medium 25-99",IF(E1171&lt;300,"High 100-299","Premium 300+")))</x:f>
        <x:v>High 100-299</x:v>
      </x:c>
      <x:c r="Y1171" t="n">
        <x:f>IF(C1171="Active",1,0)</x:f>
        <x:v>1</x:v>
      </x:c>
    </x:row>
    <x:row r="1172">
      <x:c r="A1172" t="str">
        <x:v>SKU01171</x:v>
      </x:c>
      <x:c r="B1172" t="str">
        <x:v>Sample Product 01171</x:v>
      </x:c>
      <x:c r="C1172" t="str">
        <x:v>Active</x:v>
      </x:c>
      <x:c r="D1172" t="str">
        <x:v>2026-05</x:v>
      </x:c>
      <x:c r="E1172" s="12" t="n">
        <x:v>179.75</x:v>
      </x:c>
      <x:c r="F1172" s="10" t="n">
        <x:v>0.171</x:v>
      </x:c>
      <x:c r="G1172" t="str">
        <x:v>Medical Devices</x:v>
      </x:c>
      <x:c r="H1172" t="str">
        <x:v>Home Diagnostics</x:v>
      </x:c>
      <x:c r="I1172" t="str">
        <x:v>MFG011</x:v>
      </x:c>
      <x:c r="J1172" t="str">
        <x:v>Manufacturer 011</x:v>
      </x:c>
      <x:c r="K1172" t="str">
        <x:v>SUP003</x:v>
      </x:c>
      <x:c r="L1172" t="str">
        <x:v>Supplier 003</x:v>
      </x:c>
      <x:c r="M1172" t="str">
        <x:v>REG-999254</x:v>
      </x:c>
      <x:c r="N1172" t="str">
        <x:v>Generic Ingredient 013</x:v>
      </x:c>
      <x:c r="O1172" t="str">
        <x:v>Pharmacy Only</x:v>
      </x:c>
      <x:c r="P1172" t="n">
        <x:v>96</x:v>
      </x:c>
      <x:c r="Q1172" t="n">
        <x:v>56</x:v>
      </x:c>
      <x:c r="R1172" t="n">
        <x:v>27</x:v>
      </x:c>
      <x:c r="S1172" s="12" t="n">
        <x:f>E1172*Q1172</x:f>
        <x:v>10066</x:v>
      </x:c>
      <x:c r="T1172" s="12" t="n">
        <x:f>ROUND(S1172*F1172+0.000000001,2)</x:f>
        <x:v>1721.29</x:v>
      </x:c>
      <x:c r="U1172" s="12" t="n">
        <x:f>E1172*R1172</x:f>
        <x:v>4853.25</x:v>
      </x:c>
      <x:c r="V1172" t="str">
        <x:f>IF(AND(C1172="Active",Q1172=0),"Active Zero Sales","Not Zero Sales")</x:f>
        <x:v>Not Zero Sales</x:v>
      </x:c>
      <x:c r="W1172" s="12" t="n">
        <x:f>IF(V1172="Active Zero Sales",U1172,0)</x:f>
        <x:v>0</x:v>
      </x:c>
      <x:c r="X1172" t="str">
        <x:f>IF(E1172&lt;25,"Low &lt; 25",IF(E1172&lt;100,"Medium 25-99",IF(E1172&lt;300,"High 100-299","Premium 300+")))</x:f>
        <x:v>High 100-299</x:v>
      </x:c>
      <x:c r="Y1172" t="n">
        <x:f>IF(C1172="Active",1,0)</x:f>
        <x:v>1</x:v>
      </x:c>
    </x:row>
    <x:row r="1173">
      <x:c r="A1173" t="str">
        <x:v>SKU01172</x:v>
      </x:c>
      <x:c r="B1173" t="str">
        <x:v>Sample Product 01172</x:v>
      </x:c>
      <x:c r="C1173" t="str">
        <x:v>Active</x:v>
      </x:c>
      <x:c r="D1173" t="str">
        <x:v>2026-03</x:v>
      </x:c>
      <x:c r="E1173" s="12" t="n">
        <x:v>60.18</x:v>
      </x:c>
      <x:c r="F1173" s="10" t="n">
        <x:v>0.566</x:v>
      </x:c>
      <x:c r="G1173" t="str">
        <x:v>Personal Care</x:v>
      </x:c>
      <x:c r="H1173" t="str">
        <x:v>Oral Care</x:v>
      </x:c>
      <x:c r="I1173" t="str">
        <x:v>MFG009</x:v>
      </x:c>
      <x:c r="J1173" t="str">
        <x:v>Manufacturer 009</x:v>
      </x:c>
      <x:c r="K1173" t="str">
        <x:v>SUP011</x:v>
      </x:c>
      <x:c r="L1173" t="str">
        <x:v>Supplier 011</x:v>
      </x:c>
      <x:c r="M1173" t="str">
        <x:v>REG-270641</x:v>
      </x:c>
      <x:c r="N1173" t="str">
        <x:v>Generic Ingredient 012</x:v>
      </x:c>
      <x:c r="O1173" t="str">
        <x:v>General Sale</x:v>
      </x:c>
      <x:c r="P1173" t="n">
        <x:v>59</x:v>
      </x:c>
      <x:c r="Q1173" t="n">
        <x:v>35</x:v>
      </x:c>
      <x:c r="R1173" t="n">
        <x:v>16</x:v>
      </x:c>
      <x:c r="S1173" s="12" t="n">
        <x:f>E1173*Q1173</x:f>
        <x:v>2106.3</x:v>
      </x:c>
      <x:c r="T1173" s="12" t="n">
        <x:f>ROUND(S1173*F1173+0.000000001,2)</x:f>
        <x:v>1192.17</x:v>
      </x:c>
      <x:c r="U1173" s="12" t="n">
        <x:f>E1173*R1173</x:f>
        <x:v>962.88</x:v>
      </x:c>
      <x:c r="V1173" t="str">
        <x:f>IF(AND(C1173="Active",Q1173=0),"Active Zero Sales","Not Zero Sales")</x:f>
        <x:v>Not Zero Sales</x:v>
      </x:c>
      <x:c r="W1173" s="12" t="n">
        <x:f>IF(V1173="Active Zero Sales",U1173,0)</x:f>
        <x:v>0</x:v>
      </x:c>
      <x:c r="X1173" t="str">
        <x:f>IF(E1173&lt;25,"Low &lt; 25",IF(E1173&lt;100,"Medium 25-99",IF(E1173&lt;300,"High 100-299","Premium 300+")))</x:f>
        <x:v>Medium 25-99</x:v>
      </x:c>
      <x:c r="Y1173" t="n">
        <x:f>IF(C1173="Active",1,0)</x:f>
        <x:v>1</x:v>
      </x:c>
    </x:row>
    <x:row r="1174">
      <x:c r="A1174" t="str">
        <x:v>SKU01173</x:v>
      </x:c>
      <x:c r="B1174" t="str">
        <x:v>Sample Product 01173</x:v>
      </x:c>
      <x:c r="C1174" t="str">
        <x:v>Active</x:v>
      </x:c>
      <x:c r="D1174" t="str">
        <x:v>2026-04</x:v>
      </x:c>
      <x:c r="E1174" s="12" t="n">
        <x:v>267.1</x:v>
      </x:c>
      <x:c r="F1174" s="10" t="n">
        <x:v>0.35</x:v>
      </x:c>
      <x:c r="G1174" t="str">
        <x:v>General Merchandise</x:v>
      </x:c>
      <x:c r="H1174" t="str">
        <x:v>Travel Health</x:v>
      </x:c>
      <x:c r="I1174" t="str">
        <x:v>MFG006</x:v>
      </x:c>
      <x:c r="J1174" t="str">
        <x:v>Manufacturer 006</x:v>
      </x:c>
      <x:c r="K1174" t="str">
        <x:v>SUP019</x:v>
      </x:c>
      <x:c r="L1174" t="str">
        <x:v>Supplier 019</x:v>
      </x:c>
      <x:c r="M1174" t="str">
        <x:v>REG-620447</x:v>
      </x:c>
      <x:c r="N1174" t="str">
        <x:v>Generic Ingredient 141</x:v>
      </x:c>
      <x:c r="O1174" t="str">
        <x:v>Pharmacy Only</x:v>
      </x:c>
      <x:c r="P1174" t="n">
        <x:v>141</x:v>
      </x:c>
      <x:c r="Q1174" t="n">
        <x:v>64</x:v>
      </x:c>
      <x:c r="R1174" t="n">
        <x:v>33</x:v>
      </x:c>
      <x:c r="S1174" s="12" t="n">
        <x:f>E1174*Q1174</x:f>
        <x:v>17094.4</x:v>
      </x:c>
      <x:c r="T1174" s="12" t="n">
        <x:f>ROUND(S1174*F1174+0.000000001,2)</x:f>
        <x:v>5983.04</x:v>
      </x:c>
      <x:c r="U1174" s="12" t="n">
        <x:f>E1174*R1174</x:f>
        <x:v>8814.300000000001</x:v>
      </x:c>
      <x:c r="V1174" t="str">
        <x:f>IF(AND(C1174="Active",Q1174=0),"Active Zero Sales","Not Zero Sales")</x:f>
        <x:v>Not Zero Sales</x:v>
      </x:c>
      <x:c r="W1174" s="12" t="n">
        <x:f>IF(V1174="Active Zero Sales",U1174,0)</x:f>
        <x:v>0</x:v>
      </x:c>
      <x:c r="X1174" t="str">
        <x:f>IF(E1174&lt;25,"Low &lt; 25",IF(E1174&lt;100,"Medium 25-99",IF(E1174&lt;300,"High 100-299","Premium 300+")))</x:f>
        <x:v>High 100-299</x:v>
      </x:c>
      <x:c r="Y1174" t="n">
        <x:f>IF(C1174="Active",1,0)</x:f>
        <x:v>1</x:v>
      </x:c>
    </x:row>
    <x:row r="1175">
      <x:c r="A1175" t="str">
        <x:v>SKU01174</x:v>
      </x:c>
      <x:c r="B1175" t="str">
        <x:v>Sample Product 01174</x:v>
      </x:c>
      <x:c r="C1175" t="str">
        <x:v>Active</x:v>
      </x:c>
      <x:c r="D1175" t="str">
        <x:v>2026-03</x:v>
      </x:c>
      <x:c r="E1175" s="12" t="n">
        <x:v>190.39</x:v>
      </x:c>
      <x:c r="F1175" s="10" t="n">
        <x:v>0.268</x:v>
      </x:c>
      <x:c r="G1175" t="str">
        <x:v>OTC &amp; Wellness</x:v>
      </x:c>
      <x:c r="H1175" t="str">
        <x:v>Pain Relief</x:v>
      </x:c>
      <x:c r="I1175" t="str">
        <x:v>MFG010</x:v>
      </x:c>
      <x:c r="J1175" t="str">
        <x:v>Manufacturer 010</x:v>
      </x:c>
      <x:c r="K1175" t="str">
        <x:v>SUP017</x:v>
      </x:c>
      <x:c r="L1175" t="str">
        <x:v>Supplier 017</x:v>
      </x:c>
      <x:c r="M1175" t="str">
        <x:v>REG-428127</x:v>
      </x:c>
      <x:c r="N1175" t="str">
        <x:v>Generic Ingredient 072</x:v>
      </x:c>
      <x:c r="O1175" t="str">
        <x:v>General Sale</x:v>
      </x:c>
      <x:c r="P1175" t="n">
        <x:v>79</x:v>
      </x:c>
      <x:c r="Q1175" t="n">
        <x:v>29</x:v>
      </x:c>
      <x:c r="R1175" t="n">
        <x:v>21</x:v>
      </x:c>
      <x:c r="S1175" s="12" t="n">
        <x:f>E1175*Q1175</x:f>
        <x:v>5521.3099999999995</x:v>
      </x:c>
      <x:c r="T1175" s="12" t="n">
        <x:f>ROUND(S1175*F1175+0.000000001,2)</x:f>
        <x:v>1479.71</x:v>
      </x:c>
      <x:c r="U1175" s="12" t="n">
        <x:f>E1175*R1175</x:f>
        <x:v>3998.1899999999996</x:v>
      </x:c>
      <x:c r="V1175" t="str">
        <x:f>IF(AND(C1175="Active",Q1175=0),"Active Zero Sales","Not Zero Sales")</x:f>
        <x:v>Not Zero Sales</x:v>
      </x:c>
      <x:c r="W1175" s="12" t="n">
        <x:f>IF(V1175="Active Zero Sales",U1175,0)</x:f>
        <x:v>0</x:v>
      </x:c>
      <x:c r="X1175" t="str">
        <x:f>IF(E1175&lt;25,"Low &lt; 25",IF(E1175&lt;100,"Medium 25-99",IF(E1175&lt;300,"High 100-299","Premium 300+")))</x:f>
        <x:v>High 100-299</x:v>
      </x:c>
      <x:c r="Y1175" t="n">
        <x:f>IF(C1175="Active",1,0)</x:f>
        <x:v>1</x:v>
      </x:c>
    </x:row>
    <x:row r="1176">
      <x:c r="A1176" t="str">
        <x:v>SKU01175</x:v>
      </x:c>
      <x:c r="B1176" t="str">
        <x:v>Sample Product 01175</x:v>
      </x:c>
      <x:c r="C1176" t="str">
        <x:v>Active</x:v>
      </x:c>
      <x:c r="D1176" t="str">
        <x:v>2026-06</x:v>
      </x:c>
      <x:c r="E1176" s="12" t="n">
        <x:v>16.52</x:v>
      </x:c>
      <x:c r="F1176" s="10" t="n">
        <x:v>0.175</x:v>
      </x:c>
      <x:c r="G1176" t="str">
        <x:v>Medical Devices</x:v>
      </x:c>
      <x:c r="H1176" t="str">
        <x:v>Home Diagnostics</x:v>
      </x:c>
      <x:c r="I1176" t="str">
        <x:v>MFG005</x:v>
      </x:c>
      <x:c r="J1176" t="str">
        <x:v>Manufacturer 005</x:v>
      </x:c>
      <x:c r="K1176" t="str">
        <x:v>SUP003</x:v>
      </x:c>
      <x:c r="L1176" t="str">
        <x:v>Supplier 003</x:v>
      </x:c>
      <x:c r="M1176" t="str">
        <x:v>REG-774166</x:v>
      </x:c>
      <x:c r="N1176" t="str">
        <x:v>Generic Ingredient 172</x:v>
      </x:c>
      <x:c r="O1176" t="str">
        <x:v>Pharmacy Only</x:v>
      </x:c>
      <x:c r="P1176" t="n">
        <x:v>66</x:v>
      </x:c>
      <x:c r="Q1176" t="n">
        <x:v>54</x:v>
      </x:c>
      <x:c r="R1176" t="n">
        <x:v>2</x:v>
      </x:c>
      <x:c r="S1176" s="12" t="n">
        <x:f>E1176*Q1176</x:f>
        <x:v>892.0799999999999</x:v>
      </x:c>
      <x:c r="T1176" s="12" t="n">
        <x:f>ROUND(S1176*F1176+0.000000001,2)</x:f>
        <x:v>156.11</x:v>
      </x:c>
      <x:c r="U1176" s="12" t="n">
        <x:f>E1176*R1176</x:f>
        <x:v>33.04</x:v>
      </x:c>
      <x:c r="V1176" t="str">
        <x:f>IF(AND(C1176="Active",Q1176=0),"Active Zero Sales","Not Zero Sales")</x:f>
        <x:v>Not Zero Sales</x:v>
      </x:c>
      <x:c r="W1176" s="12" t="n">
        <x:f>IF(V1176="Active Zero Sales",U1176,0)</x:f>
        <x:v>0</x:v>
      </x:c>
      <x:c r="X1176" t="str">
        <x:f>IF(E1176&lt;25,"Low &lt; 25",IF(E1176&lt;100,"Medium 25-99",IF(E1176&lt;300,"High 100-299","Premium 300+")))</x:f>
        <x:v>Low &lt; 25</x:v>
      </x:c>
      <x:c r="Y1176" t="n">
        <x:f>IF(C1176="Active",1,0)</x:f>
        <x:v>1</x:v>
      </x:c>
    </x:row>
    <x:row r="1177">
      <x:c r="A1177" t="str">
        <x:v>SKU01176</x:v>
      </x:c>
      <x:c r="B1177" t="str">
        <x:v>Sample Product 01176</x:v>
      </x:c>
      <x:c r="C1177" t="str">
        <x:v>Active</x:v>
      </x:c>
      <x:c r="D1177" t="str">
        <x:v>2026-01</x:v>
      </x:c>
      <x:c r="E1177" s="12" t="n">
        <x:v>99.73</x:v>
      </x:c>
      <x:c r="F1177" s="10" t="n">
        <x:v>0.342</x:v>
      </x:c>
      <x:c r="G1177" t="str">
        <x:v>OTC &amp; Wellness</x:v>
      </x:c>
      <x:c r="H1177" t="str">
        <x:v>Pain Relief</x:v>
      </x:c>
      <x:c r="I1177" t="str">
        <x:v>MFG004</x:v>
      </x:c>
      <x:c r="J1177" t="str">
        <x:v>Manufacturer 004</x:v>
      </x:c>
      <x:c r="K1177" t="str">
        <x:v>SUP025</x:v>
      </x:c>
      <x:c r="L1177" t="str">
        <x:v>Supplier 025</x:v>
      </x:c>
      <x:c r="M1177" t="str">
        <x:v>REG-896340</x:v>
      </x:c>
      <x:c r="N1177" t="str">
        <x:v>Generic Ingredient 123</x:v>
      </x:c>
      <x:c r="O1177" t="str">
        <x:v>General Sale</x:v>
      </x:c>
      <x:c r="P1177" t="n">
        <x:v>45</x:v>
      </x:c>
      <x:c r="Q1177" t="n">
        <x:v>0</x:v>
      </x:c>
      <x:c r="R1177" t="n">
        <x:v>53</x:v>
      </x:c>
      <x:c r="S1177" s="12" t="n">
        <x:f>E1177*Q1177</x:f>
        <x:v>0</x:v>
      </x:c>
      <x:c r="T1177" s="12" t="n">
        <x:f>ROUND(S1177*F1177+0.000000001,2)</x:f>
        <x:v>0</x:v>
      </x:c>
      <x:c r="U1177" s="12" t="n">
        <x:f>E1177*R1177</x:f>
        <x:v>5285.6900000000005</x:v>
      </x:c>
      <x:c r="V1177" t="str">
        <x:f>IF(AND(C1177="Active",Q1177=0),"Active Zero Sales","Not Zero Sales")</x:f>
        <x:v>Active Zero Sales</x:v>
      </x:c>
      <x:c r="W1177" s="12" t="n">
        <x:f>IF(V1177="Active Zero Sales",U1177,0)</x:f>
        <x:v>5285.6900000000005</x:v>
      </x:c>
      <x:c r="X1177" t="str">
        <x:f>IF(E1177&lt;25,"Low &lt; 25",IF(E1177&lt;100,"Medium 25-99",IF(E1177&lt;300,"High 100-299","Premium 300+")))</x:f>
        <x:v>Medium 25-99</x:v>
      </x:c>
      <x:c r="Y1177" t="n">
        <x:f>IF(C1177="Active",1,0)</x:f>
        <x:v>1</x:v>
      </x:c>
    </x:row>
    <x:row r="1178">
      <x:c r="A1178" t="str">
        <x:v>SKU01177</x:v>
      </x:c>
      <x:c r="B1178" t="str">
        <x:v>Sample Product 01177</x:v>
      </x:c>
      <x:c r="C1178" t="str">
        <x:v>Active</x:v>
      </x:c>
      <x:c r="D1178" t="str">
        <x:v>2026-03</x:v>
      </x:c>
      <x:c r="E1178" s="12" t="n">
        <x:v>624.23</x:v>
      </x:c>
      <x:c r="F1178" s="10" t="n">
        <x:v>0.339</x:v>
      </x:c>
      <x:c r="G1178" t="str">
        <x:v>OTC &amp; Wellness</x:v>
      </x:c>
      <x:c r="H1178" t="str">
        <x:v>Pain Relief</x:v>
      </x:c>
      <x:c r="I1178" t="str">
        <x:v>MFG009</x:v>
      </x:c>
      <x:c r="J1178" t="str">
        <x:v>Manufacturer 009</x:v>
      </x:c>
      <x:c r="K1178" t="str">
        <x:v>SUP016</x:v>
      </x:c>
      <x:c r="L1178" t="str">
        <x:v>Supplier 016</x:v>
      </x:c>
      <x:c r="M1178" t="str">
        <x:v>REG-728907</x:v>
      </x:c>
      <x:c r="N1178" t="str">
        <x:v>Generic Ingredient 167</x:v>
      </x:c>
      <x:c r="O1178" t="str">
        <x:v>General Sale</x:v>
      </x:c>
      <x:c r="P1178" t="n">
        <x:v>67</x:v>
      </x:c>
      <x:c r="Q1178" t="n">
        <x:v>26</x:v>
      </x:c>
      <x:c r="R1178" t="n">
        <x:v>1</x:v>
      </x:c>
      <x:c r="S1178" s="12" t="n">
        <x:f>E1178*Q1178</x:f>
        <x:v>16229.98</x:v>
      </x:c>
      <x:c r="T1178" s="12" t="n">
        <x:f>ROUND(S1178*F1178+0.000000001,2)</x:f>
        <x:v>5501.96</x:v>
      </x:c>
      <x:c r="U1178" s="12" t="n">
        <x:f>E1178*R1178</x:f>
        <x:v>624.23</x:v>
      </x:c>
      <x:c r="V1178" t="str">
        <x:f>IF(AND(C1178="Active",Q1178=0),"Active Zero Sales","Not Zero Sales")</x:f>
        <x:v>Not Zero Sales</x:v>
      </x:c>
      <x:c r="W1178" s="12" t="n">
        <x:f>IF(V1178="Active Zero Sales",U1178,0)</x:f>
        <x:v>0</x:v>
      </x:c>
      <x:c r="X1178" t="str">
        <x:f>IF(E1178&lt;25,"Low &lt; 25",IF(E1178&lt;100,"Medium 25-99",IF(E1178&lt;300,"High 100-299","Premium 300+")))</x:f>
        <x:v>Premium 300+</x:v>
      </x:c>
      <x:c r="Y1178" t="n">
        <x:f>IF(C1178="Active",1,0)</x:f>
        <x:v>1</x:v>
      </x:c>
    </x:row>
    <x:row r="1179">
      <x:c r="A1179" t="str">
        <x:v>SKU01178</x:v>
      </x:c>
      <x:c r="B1179" t="str">
        <x:v>Sample Product 01178</x:v>
      </x:c>
      <x:c r="C1179" t="str">
        <x:v>Active</x:v>
      </x:c>
      <x:c r="D1179" t="str">
        <x:v>2026-05</x:v>
      </x:c>
      <x:c r="E1179" s="12" t="n">
        <x:v>37.74</x:v>
      </x:c>
      <x:c r="F1179" s="10" t="n">
        <x:v>0.321</x:v>
      </x:c>
      <x:c r="G1179" t="str">
        <x:v>Personal Care</x:v>
      </x:c>
      <x:c r="H1179" t="str">
        <x:v>Skin Care</x:v>
      </x:c>
      <x:c r="I1179" t="str">
        <x:v>MFG020</x:v>
      </x:c>
      <x:c r="J1179" t="str">
        <x:v>Manufacturer 020</x:v>
      </x:c>
      <x:c r="K1179" t="str">
        <x:v>SUP006</x:v>
      </x:c>
      <x:c r="L1179" t="str">
        <x:v>Supplier 006</x:v>
      </x:c>
      <x:c r="M1179" t="str">
        <x:v>REG-611741</x:v>
      </x:c>
      <x:c r="N1179" t="str">
        <x:v>Generic Ingredient 167</x:v>
      </x:c>
      <x:c r="O1179" t="str">
        <x:v>General Sale</x:v>
      </x:c>
      <x:c r="P1179" t="n">
        <x:v>60</x:v>
      </x:c>
      <x:c r="Q1179" t="n">
        <x:v>15</x:v>
      </x:c>
      <x:c r="R1179" t="n">
        <x:v>0</x:v>
      </x:c>
      <x:c r="S1179" s="12" t="n">
        <x:f>E1179*Q1179</x:f>
        <x:v>566.1</x:v>
      </x:c>
      <x:c r="T1179" s="12" t="n">
        <x:f>ROUND(S1179*F1179+0.000000001,2)</x:f>
        <x:v>181.72</x:v>
      </x:c>
      <x:c r="U1179" s="12" t="n">
        <x:f>E1179*R1179</x:f>
        <x:v>0</x:v>
      </x:c>
      <x:c r="V1179" t="str">
        <x:f>IF(AND(C1179="Active",Q1179=0),"Active Zero Sales","Not Zero Sales")</x:f>
        <x:v>Not Zero Sales</x:v>
      </x:c>
      <x:c r="W1179" s="12" t="n">
        <x:f>IF(V1179="Active Zero Sales",U1179,0)</x:f>
        <x:v>0</x:v>
      </x:c>
      <x:c r="X1179" t="str">
        <x:f>IF(E1179&lt;25,"Low &lt; 25",IF(E1179&lt;100,"Medium 25-99",IF(E1179&lt;300,"High 100-299","Premium 300+")))</x:f>
        <x:v>Medium 25-99</x:v>
      </x:c>
      <x:c r="Y1179" t="n">
        <x:f>IF(C1179="Active",1,0)</x:f>
        <x:v>1</x:v>
      </x:c>
    </x:row>
    <x:row r="1180">
      <x:c r="A1180" t="str">
        <x:v>SKU01179</x:v>
      </x:c>
      <x:c r="B1180" t="str">
        <x:v>Sample Product 01179</x:v>
      </x:c>
      <x:c r="C1180" t="str">
        <x:v>Active</x:v>
      </x:c>
      <x:c r="D1180" t="str">
        <x:v>2026-01</x:v>
      </x:c>
      <x:c r="E1180" s="12" t="n">
        <x:v>126.06</x:v>
      </x:c>
      <x:c r="F1180" s="10" t="n">
        <x:v>0.264</x:v>
      </x:c>
      <x:c r="G1180" t="str">
        <x:v>Nutrition</x:v>
      </x:c>
      <x:c r="H1180" t="str">
        <x:v>Sports Nutrition</x:v>
      </x:c>
      <x:c r="I1180" t="str">
        <x:v>MFG013</x:v>
      </x:c>
      <x:c r="J1180" t="str">
        <x:v>Manufacturer 013</x:v>
      </x:c>
      <x:c r="K1180" t="str">
        <x:v>SUP005</x:v>
      </x:c>
      <x:c r="L1180" t="str">
        <x:v>Supplier 005</x:v>
      </x:c>
      <x:c r="M1180" t="str">
        <x:v>REG-395144</x:v>
      </x:c>
      <x:c r="N1180" t="str">
        <x:v>Generic Ingredient 070</x:v>
      </x:c>
      <x:c r="O1180" t="str">
        <x:v>General Sale</x:v>
      </x:c>
      <x:c r="P1180" t="n">
        <x:v>74</x:v>
      </x:c>
      <x:c r="Q1180" t="n">
        <x:v>57</x:v>
      </x:c>
      <x:c r="R1180" t="n">
        <x:v>12</x:v>
      </x:c>
      <x:c r="S1180" s="12" t="n">
        <x:f>E1180*Q1180</x:f>
        <x:v>7185.42</x:v>
      </x:c>
      <x:c r="T1180" s="12" t="n">
        <x:f>ROUND(S1180*F1180+0.000000001,2)</x:f>
        <x:v>1896.95</x:v>
      </x:c>
      <x:c r="U1180" s="12" t="n">
        <x:f>E1180*R1180</x:f>
        <x:v>1512.72</x:v>
      </x:c>
      <x:c r="V1180" t="str">
        <x:f>IF(AND(C1180="Active",Q1180=0),"Active Zero Sales","Not Zero Sales")</x:f>
        <x:v>Not Zero Sales</x:v>
      </x:c>
      <x:c r="W1180" s="12" t="n">
        <x:f>IF(V1180="Active Zero Sales",U1180,0)</x:f>
        <x:v>0</x:v>
      </x:c>
      <x:c r="X1180" t="str">
        <x:f>IF(E1180&lt;25,"Low &lt; 25",IF(E1180&lt;100,"Medium 25-99",IF(E1180&lt;300,"High 100-299","Premium 300+")))</x:f>
        <x:v>High 100-299</x:v>
      </x:c>
      <x:c r="Y1180" t="n">
        <x:f>IF(C1180="Active",1,0)</x:f>
        <x:v>1</x:v>
      </x:c>
    </x:row>
    <x:row r="1181">
      <x:c r="A1181" t="str">
        <x:v>SKU01180</x:v>
      </x:c>
      <x:c r="B1181" t="str">
        <x:v>Sample Product 01180</x:v>
      </x:c>
      <x:c r="C1181" t="str">
        <x:v>Active</x:v>
      </x:c>
      <x:c r="D1181" t="str">
        <x:v>2026-06</x:v>
      </x:c>
      <x:c r="E1181" s="12" t="n">
        <x:v>270.86</x:v>
      </x:c>
      <x:c r="F1181" s="10" t="n">
        <x:v>0.36</x:v>
      </x:c>
      <x:c r="G1181" t="str">
        <x:v>General Merchandise</x:v>
      </x:c>
      <x:c r="H1181" t="str">
        <x:v>Accessories</x:v>
      </x:c>
      <x:c r="I1181" t="str">
        <x:v>MFG008</x:v>
      </x:c>
      <x:c r="J1181" t="str">
        <x:v>Manufacturer 008</x:v>
      </x:c>
      <x:c r="K1181" t="str">
        <x:v>SUP028</x:v>
      </x:c>
      <x:c r="L1181" t="str">
        <x:v>Supplier 028</x:v>
      </x:c>
      <x:c r="M1181" t="str">
        <x:v>REG-905176</x:v>
      </x:c>
      <x:c r="N1181" t="str">
        <x:v>Generic Ingredient 100</x:v>
      </x:c>
      <x:c r="O1181" t="str">
        <x:v>General Sale</x:v>
      </x:c>
      <x:c r="P1181" t="n">
        <x:v>61</x:v>
      </x:c>
      <x:c r="Q1181" t="n">
        <x:v>16</x:v>
      </x:c>
      <x:c r="R1181" t="n">
        <x:v>25</x:v>
      </x:c>
      <x:c r="S1181" s="12" t="n">
        <x:f>E1181*Q1181</x:f>
        <x:v>4333.76</x:v>
      </x:c>
      <x:c r="T1181" s="12" t="n">
        <x:f>ROUND(S1181*F1181+0.000000001,2)</x:f>
        <x:v>1560.15</x:v>
      </x:c>
      <x:c r="U1181" s="12" t="n">
        <x:f>E1181*R1181</x:f>
        <x:v>6771.5</x:v>
      </x:c>
      <x:c r="V1181" t="str">
        <x:f>IF(AND(C1181="Active",Q1181=0),"Active Zero Sales","Not Zero Sales")</x:f>
        <x:v>Not Zero Sales</x:v>
      </x:c>
      <x:c r="W1181" s="12" t="n">
        <x:f>IF(V1181="Active Zero Sales",U1181,0)</x:f>
        <x:v>0</x:v>
      </x:c>
      <x:c r="X1181" t="str">
        <x:f>IF(E1181&lt;25,"Low &lt; 25",IF(E1181&lt;100,"Medium 25-99",IF(E1181&lt;300,"High 100-299","Premium 300+")))</x:f>
        <x:v>High 100-299</x:v>
      </x:c>
      <x:c r="Y1181" t="n">
        <x:f>IF(C1181="Active",1,0)</x:f>
        <x:v>1</x:v>
      </x:c>
    </x:row>
    <x:row r="1182">
      <x:c r="A1182" t="str">
        <x:v>SKU01181</x:v>
      </x:c>
      <x:c r="B1182" t="str">
        <x:v>Sample Product 01181</x:v>
      </x:c>
      <x:c r="C1182" t="str">
        <x:v>Blocked</x:v>
      </x:c>
      <x:c r="D1182" t="str">
        <x:v>2026-04</x:v>
      </x:c>
      <x:c r="E1182" s="12" t="n">
        <x:v>229.54</x:v>
      </x:c>
      <x:c r="F1182" s="10" t="n">
        <x:v>0.402</x:v>
      </x:c>
      <x:c r="G1182" t="str">
        <x:v>General Merchandise</x:v>
      </x:c>
      <x:c r="H1182" t="str">
        <x:v>Baby Essentials</x:v>
      </x:c>
      <x:c r="I1182" t="str">
        <x:v>MFG013</x:v>
      </x:c>
      <x:c r="J1182" t="str">
        <x:v>Manufacturer 013</x:v>
      </x:c>
      <x:c r="K1182" t="str">
        <x:v>SUP002</x:v>
      </x:c>
      <x:c r="L1182" t="str">
        <x:v>Supplier 002</x:v>
      </x:c>
      <x:c r="M1182" t="str">
        <x:v>REG-565968</x:v>
      </x:c>
      <x:c r="N1182" t="str">
        <x:v>Generic Ingredient 014</x:v>
      </x:c>
      <x:c r="O1182" t="str">
        <x:v>General Sale</x:v>
      </x:c>
      <x:c r="P1182" t="n">
        <x:v>0</x:v>
      </x:c>
      <x:c r="Q1182" t="n">
        <x:v>0</x:v>
      </x:c>
      <x:c r="R1182" t="n">
        <x:v>4</x:v>
      </x:c>
      <x:c r="S1182" s="12" t="n">
        <x:f>E1182*Q1182</x:f>
        <x:v>0</x:v>
      </x:c>
      <x:c r="T1182" s="12" t="n">
        <x:f>ROUND(S1182*F1182+0.000000001,2)</x:f>
        <x:v>0</x:v>
      </x:c>
      <x:c r="U1182" s="12" t="n">
        <x:f>E1182*R1182</x:f>
        <x:v>918.16</x:v>
      </x:c>
      <x:c r="V1182" t="str">
        <x:f>IF(AND(C1182="Active",Q1182=0),"Active Zero Sales","Not Zero Sales")</x:f>
        <x:v>Not Zero Sales</x:v>
      </x:c>
      <x:c r="W1182" s="12" t="n">
        <x:f>IF(V1182="Active Zero Sales",U1182,0)</x:f>
        <x:v>0</x:v>
      </x:c>
      <x:c r="X1182" t="str">
        <x:f>IF(E1182&lt;25,"Low &lt; 25",IF(E1182&lt;100,"Medium 25-99",IF(E1182&lt;300,"High 100-299","Premium 300+")))</x:f>
        <x:v>High 100-299</x:v>
      </x:c>
      <x:c r="Y1182" t="n">
        <x:f>IF(C1182="Active",1,0)</x:f>
        <x:v>0</x:v>
      </x:c>
    </x:row>
    <x:row r="1183">
      <x:c r="A1183" t="str">
        <x:v>SKU01182</x:v>
      </x:c>
      <x:c r="B1183" t="str">
        <x:v>Sample Product 01182</x:v>
      </x:c>
      <x:c r="C1183" t="str">
        <x:v>Active</x:v>
      </x:c>
      <x:c r="D1183" t="str">
        <x:v>2026-02</x:v>
      </x:c>
      <x:c r="E1183" s="12" t="n">
        <x:v>97.42</x:v>
      </x:c>
      <x:c r="F1183" s="10" t="n">
        <x:v>0.412</x:v>
      </x:c>
      <x:c r="G1183" t="str">
        <x:v>Nutrition</x:v>
      </x:c>
      <x:c r="H1183" t="str">
        <x:v>Sports Nutrition</x:v>
      </x:c>
      <x:c r="I1183" t="str">
        <x:v>MFG020</x:v>
      </x:c>
      <x:c r="J1183" t="str">
        <x:v>Manufacturer 020</x:v>
      </x:c>
      <x:c r="K1183" t="str">
        <x:v>SUP011</x:v>
      </x:c>
      <x:c r="L1183" t="str">
        <x:v>Supplier 011</x:v>
      </x:c>
      <x:c r="M1183" t="str">
        <x:v>REG-670435</x:v>
      </x:c>
      <x:c r="N1183" t="str">
        <x:v>Generic Ingredient 137</x:v>
      </x:c>
      <x:c r="O1183" t="str">
        <x:v>General Sale</x:v>
      </x:c>
      <x:c r="P1183" t="n">
        <x:v>74</x:v>
      </x:c>
      <x:c r="Q1183" t="n">
        <x:v>44</x:v>
      </x:c>
      <x:c r="R1183" t="n">
        <x:v>17</x:v>
      </x:c>
      <x:c r="S1183" s="12" t="n">
        <x:f>E1183*Q1183</x:f>
        <x:v>4286.4800000000005</x:v>
      </x:c>
      <x:c r="T1183" s="12" t="n">
        <x:f>ROUND(S1183*F1183+0.000000001,2)</x:f>
        <x:v>1766.03</x:v>
      </x:c>
      <x:c r="U1183" s="12" t="n">
        <x:f>E1183*R1183</x:f>
        <x:v>1656.14</x:v>
      </x:c>
      <x:c r="V1183" t="str">
        <x:f>IF(AND(C1183="Active",Q1183=0),"Active Zero Sales","Not Zero Sales")</x:f>
        <x:v>Not Zero Sales</x:v>
      </x:c>
      <x:c r="W1183" s="12" t="n">
        <x:f>IF(V1183="Active Zero Sales",U1183,0)</x:f>
        <x:v>0</x:v>
      </x:c>
      <x:c r="X1183" t="str">
        <x:f>IF(E1183&lt;25,"Low &lt; 25",IF(E1183&lt;100,"Medium 25-99",IF(E1183&lt;300,"High 100-299","Premium 300+")))</x:f>
        <x:v>Medium 25-99</x:v>
      </x:c>
      <x:c r="Y1183" t="n">
        <x:f>IF(C1183="Active",1,0)</x:f>
        <x:v>1</x:v>
      </x:c>
    </x:row>
    <x:row r="1184">
      <x:c r="A1184" t="str">
        <x:v>SKU01183</x:v>
      </x:c>
      <x:c r="B1184" t="str">
        <x:v>Sample Product 01183</x:v>
      </x:c>
      <x:c r="C1184" t="str">
        <x:v>Active</x:v>
      </x:c>
      <x:c r="D1184" t="str">
        <x:v>2026-05</x:v>
      </x:c>
      <x:c r="E1184" s="12" t="n">
        <x:v>29.45</x:v>
      </x:c>
      <x:c r="F1184" s="10" t="n">
        <x:v>0.17</x:v>
      </x:c>
      <x:c r="G1184" t="str">
        <x:v>General Merchandise</x:v>
      </x:c>
      <x:c r="H1184" t="str">
        <x:v>Seasonal Care</x:v>
      </x:c>
      <x:c r="I1184" t="str">
        <x:v>MFG017</x:v>
      </x:c>
      <x:c r="J1184" t="str">
        <x:v>Manufacturer 017</x:v>
      </x:c>
      <x:c r="K1184" t="str">
        <x:v>SUP014</x:v>
      </x:c>
      <x:c r="L1184" t="str">
        <x:v>Supplier 014</x:v>
      </x:c>
      <x:c r="M1184" t="str">
        <x:v>REG-534559</x:v>
      </x:c>
      <x:c r="N1184" t="str">
        <x:v>Generic Ingredient 141</x:v>
      </x:c>
      <x:c r="O1184" t="str">
        <x:v>General Sale</x:v>
      </x:c>
      <x:c r="P1184" t="n">
        <x:v>39</x:v>
      </x:c>
      <x:c r="Q1184" t="n">
        <x:v>22</x:v>
      </x:c>
      <x:c r="R1184" t="n">
        <x:v>9</x:v>
      </x:c>
      <x:c r="S1184" s="12" t="n">
        <x:f>E1184*Q1184</x:f>
        <x:v>647.9</x:v>
      </x:c>
      <x:c r="T1184" s="12" t="n">
        <x:f>ROUND(S1184*F1184+0.000000001,2)</x:f>
        <x:v>110.14</x:v>
      </x:c>
      <x:c r="U1184" s="12" t="n">
        <x:f>E1184*R1184</x:f>
        <x:v>265.05</x:v>
      </x:c>
      <x:c r="V1184" t="str">
        <x:f>IF(AND(C1184="Active",Q1184=0),"Active Zero Sales","Not Zero Sales")</x:f>
        <x:v>Not Zero Sales</x:v>
      </x:c>
      <x:c r="W1184" s="12" t="n">
        <x:f>IF(V1184="Active Zero Sales",U1184,0)</x:f>
        <x:v>0</x:v>
      </x:c>
      <x:c r="X1184" t="str">
        <x:f>IF(E1184&lt;25,"Low &lt; 25",IF(E1184&lt;100,"Medium 25-99",IF(E1184&lt;300,"High 100-299","Premium 300+")))</x:f>
        <x:v>Medium 25-99</x:v>
      </x:c>
      <x:c r="Y1184" t="n">
        <x:f>IF(C1184="Active",1,0)</x:f>
        <x:v>1</x:v>
      </x:c>
    </x:row>
    <x:row r="1185">
      <x:c r="A1185" t="str">
        <x:v>SKU01184</x:v>
      </x:c>
      <x:c r="B1185" t="str">
        <x:v>Sample Product 01184</x:v>
      </x:c>
      <x:c r="C1185" t="str">
        <x:v>Active</x:v>
      </x:c>
      <x:c r="D1185" t="str">
        <x:v>2026-01</x:v>
      </x:c>
      <x:c r="E1185" s="12" t="n">
        <x:v>88.16</x:v>
      </x:c>
      <x:c r="F1185" s="10" t="n">
        <x:v>0.324</x:v>
      </x:c>
      <x:c r="G1185" t="str">
        <x:v>Personal Care</x:v>
      </x:c>
      <x:c r="H1185" t="str">
        <x:v>Skin Care</x:v>
      </x:c>
      <x:c r="I1185" t="str">
        <x:v>MFG020</x:v>
      </x:c>
      <x:c r="J1185" t="str">
        <x:v>Manufacturer 020</x:v>
      </x:c>
      <x:c r="K1185" t="str">
        <x:v>SUP030</x:v>
      </x:c>
      <x:c r="L1185" t="str">
        <x:v>Supplier 030</x:v>
      </x:c>
      <x:c r="M1185" t="str">
        <x:v>REG-807906</x:v>
      </x:c>
      <x:c r="N1185" t="str">
        <x:v>Generic Ingredient 089</x:v>
      </x:c>
      <x:c r="O1185" t="str">
        <x:v>General Sale</x:v>
      </x:c>
      <x:c r="P1185" t="n">
        <x:v>34</x:v>
      </x:c>
      <x:c r="Q1185" t="n">
        <x:v>13</x:v>
      </x:c>
      <x:c r="R1185" t="n">
        <x:v>6</x:v>
      </x:c>
      <x:c r="S1185" s="12" t="n">
        <x:f>E1185*Q1185</x:f>
        <x:v>1146.08</x:v>
      </x:c>
      <x:c r="T1185" s="12" t="n">
        <x:f>ROUND(S1185*F1185+0.000000001,2)</x:f>
        <x:v>371.33</x:v>
      </x:c>
      <x:c r="U1185" s="12" t="n">
        <x:f>E1185*R1185</x:f>
        <x:v>528.96</x:v>
      </x:c>
      <x:c r="V1185" t="str">
        <x:f>IF(AND(C1185="Active",Q1185=0),"Active Zero Sales","Not Zero Sales")</x:f>
        <x:v>Not Zero Sales</x:v>
      </x:c>
      <x:c r="W1185" s="12" t="n">
        <x:f>IF(V1185="Active Zero Sales",U1185,0)</x:f>
        <x:v>0</x:v>
      </x:c>
      <x:c r="X1185" t="str">
        <x:f>IF(E1185&lt;25,"Low &lt; 25",IF(E1185&lt;100,"Medium 25-99",IF(E1185&lt;300,"High 100-299","Premium 300+")))</x:f>
        <x:v>Medium 25-99</x:v>
      </x:c>
      <x:c r="Y1185" t="n">
        <x:f>IF(C1185="Active",1,0)</x:f>
        <x:v>1</x:v>
      </x:c>
    </x:row>
    <x:row r="1186">
      <x:c r="A1186" t="str">
        <x:v>SKU01185</x:v>
      </x:c>
      <x:c r="B1186" t="str">
        <x:v>Sample Product 01185</x:v>
      </x:c>
      <x:c r="C1186" t="str">
        <x:v>Active</x:v>
      </x:c>
      <x:c r="D1186" t="str">
        <x:v>2026-01</x:v>
      </x:c>
      <x:c r="E1186" s="12" t="n">
        <x:v>83.52</x:v>
      </x:c>
      <x:c r="F1186" s="10" t="n">
        <x:v>0.241</x:v>
      </x:c>
      <x:c r="G1186" t="str">
        <x:v>Medical Devices</x:v>
      </x:c>
      <x:c r="H1186" t="str">
        <x:v>Home Diagnostics</x:v>
      </x:c>
      <x:c r="I1186" t="str">
        <x:v>MFG016</x:v>
      </x:c>
      <x:c r="J1186" t="str">
        <x:v>Manufacturer 016</x:v>
      </x:c>
      <x:c r="K1186" t="str">
        <x:v>SUP003</x:v>
      </x:c>
      <x:c r="L1186" t="str">
        <x:v>Supplier 003</x:v>
      </x:c>
      <x:c r="M1186" t="str">
        <x:v>REG-370437</x:v>
      </x:c>
      <x:c r="N1186" t="str">
        <x:v>Generic Ingredient 043</x:v>
      </x:c>
      <x:c r="O1186" t="str">
        <x:v>General Sale</x:v>
      </x:c>
      <x:c r="P1186" t="n">
        <x:v>82</x:v>
      </x:c>
      <x:c r="Q1186" t="n">
        <x:v>20</x:v>
      </x:c>
      <x:c r="R1186" t="n">
        <x:v>17</x:v>
      </x:c>
      <x:c r="S1186" s="12" t="n">
        <x:f>E1186*Q1186</x:f>
        <x:v>1670.3999999999999</x:v>
      </x:c>
      <x:c r="T1186" s="12" t="n">
        <x:f>ROUND(S1186*F1186+0.000000001,2)</x:f>
        <x:v>402.57</x:v>
      </x:c>
      <x:c r="U1186" s="12" t="n">
        <x:f>E1186*R1186</x:f>
        <x:v>1419.84</x:v>
      </x:c>
      <x:c r="V1186" t="str">
        <x:f>IF(AND(C1186="Active",Q1186=0),"Active Zero Sales","Not Zero Sales")</x:f>
        <x:v>Not Zero Sales</x:v>
      </x:c>
      <x:c r="W1186" s="12" t="n">
        <x:f>IF(V1186="Active Zero Sales",U1186,0)</x:f>
        <x:v>0</x:v>
      </x:c>
      <x:c r="X1186" t="str">
        <x:f>IF(E1186&lt;25,"Low &lt; 25",IF(E1186&lt;100,"Medium 25-99",IF(E1186&lt;300,"High 100-299","Premium 300+")))</x:f>
        <x:v>Medium 25-99</x:v>
      </x:c>
      <x:c r="Y1186" t="n">
        <x:f>IF(C1186="Active",1,0)</x:f>
        <x:v>1</x:v>
      </x:c>
    </x:row>
    <x:row r="1187">
      <x:c r="A1187" t="str">
        <x:v>SKU01186</x:v>
      </x:c>
      <x:c r="B1187" t="str">
        <x:v>Sample Product 01186</x:v>
      </x:c>
      <x:c r="C1187" t="str">
        <x:v>Active</x:v>
      </x:c>
      <x:c r="D1187" t="str">
        <x:v>2026-03</x:v>
      </x:c>
      <x:c r="E1187" s="12" t="n">
        <x:v>20.74</x:v>
      </x:c>
      <x:c r="F1187" s="10" t="n">
        <x:v>0.253</x:v>
      </x:c>
      <x:c r="G1187" t="str">
        <x:v>Nutrition</x:v>
      </x:c>
      <x:c r="H1187" t="str">
        <x:v>Sports Nutrition</x:v>
      </x:c>
      <x:c r="I1187" t="str">
        <x:v>MFG016</x:v>
      </x:c>
      <x:c r="J1187" t="str">
        <x:v>Manufacturer 016</x:v>
      </x:c>
      <x:c r="K1187" t="str">
        <x:v>SUP005</x:v>
      </x:c>
      <x:c r="L1187" t="str">
        <x:v>Supplier 005</x:v>
      </x:c>
      <x:c r="M1187" t="str">
        <x:v>REG-659559</x:v>
      </x:c>
      <x:c r="N1187" t="str">
        <x:v>Generic Ingredient 096</x:v>
      </x:c>
      <x:c r="O1187" t="str">
        <x:v>General Sale</x:v>
      </x:c>
      <x:c r="P1187" t="n">
        <x:v>50</x:v>
      </x:c>
      <x:c r="Q1187" t="n">
        <x:v>25</x:v>
      </x:c>
      <x:c r="R1187" t="n">
        <x:v>6</x:v>
      </x:c>
      <x:c r="S1187" s="12" t="n">
        <x:f>E1187*Q1187</x:f>
        <x:v>518.5</x:v>
      </x:c>
      <x:c r="T1187" s="12" t="n">
        <x:f>ROUND(S1187*F1187+0.000000001,2)</x:f>
        <x:v>131.18</x:v>
      </x:c>
      <x:c r="U1187" s="12" t="n">
        <x:f>E1187*R1187</x:f>
        <x:v>124.44</x:v>
      </x:c>
      <x:c r="V1187" t="str">
        <x:f>IF(AND(C1187="Active",Q1187=0),"Active Zero Sales","Not Zero Sales")</x:f>
        <x:v>Not Zero Sales</x:v>
      </x:c>
      <x:c r="W1187" s="12" t="n">
        <x:f>IF(V1187="Active Zero Sales",U1187,0)</x:f>
        <x:v>0</x:v>
      </x:c>
      <x:c r="X1187" t="str">
        <x:f>IF(E1187&lt;25,"Low &lt; 25",IF(E1187&lt;100,"Medium 25-99",IF(E1187&lt;300,"High 100-299","Premium 300+")))</x:f>
        <x:v>Low &lt; 25</x:v>
      </x:c>
      <x:c r="Y1187" t="n">
        <x:f>IF(C1187="Active",1,0)</x:f>
        <x:v>1</x:v>
      </x:c>
    </x:row>
    <x:row r="1188">
      <x:c r="A1188" t="str">
        <x:v>SKU01187</x:v>
      </x:c>
      <x:c r="B1188" t="str">
        <x:v>Sample Product 01187</x:v>
      </x:c>
      <x:c r="C1188" t="str">
        <x:v>Active</x:v>
      </x:c>
      <x:c r="D1188" t="str">
        <x:v>2026-04</x:v>
      </x:c>
      <x:c r="E1188" s="12" t="n">
        <x:v>120.88</x:v>
      </x:c>
      <x:c r="F1188" s="10" t="n">
        <x:v>0.405</x:v>
      </x:c>
      <x:c r="G1188" t="str">
        <x:v>Nutrition</x:v>
      </x:c>
      <x:c r="H1188" t="str">
        <x:v>Sports Nutrition</x:v>
      </x:c>
      <x:c r="I1188" t="str">
        <x:v>MFG006</x:v>
      </x:c>
      <x:c r="J1188" t="str">
        <x:v>Manufacturer 006</x:v>
      </x:c>
      <x:c r="K1188" t="str">
        <x:v>SUP018</x:v>
      </x:c>
      <x:c r="L1188" t="str">
        <x:v>Supplier 018</x:v>
      </x:c>
      <x:c r="M1188" t="str">
        <x:v>REG-664034</x:v>
      </x:c>
      <x:c r="N1188" t="str">
        <x:v>Generic Ingredient 001</x:v>
      </x:c>
      <x:c r="O1188" t="str">
        <x:v>General Sale</x:v>
      </x:c>
      <x:c r="P1188" t="n">
        <x:v>164</x:v>
      </x:c>
      <x:c r="Q1188" t="n">
        <x:v>89</x:v>
      </x:c>
      <x:c r="R1188" t="n">
        <x:v>31</x:v>
      </x:c>
      <x:c r="S1188" s="12" t="n">
        <x:f>E1188*Q1188</x:f>
        <x:v>10758.32</x:v>
      </x:c>
      <x:c r="T1188" s="12" t="n">
        <x:f>ROUND(S1188*F1188+0.000000001,2)</x:f>
        <x:v>4357.12</x:v>
      </x:c>
      <x:c r="U1188" s="12" t="n">
        <x:f>E1188*R1188</x:f>
        <x:v>3747.2799999999997</x:v>
      </x:c>
      <x:c r="V1188" t="str">
        <x:f>IF(AND(C1188="Active",Q1188=0),"Active Zero Sales","Not Zero Sales")</x:f>
        <x:v>Not Zero Sales</x:v>
      </x:c>
      <x:c r="W1188" s="12" t="n">
        <x:f>IF(V1188="Active Zero Sales",U1188,0)</x:f>
        <x:v>0</x:v>
      </x:c>
      <x:c r="X1188" t="str">
        <x:f>IF(E1188&lt;25,"Low &lt; 25",IF(E1188&lt;100,"Medium 25-99",IF(E1188&lt;300,"High 100-299","Premium 300+")))</x:f>
        <x:v>High 100-299</x:v>
      </x:c>
      <x:c r="Y1188" t="n">
        <x:f>IF(C1188="Active",1,0)</x:f>
        <x:v>1</x:v>
      </x:c>
    </x:row>
    <x:row r="1189">
      <x:c r="A1189" t="str">
        <x:v>SKU01188</x:v>
      </x:c>
      <x:c r="B1189" t="str">
        <x:v>Sample Product 01188</x:v>
      </x:c>
      <x:c r="C1189" t="str">
        <x:v>Active</x:v>
      </x:c>
      <x:c r="D1189" t="str">
        <x:v>2026-05</x:v>
      </x:c>
      <x:c r="E1189" s="12" t="n">
        <x:v>53.84</x:v>
      </x:c>
      <x:c r="F1189" s="10" t="n">
        <x:v>0.398</x:v>
      </x:c>
      <x:c r="G1189" t="str">
        <x:v>Nutrition</x:v>
      </x:c>
      <x:c r="H1189" t="str">
        <x:v>Adult Nutrition</x:v>
      </x:c>
      <x:c r="I1189" t="str">
        <x:v>MFG013</x:v>
      </x:c>
      <x:c r="J1189" t="str">
        <x:v>Manufacturer 013</x:v>
      </x:c>
      <x:c r="K1189" t="str">
        <x:v>SUP006</x:v>
      </x:c>
      <x:c r="L1189" t="str">
        <x:v>Supplier 006</x:v>
      </x:c>
      <x:c r="M1189" t="str">
        <x:v>REG-768623</x:v>
      </x:c>
      <x:c r="N1189" t="str">
        <x:v>Generic Ingredient 076</x:v>
      </x:c>
      <x:c r="O1189" t="str">
        <x:v>Pharmacy Only</x:v>
      </x:c>
      <x:c r="P1189" t="n">
        <x:v>65</x:v>
      </x:c>
      <x:c r="Q1189" t="n">
        <x:v>15</x:v>
      </x:c>
      <x:c r="R1189" t="n">
        <x:v>4</x:v>
      </x:c>
      <x:c r="S1189" s="12" t="n">
        <x:f>E1189*Q1189</x:f>
        <x:v>807.6</x:v>
      </x:c>
      <x:c r="T1189" s="12" t="n">
        <x:f>ROUND(S1189*F1189+0.000000001,2)</x:f>
        <x:v>321.42</x:v>
      </x:c>
      <x:c r="U1189" s="12" t="n">
        <x:f>E1189*R1189</x:f>
        <x:v>215.36</x:v>
      </x:c>
      <x:c r="V1189" t="str">
        <x:f>IF(AND(C1189="Active",Q1189=0),"Active Zero Sales","Not Zero Sales")</x:f>
        <x:v>Not Zero Sales</x:v>
      </x:c>
      <x:c r="W1189" s="12" t="n">
        <x:f>IF(V1189="Active Zero Sales",U1189,0)</x:f>
        <x:v>0</x:v>
      </x:c>
      <x:c r="X1189" t="str">
        <x:f>IF(E1189&lt;25,"Low &lt; 25",IF(E1189&lt;100,"Medium 25-99",IF(E1189&lt;300,"High 100-299","Premium 300+")))</x:f>
        <x:v>Medium 25-99</x:v>
      </x:c>
      <x:c r="Y1189" t="n">
        <x:f>IF(C1189="Active",1,0)</x:f>
        <x:v>1</x:v>
      </x:c>
    </x:row>
    <x:row r="1190">
      <x:c r="A1190" t="str">
        <x:v>SKU01189</x:v>
      </x:c>
      <x:c r="B1190" t="str">
        <x:v>Sample Product 01189</x:v>
      </x:c>
      <x:c r="C1190" t="str">
        <x:v>Blocked</x:v>
      </x:c>
      <x:c r="D1190" t="str">
        <x:v>2026-04</x:v>
      </x:c>
      <x:c r="E1190" s="12" t="n">
        <x:v>6.23</x:v>
      </x:c>
      <x:c r="F1190" s="10" t="n">
        <x:v>0.23</x:v>
      </x:c>
      <x:c r="G1190" t="str">
        <x:v>OTC &amp; Wellness</x:v>
      </x:c>
      <x:c r="H1190" t="str">
        <x:v>Cold &amp; Allergy</x:v>
      </x:c>
      <x:c r="I1190" t="str">
        <x:v>MFG015</x:v>
      </x:c>
      <x:c r="J1190" t="str">
        <x:v>Manufacturer 015</x:v>
      </x:c>
      <x:c r="K1190" t="str">
        <x:v>SUP028</x:v>
      </x:c>
      <x:c r="L1190" t="str">
        <x:v>Supplier 028</x:v>
      </x:c>
      <x:c r="M1190" t="str">
        <x:v>REG-924497</x:v>
      </x:c>
      <x:c r="N1190" t="str">
        <x:v>Generic Ingredient 168</x:v>
      </x:c>
      <x:c r="O1190" t="str">
        <x:v>General Sale</x:v>
      </x:c>
      <x:c r="P1190" t="n">
        <x:v>37</x:v>
      </x:c>
      <x:c r="Q1190" t="n">
        <x:v>0</x:v>
      </x:c>
      <x:c r="R1190" t="n">
        <x:v>0</x:v>
      </x:c>
      <x:c r="S1190" s="12" t="n">
        <x:f>E1190*Q1190</x:f>
        <x:v>0</x:v>
      </x:c>
      <x:c r="T1190" s="12" t="n">
        <x:f>ROUND(S1190*F1190+0.000000001,2)</x:f>
        <x:v>0</x:v>
      </x:c>
      <x:c r="U1190" s="12" t="n">
        <x:f>E1190*R1190</x:f>
        <x:v>0</x:v>
      </x:c>
      <x:c r="V1190" t="str">
        <x:f>IF(AND(C1190="Active",Q1190=0),"Active Zero Sales","Not Zero Sales")</x:f>
        <x:v>Not Zero Sales</x:v>
      </x:c>
      <x:c r="W1190" s="12" t="n">
        <x:f>IF(V1190="Active Zero Sales",U1190,0)</x:f>
        <x:v>0</x:v>
      </x:c>
      <x:c r="X1190" t="str">
        <x:f>IF(E1190&lt;25,"Low &lt; 25",IF(E1190&lt;100,"Medium 25-99",IF(E1190&lt;300,"High 100-299","Premium 300+")))</x:f>
        <x:v>Low &lt; 25</x:v>
      </x:c>
      <x:c r="Y1190" t="n">
        <x:f>IF(C1190="Active",1,0)</x:f>
        <x:v>0</x:v>
      </x:c>
    </x:row>
    <x:row r="1191">
      <x:c r="A1191" t="str">
        <x:v>SKU01190</x:v>
      </x:c>
      <x:c r="B1191" t="str">
        <x:v>Sample Product 01190</x:v>
      </x:c>
      <x:c r="C1191" t="str">
        <x:v>Active</x:v>
      </x:c>
      <x:c r="D1191" t="str">
        <x:v>2026-04</x:v>
      </x:c>
      <x:c r="E1191" s="12" t="n">
        <x:v>95.08</x:v>
      </x:c>
      <x:c r="F1191" s="10" t="n">
        <x:v>0.208</x:v>
      </x:c>
      <x:c r="G1191" t="str">
        <x:v>Nutrition</x:v>
      </x:c>
      <x:c r="H1191" t="str">
        <x:v>Healthy Snacks</x:v>
      </x:c>
      <x:c r="I1191" t="str">
        <x:v>MFG019</x:v>
      </x:c>
      <x:c r="J1191" t="str">
        <x:v>Manufacturer 019</x:v>
      </x:c>
      <x:c r="K1191" t="str">
        <x:v>SUP025</x:v>
      </x:c>
      <x:c r="L1191" t="str">
        <x:v>Supplier 025</x:v>
      </x:c>
      <x:c r="M1191" t="str">
        <x:v>REG-818532</x:v>
      </x:c>
      <x:c r="N1191" t="str">
        <x:v>Generic Ingredient 132</x:v>
      </x:c>
      <x:c r="O1191" t="str">
        <x:v>General Sale</x:v>
      </x:c>
      <x:c r="P1191" t="n">
        <x:v>69</x:v>
      </x:c>
      <x:c r="Q1191" t="n">
        <x:v>20</x:v>
      </x:c>
      <x:c r="R1191" t="n">
        <x:v>21</x:v>
      </x:c>
      <x:c r="S1191" s="12" t="n">
        <x:f>E1191*Q1191</x:f>
        <x:v>1901.6</x:v>
      </x:c>
      <x:c r="T1191" s="12" t="n">
        <x:f>ROUND(S1191*F1191+0.000000001,2)</x:f>
        <x:v>395.53</x:v>
      </x:c>
      <x:c r="U1191" s="12" t="n">
        <x:f>E1191*R1191</x:f>
        <x:v>1996.68</x:v>
      </x:c>
      <x:c r="V1191" t="str">
        <x:f>IF(AND(C1191="Active",Q1191=0),"Active Zero Sales","Not Zero Sales")</x:f>
        <x:v>Not Zero Sales</x:v>
      </x:c>
      <x:c r="W1191" s="12" t="n">
        <x:f>IF(V1191="Active Zero Sales",U1191,0)</x:f>
        <x:v>0</x:v>
      </x:c>
      <x:c r="X1191" t="str">
        <x:f>IF(E1191&lt;25,"Low &lt; 25",IF(E1191&lt;100,"Medium 25-99",IF(E1191&lt;300,"High 100-299","Premium 300+")))</x:f>
        <x:v>Medium 25-99</x:v>
      </x:c>
      <x:c r="Y1191" t="n">
        <x:f>IF(C1191="Active",1,0)</x:f>
        <x:v>1</x:v>
      </x:c>
    </x:row>
    <x:row r="1192">
      <x:c r="A1192" t="str">
        <x:v>SKU01191</x:v>
      </x:c>
      <x:c r="B1192" t="str">
        <x:v>Sample Product 01191</x:v>
      </x:c>
      <x:c r="C1192" t="str">
        <x:v>Blocked</x:v>
      </x:c>
      <x:c r="D1192" t="str">
        <x:v>2026-05</x:v>
      </x:c>
      <x:c r="E1192" s="12" t="n">
        <x:v>7.31</x:v>
      </x:c>
      <x:c r="F1192" s="10" t="n">
        <x:v>0.274</x:v>
      </x:c>
      <x:c r="G1192" t="str">
        <x:v>Medical Devices</x:v>
      </x:c>
      <x:c r="H1192" t="str">
        <x:v>Monitoring Supplies</x:v>
      </x:c>
      <x:c r="I1192" t="str">
        <x:v>MFG018</x:v>
      </x:c>
      <x:c r="J1192" t="str">
        <x:v>Manufacturer 018</x:v>
      </x:c>
      <x:c r="K1192" t="str">
        <x:v>SUP015</x:v>
      </x:c>
      <x:c r="L1192" t="str">
        <x:v>Supplier 015</x:v>
      </x:c>
      <x:c r="M1192" t="str">
        <x:v>REG-931137</x:v>
      </x:c>
      <x:c r="N1192" t="str">
        <x:v>Generic Ingredient 167</x:v>
      </x:c>
      <x:c r="O1192" t="str">
        <x:v>General Sale</x:v>
      </x:c>
      <x:c r="P1192" t="n">
        <x:v>39</x:v>
      </x:c>
      <x:c r="Q1192" t="n">
        <x:v>3</x:v>
      </x:c>
      <x:c r="R1192" t="n">
        <x:v>9</x:v>
      </x:c>
      <x:c r="S1192" s="12" t="n">
        <x:f>E1192*Q1192</x:f>
        <x:v>21.93</x:v>
      </x:c>
      <x:c r="T1192" s="12" t="n">
        <x:f>ROUND(S1192*F1192+0.000000001,2)</x:f>
        <x:v>6.01</x:v>
      </x:c>
      <x:c r="U1192" s="12" t="n">
        <x:f>E1192*R1192</x:f>
        <x:v>65.78999999999999</x:v>
      </x:c>
      <x:c r="V1192" t="str">
        <x:f>IF(AND(C1192="Active",Q1192=0),"Active Zero Sales","Not Zero Sales")</x:f>
        <x:v>Not Zero Sales</x:v>
      </x:c>
      <x:c r="W1192" s="12" t="n">
        <x:f>IF(V1192="Active Zero Sales",U1192,0)</x:f>
        <x:v>0</x:v>
      </x:c>
      <x:c r="X1192" t="str">
        <x:f>IF(E1192&lt;25,"Low &lt; 25",IF(E1192&lt;100,"Medium 25-99",IF(E1192&lt;300,"High 100-299","Premium 300+")))</x:f>
        <x:v>Low &lt; 25</x:v>
      </x:c>
      <x:c r="Y1192" t="n">
        <x:f>IF(C1192="Active",1,0)</x:f>
        <x:v>0</x:v>
      </x:c>
    </x:row>
    <x:row r="1193">
      <x:c r="A1193" t="str">
        <x:v>SKU01192</x:v>
      </x:c>
      <x:c r="B1193" t="str">
        <x:v>Sample Product 01192</x:v>
      </x:c>
      <x:c r="C1193" t="str">
        <x:v>Blocked</x:v>
      </x:c>
      <x:c r="D1193" t="str">
        <x:v>2026-03</x:v>
      </x:c>
      <x:c r="E1193" s="12" t="n">
        <x:v>60.42</x:v>
      </x:c>
      <x:c r="F1193" s="10" t="n">
        <x:v>0.385</x:v>
      </x:c>
      <x:c r="G1193" t="str">
        <x:v>Personal Care</x:v>
      </x:c>
      <x:c r="H1193" t="str">
        <x:v>Oral Care</x:v>
      </x:c>
      <x:c r="I1193" t="str">
        <x:v>MFG020</x:v>
      </x:c>
      <x:c r="J1193" t="str">
        <x:v>Manufacturer 020</x:v>
      </x:c>
      <x:c r="K1193" t="str">
        <x:v>SUP022</x:v>
      </x:c>
      <x:c r="L1193" t="str">
        <x:v>Supplier 022</x:v>
      </x:c>
      <x:c r="M1193" t="str">
        <x:v>REG-645829</x:v>
      </x:c>
      <x:c r="N1193" t="str">
        <x:v>Generic Ingredient 122</x:v>
      </x:c>
      <x:c r="O1193" t="str">
        <x:v>General Sale</x:v>
      </x:c>
      <x:c r="P1193" t="n">
        <x:v>4</x:v>
      </x:c>
      <x:c r="Q1193" t="n">
        <x:v>0</x:v>
      </x:c>
      <x:c r="R1193" t="n">
        <x:v>0</x:v>
      </x:c>
      <x:c r="S1193" s="12" t="n">
        <x:f>E1193*Q1193</x:f>
        <x:v>0</x:v>
      </x:c>
      <x:c r="T1193" s="12" t="n">
        <x:f>ROUND(S1193*F1193+0.000000001,2)</x:f>
        <x:v>0</x:v>
      </x:c>
      <x:c r="U1193" s="12" t="n">
        <x:f>E1193*R1193</x:f>
        <x:v>0</x:v>
      </x:c>
      <x:c r="V1193" t="str">
        <x:f>IF(AND(C1193="Active",Q1193=0),"Active Zero Sales","Not Zero Sales")</x:f>
        <x:v>Not Zero Sales</x:v>
      </x:c>
      <x:c r="W1193" s="12" t="n">
        <x:f>IF(V1193="Active Zero Sales",U1193,0)</x:f>
        <x:v>0</x:v>
      </x:c>
      <x:c r="X1193" t="str">
        <x:f>IF(E1193&lt;25,"Low &lt; 25",IF(E1193&lt;100,"Medium 25-99",IF(E1193&lt;300,"High 100-299","Premium 300+")))</x:f>
        <x:v>Medium 25-99</x:v>
      </x:c>
      <x:c r="Y1193" t="n">
        <x:f>IF(C1193="Active",1,0)</x:f>
        <x:v>0</x:v>
      </x:c>
    </x:row>
    <x:row r="1194">
      <x:c r="A1194" t="str">
        <x:v>SKU01193</x:v>
      </x:c>
      <x:c r="B1194" t="str">
        <x:v>Sample Product 01193</x:v>
      </x:c>
      <x:c r="C1194" t="str">
        <x:v>Active</x:v>
      </x:c>
      <x:c r="D1194" t="str">
        <x:v>2026-06</x:v>
      </x:c>
      <x:c r="E1194" s="12" t="n">
        <x:v>20.18</x:v>
      </x:c>
      <x:c r="F1194" s="10" t="n">
        <x:v>0.294</x:v>
      </x:c>
      <x:c r="G1194" t="str">
        <x:v>General Merchandise</x:v>
      </x:c>
      <x:c r="H1194" t="str">
        <x:v>Baby Essentials</x:v>
      </x:c>
      <x:c r="I1194" t="str">
        <x:v>MFG019</x:v>
      </x:c>
      <x:c r="J1194" t="str">
        <x:v>Manufacturer 019</x:v>
      </x:c>
      <x:c r="K1194" t="str">
        <x:v>SUP009</x:v>
      </x:c>
      <x:c r="L1194" t="str">
        <x:v>Supplier 009</x:v>
      </x:c>
      <x:c r="M1194" t="str">
        <x:v>REG-873425</x:v>
      </x:c>
      <x:c r="N1194" t="str">
        <x:v>Generic Ingredient 156</x:v>
      </x:c>
      <x:c r="O1194" t="str">
        <x:v>Pharmacy Only</x:v>
      </x:c>
      <x:c r="P1194" t="n">
        <x:v>90</x:v>
      </x:c>
      <x:c r="Q1194" t="n">
        <x:v>0</x:v>
      </x:c>
      <x:c r="R1194" t="n">
        <x:v>58</x:v>
      </x:c>
      <x:c r="S1194" s="12" t="n">
        <x:f>E1194*Q1194</x:f>
        <x:v>0</x:v>
      </x:c>
      <x:c r="T1194" s="12" t="n">
        <x:f>ROUND(S1194*F1194+0.000000001,2)</x:f>
        <x:v>0</x:v>
      </x:c>
      <x:c r="U1194" s="12" t="n">
        <x:f>E1194*R1194</x:f>
        <x:v>1170.44</x:v>
      </x:c>
      <x:c r="V1194" t="str">
        <x:f>IF(AND(C1194="Active",Q1194=0),"Active Zero Sales","Not Zero Sales")</x:f>
        <x:v>Active Zero Sales</x:v>
      </x:c>
      <x:c r="W1194" s="12" t="n">
        <x:f>IF(V1194="Active Zero Sales",U1194,0)</x:f>
        <x:v>1170.44</x:v>
      </x:c>
      <x:c r="X1194" t="str">
        <x:f>IF(E1194&lt;25,"Low &lt; 25",IF(E1194&lt;100,"Medium 25-99",IF(E1194&lt;300,"High 100-299","Premium 300+")))</x:f>
        <x:v>Low &lt; 25</x:v>
      </x:c>
      <x:c r="Y1194" t="n">
        <x:f>IF(C1194="Active",1,0)</x:f>
        <x:v>1</x:v>
      </x:c>
    </x:row>
    <x:row r="1195">
      <x:c r="A1195" t="str">
        <x:v>SKU01194</x:v>
      </x:c>
      <x:c r="B1195" t="str">
        <x:v>Sample Product 01194</x:v>
      </x:c>
      <x:c r="C1195" t="str">
        <x:v>Active</x:v>
      </x:c>
      <x:c r="D1195" t="str">
        <x:v>2026-05</x:v>
      </x:c>
      <x:c r="E1195" s="12" t="n">
        <x:v>230.11</x:v>
      </x:c>
      <x:c r="F1195" s="10" t="n">
        <x:v>0.4</x:v>
      </x:c>
      <x:c r="G1195" t="str">
        <x:v>General Merchandise</x:v>
      </x:c>
      <x:c r="H1195" t="str">
        <x:v>Baby Essentials</x:v>
      </x:c>
      <x:c r="I1195" t="str">
        <x:v>MFG007</x:v>
      </x:c>
      <x:c r="J1195" t="str">
        <x:v>Manufacturer 007</x:v>
      </x:c>
      <x:c r="K1195" t="str">
        <x:v>SUP018</x:v>
      </x:c>
      <x:c r="L1195" t="str">
        <x:v>Supplier 018</x:v>
      </x:c>
      <x:c r="M1195" t="str">
        <x:v>REG-320768</x:v>
      </x:c>
      <x:c r="N1195" t="str">
        <x:v>Generic Ingredient 027</x:v>
      </x:c>
      <x:c r="O1195" t="str">
        <x:v>General Sale</x:v>
      </x:c>
      <x:c r="P1195" t="n">
        <x:v>30</x:v>
      </x:c>
      <x:c r="Q1195" t="n">
        <x:v>8</x:v>
      </x:c>
      <x:c r="R1195" t="n">
        <x:v>13</x:v>
      </x:c>
      <x:c r="S1195" s="12" t="n">
        <x:f>E1195*Q1195</x:f>
        <x:v>1840.88</x:v>
      </x:c>
      <x:c r="T1195" s="12" t="n">
        <x:f>ROUND(S1195*F1195+0.000000001,2)</x:f>
        <x:v>736.35</x:v>
      </x:c>
      <x:c r="U1195" s="12" t="n">
        <x:f>E1195*R1195</x:f>
        <x:v>2991.4300000000003</x:v>
      </x:c>
      <x:c r="V1195" t="str">
        <x:f>IF(AND(C1195="Active",Q1195=0),"Active Zero Sales","Not Zero Sales")</x:f>
        <x:v>Not Zero Sales</x:v>
      </x:c>
      <x:c r="W1195" s="12" t="n">
        <x:f>IF(V1195="Active Zero Sales",U1195,0)</x:f>
        <x:v>0</x:v>
      </x:c>
      <x:c r="X1195" t="str">
        <x:f>IF(E1195&lt;25,"Low &lt; 25",IF(E1195&lt;100,"Medium 25-99",IF(E1195&lt;300,"High 100-299","Premium 300+")))</x:f>
        <x:v>High 100-299</x:v>
      </x:c>
      <x:c r="Y1195" t="n">
        <x:f>IF(C1195="Active",1,0)</x:f>
        <x:v>1</x:v>
      </x:c>
    </x:row>
    <x:row r="1196">
      <x:c r="A1196" t="str">
        <x:v>SKU01195</x:v>
      </x:c>
      <x:c r="B1196" t="str">
        <x:v>Sample Product 01195</x:v>
      </x:c>
      <x:c r="C1196" t="str">
        <x:v>Blocked</x:v>
      </x:c>
      <x:c r="D1196" t="str">
        <x:v>2026-05</x:v>
      </x:c>
      <x:c r="E1196" s="12" t="n">
        <x:v>4.62</x:v>
      </x:c>
      <x:c r="F1196" s="10" t="n">
        <x:v>0.388</x:v>
      </x:c>
      <x:c r="G1196" t="str">
        <x:v>OTC &amp; Wellness</x:v>
      </x:c>
      <x:c r="H1196" t="str">
        <x:v>Digestive Care</x:v>
      </x:c>
      <x:c r="I1196" t="str">
        <x:v>MFG012</x:v>
      </x:c>
      <x:c r="J1196" t="str">
        <x:v>Manufacturer 012</x:v>
      </x:c>
      <x:c r="K1196" t="str">
        <x:v>SUP029</x:v>
      </x:c>
      <x:c r="L1196" t="str">
        <x:v>Supplier 029</x:v>
      </x:c>
      <x:c r="M1196" t="str">
        <x:v>REG-344039</x:v>
      </x:c>
      <x:c r="N1196" t="str">
        <x:v>Generic Ingredient 179</x:v>
      </x:c>
      <x:c r="O1196" t="str">
        <x:v>General Sale</x:v>
      </x:c>
      <x:c r="P1196" t="n">
        <x:v>34</x:v>
      </x:c>
      <x:c r="Q1196" t="n">
        <x:v>22</x:v>
      </x:c>
      <x:c r="R1196" t="n">
        <x:v>0</x:v>
      </x:c>
      <x:c r="S1196" s="12" t="n">
        <x:f>E1196*Q1196</x:f>
        <x:v>101.64</x:v>
      </x:c>
      <x:c r="T1196" s="12" t="n">
        <x:f>ROUND(S1196*F1196+0.000000001,2)</x:f>
        <x:v>39.44</x:v>
      </x:c>
      <x:c r="U1196" s="12" t="n">
        <x:f>E1196*R1196</x:f>
        <x:v>0</x:v>
      </x:c>
      <x:c r="V1196" t="str">
        <x:f>IF(AND(C1196="Active",Q1196=0),"Active Zero Sales","Not Zero Sales")</x:f>
        <x:v>Not Zero Sales</x:v>
      </x:c>
      <x:c r="W1196" s="12" t="n">
        <x:f>IF(V1196="Active Zero Sales",U1196,0)</x:f>
        <x:v>0</x:v>
      </x:c>
      <x:c r="X1196" t="str">
        <x:f>IF(E1196&lt;25,"Low &lt; 25",IF(E1196&lt;100,"Medium 25-99",IF(E1196&lt;300,"High 100-299","Premium 300+")))</x:f>
        <x:v>Low &lt; 25</x:v>
      </x:c>
      <x:c r="Y1196" t="n">
        <x:f>IF(C1196="Active",1,0)</x:f>
        <x:v>0</x:v>
      </x:c>
    </x:row>
    <x:row r="1197">
      <x:c r="A1197" t="str">
        <x:v>SKU01196</x:v>
      </x:c>
      <x:c r="B1197" t="str">
        <x:v>Sample Product 01196</x:v>
      </x:c>
      <x:c r="C1197" t="str">
        <x:v>Active</x:v>
      </x:c>
      <x:c r="D1197" t="str">
        <x:v>2026-04</x:v>
      </x:c>
      <x:c r="E1197" s="12" t="n">
        <x:v>11.65</x:v>
      </x:c>
      <x:c r="F1197" s="10" t="n">
        <x:v>0.394</x:v>
      </x:c>
      <x:c r="G1197" t="str">
        <x:v>General Merchandise</x:v>
      </x:c>
      <x:c r="H1197" t="str">
        <x:v>Seasonal Care</x:v>
      </x:c>
      <x:c r="I1197" t="str">
        <x:v>MFG008</x:v>
      </x:c>
      <x:c r="J1197" t="str">
        <x:v>Manufacturer 008</x:v>
      </x:c>
      <x:c r="K1197" t="str">
        <x:v>SUP002</x:v>
      </x:c>
      <x:c r="L1197" t="str">
        <x:v>Supplier 002</x:v>
      </x:c>
      <x:c r="M1197" t="str">
        <x:v>REG-123194</x:v>
      </x:c>
      <x:c r="N1197" t="str">
        <x:v>Generic Ingredient 021</x:v>
      </x:c>
      <x:c r="O1197" t="str">
        <x:v>General Sale</x:v>
      </x:c>
      <x:c r="P1197" t="n">
        <x:v>57</x:v>
      </x:c>
      <x:c r="Q1197" t="n">
        <x:v>26</x:v>
      </x:c>
      <x:c r="R1197" t="n">
        <x:v>14</x:v>
      </x:c>
      <x:c r="S1197" s="12" t="n">
        <x:f>E1197*Q1197</x:f>
        <x:v>302.90000000000003</x:v>
      </x:c>
      <x:c r="T1197" s="12" t="n">
        <x:f>ROUND(S1197*F1197+0.000000001,2)</x:f>
        <x:v>119.34</x:v>
      </x:c>
      <x:c r="U1197" s="12" t="n">
        <x:f>E1197*R1197</x:f>
        <x:v>163.1</x:v>
      </x:c>
      <x:c r="V1197" t="str">
        <x:f>IF(AND(C1197="Active",Q1197=0),"Active Zero Sales","Not Zero Sales")</x:f>
        <x:v>Not Zero Sales</x:v>
      </x:c>
      <x:c r="W1197" s="12" t="n">
        <x:f>IF(V1197="Active Zero Sales",U1197,0)</x:f>
        <x:v>0</x:v>
      </x:c>
      <x:c r="X1197" t="str">
        <x:f>IF(E1197&lt;25,"Low &lt; 25",IF(E1197&lt;100,"Medium 25-99",IF(E1197&lt;300,"High 100-299","Premium 300+")))</x:f>
        <x:v>Low &lt; 25</x:v>
      </x:c>
      <x:c r="Y1197" t="n">
        <x:f>IF(C1197="Active",1,0)</x:f>
        <x:v>1</x:v>
      </x:c>
    </x:row>
    <x:row r="1198">
      <x:c r="A1198" t="str">
        <x:v>SKU01197</x:v>
      </x:c>
      <x:c r="B1198" t="str">
        <x:v>Sample Product 01197</x:v>
      </x:c>
      <x:c r="C1198" t="str">
        <x:v>Active</x:v>
      </x:c>
      <x:c r="D1198" t="str">
        <x:v>2026-01</x:v>
      </x:c>
      <x:c r="E1198" s="12" t="n">
        <x:v>595.03</x:v>
      </x:c>
      <x:c r="F1198" s="10" t="n">
        <x:v>0.41</x:v>
      </x:c>
      <x:c r="G1198" t="str">
        <x:v>General Merchandise</x:v>
      </x:c>
      <x:c r="H1198" t="str">
        <x:v>Baby Essentials</x:v>
      </x:c>
      <x:c r="I1198" t="str">
        <x:v>MFG012</x:v>
      </x:c>
      <x:c r="J1198" t="str">
        <x:v>Manufacturer 012</x:v>
      </x:c>
      <x:c r="K1198" t="str">
        <x:v>SUP010</x:v>
      </x:c>
      <x:c r="L1198" t="str">
        <x:v>Supplier 010</x:v>
      </x:c>
      <x:c r="M1198" t="str">
        <x:v>REG-318322</x:v>
      </x:c>
      <x:c r="N1198" t="str">
        <x:v>Generic Ingredient 015</x:v>
      </x:c>
      <x:c r="O1198" t="str">
        <x:v>General Sale</x:v>
      </x:c>
      <x:c r="P1198" t="n">
        <x:v>51</x:v>
      </x:c>
      <x:c r="Q1198" t="n">
        <x:v>21</x:v>
      </x:c>
      <x:c r="R1198" t="n">
        <x:v>0</x:v>
      </x:c>
      <x:c r="S1198" s="12" t="n">
        <x:f>E1198*Q1198</x:f>
        <x:v>12495.63</x:v>
      </x:c>
      <x:c r="T1198" s="12" t="n">
        <x:f>ROUND(S1198*F1198+0.000000001,2)</x:f>
        <x:v>5123.21</x:v>
      </x:c>
      <x:c r="U1198" s="12" t="n">
        <x:f>E1198*R1198</x:f>
        <x:v>0</x:v>
      </x:c>
      <x:c r="V1198" t="str">
        <x:f>IF(AND(C1198="Active",Q1198=0),"Active Zero Sales","Not Zero Sales")</x:f>
        <x:v>Not Zero Sales</x:v>
      </x:c>
      <x:c r="W1198" s="12" t="n">
        <x:f>IF(V1198="Active Zero Sales",U1198,0)</x:f>
        <x:v>0</x:v>
      </x:c>
      <x:c r="X1198" t="str">
        <x:f>IF(E1198&lt;25,"Low &lt; 25",IF(E1198&lt;100,"Medium 25-99",IF(E1198&lt;300,"High 100-299","Premium 300+")))</x:f>
        <x:v>Premium 300+</x:v>
      </x:c>
      <x:c r="Y1198" t="n">
        <x:f>IF(C1198="Active",1,0)</x:f>
        <x:v>1</x:v>
      </x:c>
    </x:row>
    <x:row r="1199">
      <x:c r="A1199" t="str">
        <x:v>SKU01198</x:v>
      </x:c>
      <x:c r="B1199" t="str">
        <x:v>Sample Product 01198</x:v>
      </x:c>
      <x:c r="C1199" t="str">
        <x:v>Active</x:v>
      </x:c>
      <x:c r="D1199" t="str">
        <x:v>2026-05</x:v>
      </x:c>
      <x:c r="E1199" s="12" t="n">
        <x:v>293.7</x:v>
      </x:c>
      <x:c r="F1199" s="10" t="n">
        <x:v>0.347</x:v>
      </x:c>
      <x:c r="G1199" t="str">
        <x:v>Nutrition</x:v>
      </x:c>
      <x:c r="H1199" t="str">
        <x:v>Healthy Snacks</x:v>
      </x:c>
      <x:c r="I1199" t="str">
        <x:v>MFG014</x:v>
      </x:c>
      <x:c r="J1199" t="str">
        <x:v>Manufacturer 014</x:v>
      </x:c>
      <x:c r="K1199" t="str">
        <x:v>SUP006</x:v>
      </x:c>
      <x:c r="L1199" t="str">
        <x:v>Supplier 006</x:v>
      </x:c>
      <x:c r="M1199" t="str">
        <x:v>REG-343281</x:v>
      </x:c>
      <x:c r="N1199" t="str">
        <x:v>Generic Ingredient 106</x:v>
      </x:c>
      <x:c r="O1199" t="str">
        <x:v>General Sale</x:v>
      </x:c>
      <x:c r="P1199" t="n">
        <x:v>26</x:v>
      </x:c>
      <x:c r="Q1199" t="n">
        <x:v>0</x:v>
      </x:c>
      <x:c r="R1199" t="n">
        <x:v>11</x:v>
      </x:c>
      <x:c r="S1199" s="12" t="n">
        <x:f>E1199*Q1199</x:f>
        <x:v>0</x:v>
      </x:c>
      <x:c r="T1199" s="12" t="n">
        <x:f>ROUND(S1199*F1199+0.000000001,2)</x:f>
        <x:v>0</x:v>
      </x:c>
      <x:c r="U1199" s="12" t="n">
        <x:f>E1199*R1199</x:f>
        <x:v>3230.7</x:v>
      </x:c>
      <x:c r="V1199" t="str">
        <x:f>IF(AND(C1199="Active",Q1199=0),"Active Zero Sales","Not Zero Sales")</x:f>
        <x:v>Active Zero Sales</x:v>
      </x:c>
      <x:c r="W1199" s="12" t="n">
        <x:f>IF(V1199="Active Zero Sales",U1199,0)</x:f>
        <x:v>3230.7</x:v>
      </x:c>
      <x:c r="X1199" t="str">
        <x:f>IF(E1199&lt;25,"Low &lt; 25",IF(E1199&lt;100,"Medium 25-99",IF(E1199&lt;300,"High 100-299","Premium 300+")))</x:f>
        <x:v>High 100-299</x:v>
      </x:c>
      <x:c r="Y1199" t="n">
        <x:f>IF(C1199="Active",1,0)</x:f>
        <x:v>1</x:v>
      </x:c>
    </x:row>
    <x:row r="1200">
      <x:c r="A1200" t="str">
        <x:v>SKU01199</x:v>
      </x:c>
      <x:c r="B1200" t="str">
        <x:v>Sample Product 01199</x:v>
      </x:c>
      <x:c r="C1200" t="str">
        <x:v>Active</x:v>
      </x:c>
      <x:c r="D1200" t="str">
        <x:v>2026-06</x:v>
      </x:c>
      <x:c r="E1200" s="12" t="n">
        <x:v>254.64</x:v>
      </x:c>
      <x:c r="F1200" s="10" t="n">
        <x:v>0.27</x:v>
      </x:c>
      <x:c r="G1200" t="str">
        <x:v>General Merchandise</x:v>
      </x:c>
      <x:c r="H1200" t="str">
        <x:v>Accessories</x:v>
      </x:c>
      <x:c r="I1200" t="str">
        <x:v>MFG020</x:v>
      </x:c>
      <x:c r="J1200" t="str">
        <x:v>Manufacturer 020</x:v>
      </x:c>
      <x:c r="K1200" t="str">
        <x:v>SUP015</x:v>
      </x:c>
      <x:c r="L1200" t="str">
        <x:v>Supplier 015</x:v>
      </x:c>
      <x:c r="M1200" t="str">
        <x:v>REG-162117</x:v>
      </x:c>
      <x:c r="N1200" t="str">
        <x:v>Generic Ingredient 098</x:v>
      </x:c>
      <x:c r="O1200" t="str">
        <x:v>General Sale</x:v>
      </x:c>
      <x:c r="P1200" t="n">
        <x:v>100</x:v>
      </x:c>
      <x:c r="Q1200" t="n">
        <x:v>73</x:v>
      </x:c>
      <x:c r="R1200" t="n">
        <x:v>19</x:v>
      </x:c>
      <x:c r="S1200" s="12" t="n">
        <x:f>E1200*Q1200</x:f>
        <x:v>18588.719999999998</x:v>
      </x:c>
      <x:c r="T1200" s="12" t="n">
        <x:f>ROUND(S1200*F1200+0.000000001,2)</x:f>
        <x:v>5018.95</x:v>
      </x:c>
      <x:c r="U1200" s="12" t="n">
        <x:f>E1200*R1200</x:f>
        <x:v>4838.16</x:v>
      </x:c>
      <x:c r="V1200" t="str">
        <x:f>IF(AND(C1200="Active",Q1200=0),"Active Zero Sales","Not Zero Sales")</x:f>
        <x:v>Not Zero Sales</x:v>
      </x:c>
      <x:c r="W1200" s="12" t="n">
        <x:f>IF(V1200="Active Zero Sales",U1200,0)</x:f>
        <x:v>0</x:v>
      </x:c>
      <x:c r="X1200" t="str">
        <x:f>IF(E1200&lt;25,"Low &lt; 25",IF(E1200&lt;100,"Medium 25-99",IF(E1200&lt;300,"High 100-299","Premium 300+")))</x:f>
        <x:v>High 100-299</x:v>
      </x:c>
      <x:c r="Y1200" t="n">
        <x:f>IF(C1200="Active",1,0)</x:f>
        <x:v>1</x:v>
      </x:c>
    </x:row>
    <x:row r="1201">
      <x:c r="A1201" t="str">
        <x:v>SKU01200</x:v>
      </x:c>
      <x:c r="B1201" t="str">
        <x:v>Sample Product 01200</x:v>
      </x:c>
      <x:c r="C1201" t="str">
        <x:v>Active</x:v>
      </x:c>
      <x:c r="D1201" t="str">
        <x:v>2026-02</x:v>
      </x:c>
      <x:c r="E1201" s="12" t="n">
        <x:v>60.34</x:v>
      </x:c>
      <x:c r="F1201" s="10" t="n">
        <x:v>0.299</x:v>
      </x:c>
      <x:c r="G1201" t="str">
        <x:v>Nutrition</x:v>
      </x:c>
      <x:c r="H1201" t="str">
        <x:v>Sports Nutrition</x:v>
      </x:c>
      <x:c r="I1201" t="str">
        <x:v>MFG009</x:v>
      </x:c>
      <x:c r="J1201" t="str">
        <x:v>Manufacturer 009</x:v>
      </x:c>
      <x:c r="K1201" t="str">
        <x:v>SUP028</x:v>
      </x:c>
      <x:c r="L1201" t="str">
        <x:v>Supplier 028</x:v>
      </x:c>
      <x:c r="M1201" t="str">
        <x:v>REG-663305</x:v>
      </x:c>
      <x:c r="N1201" t="str">
        <x:v>Generic Ingredient 074</x:v>
      </x:c>
      <x:c r="O1201" t="str">
        <x:v>General Sale</x:v>
      </x:c>
      <x:c r="P1201" t="n">
        <x:v>96</x:v>
      </x:c>
      <x:c r="Q1201" t="n">
        <x:v>73</x:v>
      </x:c>
      <x:c r="R1201" t="n">
        <x:v>24</x:v>
      </x:c>
      <x:c r="S1201" s="12" t="n">
        <x:f>E1201*Q1201</x:f>
        <x:v>4404.820000000001</x:v>
      </x:c>
      <x:c r="T1201" s="12" t="n">
        <x:f>ROUND(S1201*F1201+0.000000001,2)</x:f>
        <x:v>1317.04</x:v>
      </x:c>
      <x:c r="U1201" s="12" t="n">
        <x:f>E1201*R1201</x:f>
        <x:v>1448.16</x:v>
      </x:c>
      <x:c r="V1201" t="str">
        <x:f>IF(AND(C1201="Active",Q1201=0),"Active Zero Sales","Not Zero Sales")</x:f>
        <x:v>Not Zero Sales</x:v>
      </x:c>
      <x:c r="W1201" s="12" t="n">
        <x:f>IF(V1201="Active Zero Sales",U1201,0)</x:f>
        <x:v>0</x:v>
      </x:c>
      <x:c r="X1201" t="str">
        <x:f>IF(E1201&lt;25,"Low &lt; 25",IF(E1201&lt;100,"Medium 25-99",IF(E1201&lt;300,"High 100-299","Premium 300+")))</x:f>
        <x:v>Medium 25-99</x:v>
      </x:c>
      <x:c r="Y1201" t="n">
        <x:f>IF(C1201="Active",1,0)</x:f>
        <x:v>1</x:v>
      </x:c>
    </x:row>
    <x:row r="1202">
      <x:c r="A1202" t="str">
        <x:v>SKU01201</x:v>
      </x:c>
      <x:c r="B1202" t="str">
        <x:v>Sample Product 01201</x:v>
      </x:c>
      <x:c r="C1202" t="str">
        <x:v>Active</x:v>
      </x:c>
      <x:c r="D1202" t="str">
        <x:v>2026-04</x:v>
      </x:c>
      <x:c r="E1202" s="12" t="n">
        <x:v>20.6</x:v>
      </x:c>
      <x:c r="F1202" s="10" t="n">
        <x:v>0.365</x:v>
      </x:c>
      <x:c r="G1202" t="str">
        <x:v>Medical Devices</x:v>
      </x:c>
      <x:c r="H1202" t="str">
        <x:v>Monitoring Supplies</x:v>
      </x:c>
      <x:c r="I1202" t="str">
        <x:v>MFG005</x:v>
      </x:c>
      <x:c r="J1202" t="str">
        <x:v>Manufacturer 005</x:v>
      </x:c>
      <x:c r="K1202" t="str">
        <x:v>SUP009</x:v>
      </x:c>
      <x:c r="L1202" t="str">
        <x:v>Supplier 009</x:v>
      </x:c>
      <x:c r="M1202" t="str">
        <x:v>REG-262564</x:v>
      </x:c>
      <x:c r="N1202" t="str">
        <x:v>Generic Ingredient 026</x:v>
      </x:c>
      <x:c r="O1202" t="str">
        <x:v>General Sale</x:v>
      </x:c>
      <x:c r="P1202" t="n">
        <x:v>84</x:v>
      </x:c>
      <x:c r="Q1202" t="n">
        <x:v>0</x:v>
      </x:c>
      <x:c r="R1202" t="n">
        <x:v>55</x:v>
      </x:c>
      <x:c r="S1202" s="12" t="n">
        <x:f>E1202*Q1202</x:f>
        <x:v>0</x:v>
      </x:c>
      <x:c r="T1202" s="12" t="n">
        <x:f>ROUND(S1202*F1202+0.000000001,2)</x:f>
        <x:v>0</x:v>
      </x:c>
      <x:c r="U1202" s="12" t="n">
        <x:f>E1202*R1202</x:f>
        <x:v>1133</x:v>
      </x:c>
      <x:c r="V1202" t="str">
        <x:f>IF(AND(C1202="Active",Q1202=0),"Active Zero Sales","Not Zero Sales")</x:f>
        <x:v>Active Zero Sales</x:v>
      </x:c>
      <x:c r="W1202" s="12" t="n">
        <x:f>IF(V1202="Active Zero Sales",U1202,0)</x:f>
        <x:v>1133</x:v>
      </x:c>
      <x:c r="X1202" t="str">
        <x:f>IF(E1202&lt;25,"Low &lt; 25",IF(E1202&lt;100,"Medium 25-99",IF(E1202&lt;300,"High 100-299","Premium 300+")))</x:f>
        <x:v>Low &lt; 25</x:v>
      </x:c>
      <x:c r="Y1202" t="n">
        <x:f>IF(C1202="Active",1,0)</x:f>
        <x:v>1</x:v>
      </x:c>
    </x:row>
    <x:row r="1203">
      <x:c r="A1203" t="str">
        <x:v>SKU01202</x:v>
      </x:c>
      <x:c r="B1203" t="str">
        <x:v>Sample Product 01202</x:v>
      </x:c>
      <x:c r="C1203" t="str">
        <x:v>Active</x:v>
      </x:c>
      <x:c r="D1203" t="str">
        <x:v>2026-05</x:v>
      </x:c>
      <x:c r="E1203" s="12" t="n">
        <x:v>59.96</x:v>
      </x:c>
      <x:c r="F1203" s="10" t="n">
        <x:v>0.468</x:v>
      </x:c>
      <x:c r="G1203" t="str">
        <x:v>Personal Care</x:v>
      </x:c>
      <x:c r="H1203" t="str">
        <x:v>Hair Care</x:v>
      </x:c>
      <x:c r="I1203" t="str">
        <x:v>MFG014</x:v>
      </x:c>
      <x:c r="J1203" t="str">
        <x:v>Manufacturer 014</x:v>
      </x:c>
      <x:c r="K1203" t="str">
        <x:v>SUP026</x:v>
      </x:c>
      <x:c r="L1203" t="str">
        <x:v>Supplier 026</x:v>
      </x:c>
      <x:c r="M1203" t="str">
        <x:v>REG-632098</x:v>
      </x:c>
      <x:c r="N1203" t="str">
        <x:v>Generic Ingredient 044</x:v>
      </x:c>
      <x:c r="O1203" t="str">
        <x:v>General Sale</x:v>
      </x:c>
      <x:c r="P1203" t="n">
        <x:v>37</x:v>
      </x:c>
      <x:c r="Q1203" t="n">
        <x:v>7</x:v>
      </x:c>
      <x:c r="R1203" t="n">
        <x:v>0</x:v>
      </x:c>
      <x:c r="S1203" s="12" t="n">
        <x:f>E1203*Q1203</x:f>
        <x:v>419.72</x:v>
      </x:c>
      <x:c r="T1203" s="12" t="n">
        <x:f>ROUND(S1203*F1203+0.000000001,2)</x:f>
        <x:v>196.43</x:v>
      </x:c>
      <x:c r="U1203" s="12" t="n">
        <x:f>E1203*R1203</x:f>
        <x:v>0</x:v>
      </x:c>
      <x:c r="V1203" t="str">
        <x:f>IF(AND(C1203="Active",Q1203=0),"Active Zero Sales","Not Zero Sales")</x:f>
        <x:v>Not Zero Sales</x:v>
      </x:c>
      <x:c r="W1203" s="12" t="n">
        <x:f>IF(V1203="Active Zero Sales",U1203,0)</x:f>
        <x:v>0</x:v>
      </x:c>
      <x:c r="X1203" t="str">
        <x:f>IF(E1203&lt;25,"Low &lt; 25",IF(E1203&lt;100,"Medium 25-99",IF(E1203&lt;300,"High 100-299","Premium 300+")))</x:f>
        <x:v>Medium 25-99</x:v>
      </x:c>
      <x:c r="Y1203" t="n">
        <x:f>IF(C1203="Active",1,0)</x:f>
        <x:v>1</x:v>
      </x:c>
    </x:row>
    <x:row r="1204">
      <x:c r="A1204" t="str">
        <x:v>SKU01203</x:v>
      </x:c>
      <x:c r="B1204" t="str">
        <x:v>Sample Product 01203</x:v>
      </x:c>
      <x:c r="C1204" t="str">
        <x:v>Blocked</x:v>
      </x:c>
      <x:c r="D1204" t="str">
        <x:v>2026-05</x:v>
      </x:c>
      <x:c r="E1204" s="12" t="n">
        <x:v>5.71</x:v>
      </x:c>
      <x:c r="F1204" s="10" t="n">
        <x:v>0.379</x:v>
      </x:c>
      <x:c r="G1204" t="str">
        <x:v>General Merchandise</x:v>
      </x:c>
      <x:c r="H1204" t="str">
        <x:v>Travel Health</x:v>
      </x:c>
      <x:c r="I1204" t="str">
        <x:v>MFG013</x:v>
      </x:c>
      <x:c r="J1204" t="str">
        <x:v>Manufacturer 013</x:v>
      </x:c>
      <x:c r="K1204" t="str">
        <x:v>SUP019</x:v>
      </x:c>
      <x:c r="L1204" t="str">
        <x:v>Supplier 019</x:v>
      </x:c>
      <x:c r="M1204" t="str">
        <x:v>REG-701924</x:v>
      </x:c>
      <x:c r="N1204" t="str">
        <x:v>Generic Ingredient 082</x:v>
      </x:c>
      <x:c r="O1204" t="str">
        <x:v>General Sale</x:v>
      </x:c>
      <x:c r="P1204" t="n">
        <x:v>53</x:v>
      </x:c>
      <x:c r="Q1204" t="n">
        <x:v>0</x:v>
      </x:c>
      <x:c r="R1204" t="n">
        <x:v>7</x:v>
      </x:c>
      <x:c r="S1204" s="12" t="n">
        <x:f>E1204*Q1204</x:f>
        <x:v>0</x:v>
      </x:c>
      <x:c r="T1204" s="12" t="n">
        <x:f>ROUND(S1204*F1204+0.000000001,2)</x:f>
        <x:v>0</x:v>
      </x:c>
      <x:c r="U1204" s="12" t="n">
        <x:f>E1204*R1204</x:f>
        <x:v>39.97</x:v>
      </x:c>
      <x:c r="V1204" t="str">
        <x:f>IF(AND(C1204="Active",Q1204=0),"Active Zero Sales","Not Zero Sales")</x:f>
        <x:v>Not Zero Sales</x:v>
      </x:c>
      <x:c r="W1204" s="12" t="n">
        <x:f>IF(V1204="Active Zero Sales",U1204,0)</x:f>
        <x:v>0</x:v>
      </x:c>
      <x:c r="X1204" t="str">
        <x:f>IF(E1204&lt;25,"Low &lt; 25",IF(E1204&lt;100,"Medium 25-99",IF(E1204&lt;300,"High 100-299","Premium 300+")))</x:f>
        <x:v>Low &lt; 25</x:v>
      </x:c>
      <x:c r="Y1204" t="n">
        <x:f>IF(C1204="Active",1,0)</x:f>
        <x:v>0</x:v>
      </x:c>
    </x:row>
    <x:row r="1205">
      <x:c r="A1205" t="str">
        <x:v>SKU01204</x:v>
      </x:c>
      <x:c r="B1205" t="str">
        <x:v>Sample Product 01204</x:v>
      </x:c>
      <x:c r="C1205" t="str">
        <x:v>Active</x:v>
      </x:c>
      <x:c r="D1205" t="str">
        <x:v>2026-04</x:v>
      </x:c>
      <x:c r="E1205" s="12" t="n">
        <x:v>14.71</x:v>
      </x:c>
      <x:c r="F1205" s="10" t="n">
        <x:v>0.307</x:v>
      </x:c>
      <x:c r="G1205" t="str">
        <x:v>Personal Care</x:v>
      </x:c>
      <x:c r="H1205" t="str">
        <x:v>Hygiene</x:v>
      </x:c>
      <x:c r="I1205" t="str">
        <x:v>MFG010</x:v>
      </x:c>
      <x:c r="J1205" t="str">
        <x:v>Manufacturer 010</x:v>
      </x:c>
      <x:c r="K1205" t="str">
        <x:v>SUP030</x:v>
      </x:c>
      <x:c r="L1205" t="str">
        <x:v>Supplier 030</x:v>
      </x:c>
      <x:c r="M1205" t="str">
        <x:v>REG-882624</x:v>
      </x:c>
      <x:c r="N1205" t="str">
        <x:v>Generic Ingredient 046</x:v>
      </x:c>
      <x:c r="O1205" t="str">
        <x:v>General Sale</x:v>
      </x:c>
      <x:c r="P1205" t="n">
        <x:v>52</x:v>
      </x:c>
      <x:c r="Q1205" t="n">
        <x:v>2</x:v>
      </x:c>
      <x:c r="R1205" t="n">
        <x:v>4</x:v>
      </x:c>
      <x:c r="S1205" s="12" t="n">
        <x:f>E1205*Q1205</x:f>
        <x:v>29.42</x:v>
      </x:c>
      <x:c r="T1205" s="12" t="n">
        <x:f>ROUND(S1205*F1205+0.000000001,2)</x:f>
        <x:v>9.03</x:v>
      </x:c>
      <x:c r="U1205" s="12" t="n">
        <x:f>E1205*R1205</x:f>
        <x:v>58.84</x:v>
      </x:c>
      <x:c r="V1205" t="str">
        <x:f>IF(AND(C1205="Active",Q1205=0),"Active Zero Sales","Not Zero Sales")</x:f>
        <x:v>Not Zero Sales</x:v>
      </x:c>
      <x:c r="W1205" s="12" t="n">
        <x:f>IF(V1205="Active Zero Sales",U1205,0)</x:f>
        <x:v>0</x:v>
      </x:c>
      <x:c r="X1205" t="str">
        <x:f>IF(E1205&lt;25,"Low &lt; 25",IF(E1205&lt;100,"Medium 25-99",IF(E1205&lt;300,"High 100-299","Premium 300+")))</x:f>
        <x:v>Low &lt; 25</x:v>
      </x:c>
      <x:c r="Y1205" t="n">
        <x:f>IF(C1205="Active",1,0)</x:f>
        <x:v>1</x:v>
      </x:c>
    </x:row>
    <x:row r="1206">
      <x:c r="A1206" t="str">
        <x:v>SKU01205</x:v>
      </x:c>
      <x:c r="B1206" t="str">
        <x:v>Sample Product 01205</x:v>
      </x:c>
      <x:c r="C1206" t="str">
        <x:v>Active</x:v>
      </x:c>
      <x:c r="D1206" t="str">
        <x:v>2026-06</x:v>
      </x:c>
      <x:c r="E1206" s="12" t="n">
        <x:v>106.91</x:v>
      </x:c>
      <x:c r="F1206" s="10" t="n">
        <x:v>0.348</x:v>
      </x:c>
      <x:c r="G1206" t="str">
        <x:v>Personal Care</x:v>
      </x:c>
      <x:c r="H1206" t="str">
        <x:v>Oral Care</x:v>
      </x:c>
      <x:c r="I1206" t="str">
        <x:v>MFG001</x:v>
      </x:c>
      <x:c r="J1206" t="str">
        <x:v>Manufacturer 001</x:v>
      </x:c>
      <x:c r="K1206" t="str">
        <x:v>SUP013</x:v>
      </x:c>
      <x:c r="L1206" t="str">
        <x:v>Supplier 013</x:v>
      </x:c>
      <x:c r="M1206" t="str">
        <x:v>REG-937855</x:v>
      </x:c>
      <x:c r="N1206" t="str">
        <x:v>Generic Ingredient 114</x:v>
      </x:c>
      <x:c r="O1206" t="str">
        <x:v>General Sale</x:v>
      </x:c>
      <x:c r="P1206" t="n">
        <x:v>55</x:v>
      </x:c>
      <x:c r="Q1206" t="n">
        <x:v>15</x:v>
      </x:c>
      <x:c r="R1206" t="n">
        <x:v>0</x:v>
      </x:c>
      <x:c r="S1206" s="12" t="n">
        <x:f>E1206*Q1206</x:f>
        <x:v>1603.6499999999999</x:v>
      </x:c>
      <x:c r="T1206" s="12" t="n">
        <x:f>ROUND(S1206*F1206+0.000000001,2)</x:f>
        <x:v>558.07</x:v>
      </x:c>
      <x:c r="U1206" s="12" t="n">
        <x:f>E1206*R1206</x:f>
        <x:v>0</x:v>
      </x:c>
      <x:c r="V1206" t="str">
        <x:f>IF(AND(C1206="Active",Q1206=0),"Active Zero Sales","Not Zero Sales")</x:f>
        <x:v>Not Zero Sales</x:v>
      </x:c>
      <x:c r="W1206" s="12" t="n">
        <x:f>IF(V1206="Active Zero Sales",U1206,0)</x:f>
        <x:v>0</x:v>
      </x:c>
      <x:c r="X1206" t="str">
        <x:f>IF(E1206&lt;25,"Low &lt; 25",IF(E1206&lt;100,"Medium 25-99",IF(E1206&lt;300,"High 100-299","Premium 300+")))</x:f>
        <x:v>High 100-299</x:v>
      </x:c>
      <x:c r="Y1206" t="n">
        <x:f>IF(C1206="Active",1,0)</x:f>
        <x:v>1</x:v>
      </x:c>
    </x:row>
    <x:row r="1207">
      <x:c r="A1207" t="str">
        <x:v>SKU01206</x:v>
      </x:c>
      <x:c r="B1207" t="str">
        <x:v>Sample Product 01206</x:v>
      </x:c>
      <x:c r="C1207" t="str">
        <x:v>Active</x:v>
      </x:c>
      <x:c r="D1207" t="str">
        <x:v>2026-05</x:v>
      </x:c>
      <x:c r="E1207" s="12" t="n">
        <x:v>17.9</x:v>
      </x:c>
      <x:c r="F1207" s="10" t="n">
        <x:v>0.377</x:v>
      </x:c>
      <x:c r="G1207" t="str">
        <x:v>Personal Care</x:v>
      </x:c>
      <x:c r="H1207" t="str">
        <x:v>Hygiene</x:v>
      </x:c>
      <x:c r="I1207" t="str">
        <x:v>MFG004</x:v>
      </x:c>
      <x:c r="J1207" t="str">
        <x:v>Manufacturer 004</x:v>
      </x:c>
      <x:c r="K1207" t="str">
        <x:v>SUP024</x:v>
      </x:c>
      <x:c r="L1207" t="str">
        <x:v>Supplier 024</x:v>
      </x:c>
      <x:c r="M1207" t="str">
        <x:v>REG-818426</x:v>
      </x:c>
      <x:c r="N1207" t="str">
        <x:v>Generic Ingredient 148</x:v>
      </x:c>
      <x:c r="O1207" t="str">
        <x:v>General Sale</x:v>
      </x:c>
      <x:c r="P1207" t="n">
        <x:v>105</x:v>
      </x:c>
      <x:c r="Q1207" t="n">
        <x:v>32</x:v>
      </x:c>
      <x:c r="R1207" t="n">
        <x:v>30</x:v>
      </x:c>
      <x:c r="S1207" s="12" t="n">
        <x:f>E1207*Q1207</x:f>
        <x:v>572.8</x:v>
      </x:c>
      <x:c r="T1207" s="12" t="n">
        <x:f>ROUND(S1207*F1207+0.000000001,2)</x:f>
        <x:v>215.95</x:v>
      </x:c>
      <x:c r="U1207" s="12" t="n">
        <x:f>E1207*R1207</x:f>
        <x:v>537</x:v>
      </x:c>
      <x:c r="V1207" t="str">
        <x:f>IF(AND(C1207="Active",Q1207=0),"Active Zero Sales","Not Zero Sales")</x:f>
        <x:v>Not Zero Sales</x:v>
      </x:c>
      <x:c r="W1207" s="12" t="n">
        <x:f>IF(V1207="Active Zero Sales",U1207,0)</x:f>
        <x:v>0</x:v>
      </x:c>
      <x:c r="X1207" t="str">
        <x:f>IF(E1207&lt;25,"Low &lt; 25",IF(E1207&lt;100,"Medium 25-99",IF(E1207&lt;300,"High 100-299","Premium 300+")))</x:f>
        <x:v>Low &lt; 25</x:v>
      </x:c>
      <x:c r="Y1207" t="n">
        <x:f>IF(C1207="Active",1,0)</x:f>
        <x:v>1</x:v>
      </x:c>
    </x:row>
    <x:row r="1208">
      <x:c r="A1208" t="str">
        <x:v>SKU01207</x:v>
      </x:c>
      <x:c r="B1208" t="str">
        <x:v>Sample Product 01207</x:v>
      </x:c>
      <x:c r="C1208" t="str">
        <x:v>Active</x:v>
      </x:c>
      <x:c r="D1208" t="str">
        <x:v>2026-06</x:v>
      </x:c>
      <x:c r="E1208" s="12" t="n">
        <x:v>6.02</x:v>
      </x:c>
      <x:c r="F1208" s="10" t="n">
        <x:v>0.313</x:v>
      </x:c>
      <x:c r="G1208" t="str">
        <x:v>Nutrition</x:v>
      </x:c>
      <x:c r="H1208" t="str">
        <x:v>Sports Nutrition</x:v>
      </x:c>
      <x:c r="I1208" t="str">
        <x:v>MFG001</x:v>
      </x:c>
      <x:c r="J1208" t="str">
        <x:v>Manufacturer 001</x:v>
      </x:c>
      <x:c r="K1208" t="str">
        <x:v>SUP005</x:v>
      </x:c>
      <x:c r="L1208" t="str">
        <x:v>Supplier 005</x:v>
      </x:c>
      <x:c r="M1208" t="str">
        <x:v>REG-679810</x:v>
      </x:c>
      <x:c r="N1208" t="str">
        <x:v>Generic Ingredient 101</x:v>
      </x:c>
      <x:c r="O1208" t="str">
        <x:v>General Sale</x:v>
      </x:c>
      <x:c r="P1208" t="n">
        <x:v>43</x:v>
      </x:c>
      <x:c r="Q1208" t="n">
        <x:v>23</x:v>
      </x:c>
      <x:c r="R1208" t="n">
        <x:v>0</x:v>
      </x:c>
      <x:c r="S1208" s="12" t="n">
        <x:f>E1208*Q1208</x:f>
        <x:v>138.45999999999998</x:v>
      </x:c>
      <x:c r="T1208" s="12" t="n">
        <x:f>ROUND(S1208*F1208+0.000000001,2)</x:f>
        <x:v>43.34</x:v>
      </x:c>
      <x:c r="U1208" s="12" t="n">
        <x:f>E1208*R1208</x:f>
        <x:v>0</x:v>
      </x:c>
      <x:c r="V1208" t="str">
        <x:f>IF(AND(C1208="Active",Q1208=0),"Active Zero Sales","Not Zero Sales")</x:f>
        <x:v>Not Zero Sales</x:v>
      </x:c>
      <x:c r="W1208" s="12" t="n">
        <x:f>IF(V1208="Active Zero Sales",U1208,0)</x:f>
        <x:v>0</x:v>
      </x:c>
      <x:c r="X1208" t="str">
        <x:f>IF(E1208&lt;25,"Low &lt; 25",IF(E1208&lt;100,"Medium 25-99",IF(E1208&lt;300,"High 100-299","Premium 300+")))</x:f>
        <x:v>Low &lt; 25</x:v>
      </x:c>
      <x:c r="Y1208" t="n">
        <x:f>IF(C1208="Active",1,0)</x:f>
        <x:v>1</x:v>
      </x:c>
    </x:row>
    <x:row r="1209">
      <x:c r="A1209" t="str">
        <x:v>SKU01208</x:v>
      </x:c>
      <x:c r="B1209" t="str">
        <x:v>Sample Product 01208</x:v>
      </x:c>
      <x:c r="C1209" t="str">
        <x:v>Blocked</x:v>
      </x:c>
      <x:c r="D1209" t="str">
        <x:v>2026-04</x:v>
      </x:c>
      <x:c r="E1209" s="12" t="n">
        <x:v>15.33</x:v>
      </x:c>
      <x:c r="F1209" s="10" t="n">
        <x:v>0.414</x:v>
      </x:c>
      <x:c r="G1209" t="str">
        <x:v>General Merchandise</x:v>
      </x:c>
      <x:c r="H1209" t="str">
        <x:v>Travel Health</x:v>
      </x:c>
      <x:c r="I1209" t="str">
        <x:v>MFG016</x:v>
      </x:c>
      <x:c r="J1209" t="str">
        <x:v>Manufacturer 016</x:v>
      </x:c>
      <x:c r="K1209" t="str">
        <x:v>SUP019</x:v>
      </x:c>
      <x:c r="L1209" t="str">
        <x:v>Supplier 019</x:v>
      </x:c>
      <x:c r="M1209" t="str">
        <x:v>REG-501459</x:v>
      </x:c>
      <x:c r="N1209" t="str">
        <x:v>Generic Ingredient 180</x:v>
      </x:c>
      <x:c r="O1209" t="str">
        <x:v>Pharmacy Only</x:v>
      </x:c>
      <x:c r="P1209" t="n">
        <x:v>45</x:v>
      </x:c>
      <x:c r="Q1209" t="n">
        <x:v>0</x:v>
      </x:c>
      <x:c r="R1209" t="n">
        <x:v>4</x:v>
      </x:c>
      <x:c r="S1209" s="12" t="n">
        <x:f>E1209*Q1209</x:f>
        <x:v>0</x:v>
      </x:c>
      <x:c r="T1209" s="12" t="n">
        <x:f>ROUND(S1209*F1209+0.000000001,2)</x:f>
        <x:v>0</x:v>
      </x:c>
      <x:c r="U1209" s="12" t="n">
        <x:f>E1209*R1209</x:f>
        <x:v>61.32</x:v>
      </x:c>
      <x:c r="V1209" t="str">
        <x:f>IF(AND(C1209="Active",Q1209=0),"Active Zero Sales","Not Zero Sales")</x:f>
        <x:v>Not Zero Sales</x:v>
      </x:c>
      <x:c r="W1209" s="12" t="n">
        <x:f>IF(V1209="Active Zero Sales",U1209,0)</x:f>
        <x:v>0</x:v>
      </x:c>
      <x:c r="X1209" t="str">
        <x:f>IF(E1209&lt;25,"Low &lt; 25",IF(E1209&lt;100,"Medium 25-99",IF(E1209&lt;300,"High 100-299","Premium 300+")))</x:f>
        <x:v>Low &lt; 25</x:v>
      </x:c>
      <x:c r="Y1209" t="n">
        <x:f>IF(C1209="Active",1,0)</x:f>
        <x:v>0</x:v>
      </x:c>
    </x:row>
    <x:row r="1210">
      <x:c r="A1210" t="str">
        <x:v>SKU01209</x:v>
      </x:c>
      <x:c r="B1210" t="str">
        <x:v>Sample Product 01209</x:v>
      </x:c>
      <x:c r="C1210" t="str">
        <x:v>Active</x:v>
      </x:c>
      <x:c r="D1210" t="str">
        <x:v>2026-04</x:v>
      </x:c>
      <x:c r="E1210" s="12" t="n">
        <x:v>83.83</x:v>
      </x:c>
      <x:c r="F1210" s="10" t="n">
        <x:v>0.369</x:v>
      </x:c>
      <x:c r="G1210" t="str">
        <x:v>Nutrition</x:v>
      </x:c>
      <x:c r="H1210" t="str">
        <x:v>Healthy Snacks</x:v>
      </x:c>
      <x:c r="I1210" t="str">
        <x:v>MFG019</x:v>
      </x:c>
      <x:c r="J1210" t="str">
        <x:v>Manufacturer 019</x:v>
      </x:c>
      <x:c r="K1210" t="str">
        <x:v>SUP029</x:v>
      </x:c>
      <x:c r="L1210" t="str">
        <x:v>Supplier 029</x:v>
      </x:c>
      <x:c r="M1210" t="str">
        <x:v>REG-129954</x:v>
      </x:c>
      <x:c r="N1210" t="str">
        <x:v>Generic Ingredient 168</x:v>
      </x:c>
      <x:c r="O1210" t="str">
        <x:v>General Sale</x:v>
      </x:c>
      <x:c r="P1210" t="n">
        <x:v>13</x:v>
      </x:c>
      <x:c r="Q1210" t="n">
        <x:v>16</x:v>
      </x:c>
      <x:c r="R1210" t="n">
        <x:v>2</x:v>
      </x:c>
      <x:c r="S1210" s="12" t="n">
        <x:f>E1210*Q1210</x:f>
        <x:v>1341.28</x:v>
      </x:c>
      <x:c r="T1210" s="12" t="n">
        <x:f>ROUND(S1210*F1210+0.000000001,2)</x:f>
        <x:v>494.93</x:v>
      </x:c>
      <x:c r="U1210" s="12" t="n">
        <x:f>E1210*R1210</x:f>
        <x:v>167.66</x:v>
      </x:c>
      <x:c r="V1210" t="str">
        <x:f>IF(AND(C1210="Active",Q1210=0),"Active Zero Sales","Not Zero Sales")</x:f>
        <x:v>Not Zero Sales</x:v>
      </x:c>
      <x:c r="W1210" s="12" t="n">
        <x:f>IF(V1210="Active Zero Sales",U1210,0)</x:f>
        <x:v>0</x:v>
      </x:c>
      <x:c r="X1210" t="str">
        <x:f>IF(E1210&lt;25,"Low &lt; 25",IF(E1210&lt;100,"Medium 25-99",IF(E1210&lt;300,"High 100-299","Premium 300+")))</x:f>
        <x:v>Medium 25-99</x:v>
      </x:c>
      <x:c r="Y1210" t="n">
        <x:f>IF(C1210="Active",1,0)</x:f>
        <x:v>1</x:v>
      </x:c>
    </x:row>
    <x:row r="1211">
      <x:c r="A1211" t="str">
        <x:v>SKU01210</x:v>
      </x:c>
      <x:c r="B1211" t="str">
        <x:v>Sample Product 01210</x:v>
      </x:c>
      <x:c r="C1211" t="str">
        <x:v>Active</x:v>
      </x:c>
      <x:c r="D1211" t="str">
        <x:v>2026-03</x:v>
      </x:c>
      <x:c r="E1211" s="12" t="n">
        <x:v>284.51</x:v>
      </x:c>
      <x:c r="F1211" s="10" t="n">
        <x:v>0.426</x:v>
      </x:c>
      <x:c r="G1211" t="str">
        <x:v>Nutrition</x:v>
      </x:c>
      <x:c r="H1211" t="str">
        <x:v>Hydration</x:v>
      </x:c>
      <x:c r="I1211" t="str">
        <x:v>MFG019</x:v>
      </x:c>
      <x:c r="J1211" t="str">
        <x:v>Manufacturer 019</x:v>
      </x:c>
      <x:c r="K1211" t="str">
        <x:v>SUP018</x:v>
      </x:c>
      <x:c r="L1211" t="str">
        <x:v>Supplier 018</x:v>
      </x:c>
      <x:c r="M1211" t="str">
        <x:v>REG-397426</x:v>
      </x:c>
      <x:c r="N1211" t="str">
        <x:v>Generic Ingredient 116</x:v>
      </x:c>
      <x:c r="O1211" t="str">
        <x:v>General Sale</x:v>
      </x:c>
      <x:c r="P1211" t="n">
        <x:v>55</x:v>
      </x:c>
      <x:c r="Q1211" t="n">
        <x:v>14</x:v>
      </x:c>
      <x:c r="R1211" t="n">
        <x:v>5</x:v>
      </x:c>
      <x:c r="S1211" s="12" t="n">
        <x:f>E1211*Q1211</x:f>
        <x:v>3983.14</x:v>
      </x:c>
      <x:c r="T1211" s="12" t="n">
        <x:f>ROUND(S1211*F1211+0.000000001,2)</x:f>
        <x:v>1696.82</x:v>
      </x:c>
      <x:c r="U1211" s="12" t="n">
        <x:f>E1211*R1211</x:f>
        <x:v>1422.55</x:v>
      </x:c>
      <x:c r="V1211" t="str">
        <x:f>IF(AND(C1211="Active",Q1211=0),"Active Zero Sales","Not Zero Sales")</x:f>
        <x:v>Not Zero Sales</x:v>
      </x:c>
      <x:c r="W1211" s="12" t="n">
        <x:f>IF(V1211="Active Zero Sales",U1211,0)</x:f>
        <x:v>0</x:v>
      </x:c>
      <x:c r="X1211" t="str">
        <x:f>IF(E1211&lt;25,"Low &lt; 25",IF(E1211&lt;100,"Medium 25-99",IF(E1211&lt;300,"High 100-299","Premium 300+")))</x:f>
        <x:v>High 100-299</x:v>
      </x:c>
      <x:c r="Y1211" t="n">
        <x:f>IF(C1211="Active",1,0)</x:f>
        <x:v>1</x:v>
      </x:c>
    </x:row>
    <x:row r="1212">
      <x:c r="A1212" t="str">
        <x:v>SKU01211</x:v>
      </x:c>
      <x:c r="B1212" t="str">
        <x:v>Sample Product 01211</x:v>
      </x:c>
      <x:c r="C1212" t="str">
        <x:v>Active</x:v>
      </x:c>
      <x:c r="D1212" t="str">
        <x:v>2026-06</x:v>
      </x:c>
      <x:c r="E1212" s="12" t="n">
        <x:v>15.65</x:v>
      </x:c>
      <x:c r="F1212" s="10" t="n">
        <x:v>0.328</x:v>
      </x:c>
      <x:c r="G1212" t="str">
        <x:v>OTC &amp; Wellness</x:v>
      </x:c>
      <x:c r="H1212" t="str">
        <x:v>Pain Relief</x:v>
      </x:c>
      <x:c r="I1212" t="str">
        <x:v>MFG010</x:v>
      </x:c>
      <x:c r="J1212" t="str">
        <x:v>Manufacturer 010</x:v>
      </x:c>
      <x:c r="K1212" t="str">
        <x:v>SUP005</x:v>
      </x:c>
      <x:c r="L1212" t="str">
        <x:v>Supplier 005</x:v>
      </x:c>
      <x:c r="M1212" t="str">
        <x:v>REG-743296</x:v>
      </x:c>
      <x:c r="N1212" t="str">
        <x:v>Generic Ingredient 098</x:v>
      </x:c>
      <x:c r="O1212" t="str">
        <x:v>General Sale</x:v>
      </x:c>
      <x:c r="P1212" t="n">
        <x:v>39</x:v>
      </x:c>
      <x:c r="Q1212" t="n">
        <x:v>40</x:v>
      </x:c>
      <x:c r="R1212" t="n">
        <x:v>0</x:v>
      </x:c>
      <x:c r="S1212" s="12" t="n">
        <x:f>E1212*Q1212</x:f>
        <x:v>626</x:v>
      </x:c>
      <x:c r="T1212" s="12" t="n">
        <x:f>ROUND(S1212*F1212+0.000000001,2)</x:f>
        <x:v>205.33</x:v>
      </x:c>
      <x:c r="U1212" s="12" t="n">
        <x:f>E1212*R1212</x:f>
        <x:v>0</x:v>
      </x:c>
      <x:c r="V1212" t="str">
        <x:f>IF(AND(C1212="Active",Q1212=0),"Active Zero Sales","Not Zero Sales")</x:f>
        <x:v>Not Zero Sales</x:v>
      </x:c>
      <x:c r="W1212" s="12" t="n">
        <x:f>IF(V1212="Active Zero Sales",U1212,0)</x:f>
        <x:v>0</x:v>
      </x:c>
      <x:c r="X1212" t="str">
        <x:f>IF(E1212&lt;25,"Low &lt; 25",IF(E1212&lt;100,"Medium 25-99",IF(E1212&lt;300,"High 100-299","Premium 300+")))</x:f>
        <x:v>Low &lt; 25</x:v>
      </x:c>
      <x:c r="Y1212" t="n">
        <x:f>IF(C1212="Active",1,0)</x:f>
        <x:v>1</x:v>
      </x:c>
    </x:row>
    <x:row r="1213">
      <x:c r="A1213" t="str">
        <x:v>SKU01212</x:v>
      </x:c>
      <x:c r="B1213" t="str">
        <x:v>Sample Product 01212</x:v>
      </x:c>
      <x:c r="C1213" t="str">
        <x:v>Blocked</x:v>
      </x:c>
      <x:c r="D1213" t="str">
        <x:v>2026-03</x:v>
      </x:c>
      <x:c r="E1213" s="12" t="n">
        <x:v>5.12</x:v>
      </x:c>
      <x:c r="F1213" s="10" t="n">
        <x:v>0.344</x:v>
      </x:c>
      <x:c r="G1213" t="str">
        <x:v>Personal Care</x:v>
      </x:c>
      <x:c r="H1213" t="str">
        <x:v>Hygiene</x:v>
      </x:c>
      <x:c r="I1213" t="str">
        <x:v>MFG015</x:v>
      </x:c>
      <x:c r="J1213" t="str">
        <x:v>Manufacturer 015</x:v>
      </x:c>
      <x:c r="K1213" t="str">
        <x:v>SUP021</x:v>
      </x:c>
      <x:c r="L1213" t="str">
        <x:v>Supplier 021</x:v>
      </x:c>
      <x:c r="M1213" t="str">
        <x:v>REG-417749</x:v>
      </x:c>
      <x:c r="N1213" t="str">
        <x:v>Generic Ingredient 044</x:v>
      </x:c>
      <x:c r="O1213" t="str">
        <x:v>General Sale</x:v>
      </x:c>
      <x:c r="P1213" t="n">
        <x:v>9</x:v>
      </x:c>
      <x:c r="Q1213" t="n">
        <x:v>9</x:v>
      </x:c>
      <x:c r="R1213" t="n">
        <x:v>0</x:v>
      </x:c>
      <x:c r="S1213" s="12" t="n">
        <x:f>E1213*Q1213</x:f>
        <x:v>46.08</x:v>
      </x:c>
      <x:c r="T1213" s="12" t="n">
        <x:f>ROUND(S1213*F1213+0.000000001,2)</x:f>
        <x:v>15.85</x:v>
      </x:c>
      <x:c r="U1213" s="12" t="n">
        <x:f>E1213*R1213</x:f>
        <x:v>0</x:v>
      </x:c>
      <x:c r="V1213" t="str">
        <x:f>IF(AND(C1213="Active",Q1213=0),"Active Zero Sales","Not Zero Sales")</x:f>
        <x:v>Not Zero Sales</x:v>
      </x:c>
      <x:c r="W1213" s="12" t="n">
        <x:f>IF(V1213="Active Zero Sales",U1213,0)</x:f>
        <x:v>0</x:v>
      </x:c>
      <x:c r="X1213" t="str">
        <x:f>IF(E1213&lt;25,"Low &lt; 25",IF(E1213&lt;100,"Medium 25-99",IF(E1213&lt;300,"High 100-299","Premium 300+")))</x:f>
        <x:v>Low &lt; 25</x:v>
      </x:c>
      <x:c r="Y1213" t="n">
        <x:f>IF(C1213="Active",1,0)</x:f>
        <x:v>0</x:v>
      </x:c>
    </x:row>
    <x:row r="1214">
      <x:c r="A1214" t="str">
        <x:v>SKU01213</x:v>
      </x:c>
      <x:c r="B1214" t="str">
        <x:v>Sample Product 01213</x:v>
      </x:c>
      <x:c r="C1214" t="str">
        <x:v>Active</x:v>
      </x:c>
      <x:c r="D1214" t="str">
        <x:v>2026-04</x:v>
      </x:c>
      <x:c r="E1214" s="12" t="n">
        <x:v>15.66</x:v>
      </x:c>
      <x:c r="F1214" s="10" t="n">
        <x:v>0.436</x:v>
      </x:c>
      <x:c r="G1214" t="str">
        <x:v>General Merchandise</x:v>
      </x:c>
      <x:c r="H1214" t="str">
        <x:v>Baby Essentials</x:v>
      </x:c>
      <x:c r="I1214" t="str">
        <x:v>MFG008</x:v>
      </x:c>
      <x:c r="J1214" t="str">
        <x:v>Manufacturer 008</x:v>
      </x:c>
      <x:c r="K1214" t="str">
        <x:v>SUP023</x:v>
      </x:c>
      <x:c r="L1214" t="str">
        <x:v>Supplier 023</x:v>
      </x:c>
      <x:c r="M1214" t="str">
        <x:v>REG-579067</x:v>
      </x:c>
      <x:c r="N1214" t="str">
        <x:v>Generic Ingredient 135</x:v>
      </x:c>
      <x:c r="O1214" t="str">
        <x:v>General Sale</x:v>
      </x:c>
      <x:c r="P1214" t="n">
        <x:v>25</x:v>
      </x:c>
      <x:c r="Q1214" t="n">
        <x:v>23</x:v>
      </x:c>
      <x:c r="R1214" t="n">
        <x:v>11</x:v>
      </x:c>
      <x:c r="S1214" s="12" t="n">
        <x:f>E1214*Q1214</x:f>
        <x:v>360.18</x:v>
      </x:c>
      <x:c r="T1214" s="12" t="n">
        <x:f>ROUND(S1214*F1214+0.000000001,2)</x:f>
        <x:v>157.04</x:v>
      </x:c>
      <x:c r="U1214" s="12" t="n">
        <x:f>E1214*R1214</x:f>
        <x:v>172.26</x:v>
      </x:c>
      <x:c r="V1214" t="str">
        <x:f>IF(AND(C1214="Active",Q1214=0),"Active Zero Sales","Not Zero Sales")</x:f>
        <x:v>Not Zero Sales</x:v>
      </x:c>
      <x:c r="W1214" s="12" t="n">
        <x:f>IF(V1214="Active Zero Sales",U1214,0)</x:f>
        <x:v>0</x:v>
      </x:c>
      <x:c r="X1214" t="str">
        <x:f>IF(E1214&lt;25,"Low &lt; 25",IF(E1214&lt;100,"Medium 25-99",IF(E1214&lt;300,"High 100-299","Premium 300+")))</x:f>
        <x:v>Low &lt; 25</x:v>
      </x:c>
      <x:c r="Y1214" t="n">
        <x:f>IF(C1214="Active",1,0)</x:f>
        <x:v>1</x:v>
      </x:c>
    </x:row>
    <x:row r="1215">
      <x:c r="A1215" t="str">
        <x:v>SKU01214</x:v>
      </x:c>
      <x:c r="B1215" t="str">
        <x:v>Sample Product 01214</x:v>
      </x:c>
      <x:c r="C1215" t="str">
        <x:v>Active</x:v>
      </x:c>
      <x:c r="D1215" t="str">
        <x:v>2026-06</x:v>
      </x:c>
      <x:c r="E1215" s="12" t="n">
        <x:v>8.71</x:v>
      </x:c>
      <x:c r="F1215" s="10" t="n">
        <x:v>0.389</x:v>
      </x:c>
      <x:c r="G1215" t="str">
        <x:v>Personal Care</x:v>
      </x:c>
      <x:c r="H1215" t="str">
        <x:v>Hygiene</x:v>
      </x:c>
      <x:c r="I1215" t="str">
        <x:v>MFG018</x:v>
      </x:c>
      <x:c r="J1215" t="str">
        <x:v>Manufacturer 018</x:v>
      </x:c>
      <x:c r="K1215" t="str">
        <x:v>SUP007</x:v>
      </x:c>
      <x:c r="L1215" t="str">
        <x:v>Supplier 007</x:v>
      </x:c>
      <x:c r="M1215" t="str">
        <x:v>REG-470217</x:v>
      </x:c>
      <x:c r="N1215" t="str">
        <x:v>Generic Ingredient 170</x:v>
      </x:c>
      <x:c r="O1215" t="str">
        <x:v>General Sale</x:v>
      </x:c>
      <x:c r="P1215" t="n">
        <x:v>82</x:v>
      </x:c>
      <x:c r="Q1215" t="n">
        <x:v>37</x:v>
      </x:c>
      <x:c r="R1215" t="n">
        <x:v>14</x:v>
      </x:c>
      <x:c r="S1215" s="12" t="n">
        <x:f>E1215*Q1215</x:f>
        <x:v>322.27000000000004</x:v>
      </x:c>
      <x:c r="T1215" s="12" t="n">
        <x:f>ROUND(S1215*F1215+0.000000001,2)</x:f>
        <x:v>125.36</x:v>
      </x:c>
      <x:c r="U1215" s="12" t="n">
        <x:f>E1215*R1215</x:f>
        <x:v>121.94000000000001</x:v>
      </x:c>
      <x:c r="V1215" t="str">
        <x:f>IF(AND(C1215="Active",Q1215=0),"Active Zero Sales","Not Zero Sales")</x:f>
        <x:v>Not Zero Sales</x:v>
      </x:c>
      <x:c r="W1215" s="12" t="n">
        <x:f>IF(V1215="Active Zero Sales",U1215,0)</x:f>
        <x:v>0</x:v>
      </x:c>
      <x:c r="X1215" t="str">
        <x:f>IF(E1215&lt;25,"Low &lt; 25",IF(E1215&lt;100,"Medium 25-99",IF(E1215&lt;300,"High 100-299","Premium 300+")))</x:f>
        <x:v>Low &lt; 25</x:v>
      </x:c>
      <x:c r="Y1215" t="n">
        <x:f>IF(C1215="Active",1,0)</x:f>
        <x:v>1</x:v>
      </x:c>
    </x:row>
    <x:row r="1216">
      <x:c r="A1216" t="str">
        <x:v>SKU01215</x:v>
      </x:c>
      <x:c r="B1216" t="str">
        <x:v>Sample Product 01215</x:v>
      </x:c>
      <x:c r="C1216" t="str">
        <x:v>Active</x:v>
      </x:c>
      <x:c r="D1216" t="str">
        <x:v>2026-05</x:v>
      </x:c>
      <x:c r="E1216" s="12" t="n">
        <x:v>289.37</x:v>
      </x:c>
      <x:c r="F1216" s="10" t="n">
        <x:v>0.466</x:v>
      </x:c>
      <x:c r="G1216" t="str">
        <x:v>Medical Devices</x:v>
      </x:c>
      <x:c r="H1216" t="str">
        <x:v>First Aid</x:v>
      </x:c>
      <x:c r="I1216" t="str">
        <x:v>MFG002</x:v>
      </x:c>
      <x:c r="J1216" t="str">
        <x:v>Manufacturer 002</x:v>
      </x:c>
      <x:c r="K1216" t="str">
        <x:v>SUP022</x:v>
      </x:c>
      <x:c r="L1216" t="str">
        <x:v>Supplier 022</x:v>
      </x:c>
      <x:c r="M1216" t="str">
        <x:v>REG-522540</x:v>
      </x:c>
      <x:c r="N1216" t="str">
        <x:v>Generic Ingredient 094</x:v>
      </x:c>
      <x:c r="O1216" t="str">
        <x:v>General Sale</x:v>
      </x:c>
      <x:c r="P1216" t="n">
        <x:v>193</x:v>
      </x:c>
      <x:c r="Q1216" t="n">
        <x:v>120</x:v>
      </x:c>
      <x:c r="R1216" t="n">
        <x:v>23</x:v>
      </x:c>
      <x:c r="S1216" s="12" t="n">
        <x:f>E1216*Q1216</x:f>
        <x:v>34724.4</x:v>
      </x:c>
      <x:c r="T1216" s="12" t="n">
        <x:f>ROUND(S1216*F1216+0.000000001,2)</x:f>
        <x:v>16181.57</x:v>
      </x:c>
      <x:c r="U1216" s="12" t="n">
        <x:f>E1216*R1216</x:f>
        <x:v>6655.51</x:v>
      </x:c>
      <x:c r="V1216" t="str">
        <x:f>IF(AND(C1216="Active",Q1216=0),"Active Zero Sales","Not Zero Sales")</x:f>
        <x:v>Not Zero Sales</x:v>
      </x:c>
      <x:c r="W1216" s="12" t="n">
        <x:f>IF(V1216="Active Zero Sales",U1216,0)</x:f>
        <x:v>0</x:v>
      </x:c>
      <x:c r="X1216" t="str">
        <x:f>IF(E1216&lt;25,"Low &lt; 25",IF(E1216&lt;100,"Medium 25-99",IF(E1216&lt;300,"High 100-299","Premium 300+")))</x:f>
        <x:v>High 100-299</x:v>
      </x:c>
      <x:c r="Y1216" t="n">
        <x:f>IF(C1216="Active",1,0)</x:f>
        <x:v>1</x:v>
      </x:c>
    </x:row>
    <x:row r="1217">
      <x:c r="A1217" t="str">
        <x:v>SKU01216</x:v>
      </x:c>
      <x:c r="B1217" t="str">
        <x:v>Sample Product 01216</x:v>
      </x:c>
      <x:c r="C1217" t="str">
        <x:v>Blocked</x:v>
      </x:c>
      <x:c r="D1217" t="str">
        <x:v>2026-04</x:v>
      </x:c>
      <x:c r="E1217" s="12" t="n">
        <x:v>277.21</x:v>
      </x:c>
      <x:c r="F1217" s="10" t="n">
        <x:v>0.209</x:v>
      </x:c>
      <x:c r="G1217" t="str">
        <x:v>Personal Care</x:v>
      </x:c>
      <x:c r="H1217" t="str">
        <x:v>Hygiene</x:v>
      </x:c>
      <x:c r="I1217" t="str">
        <x:v>MFG020</x:v>
      </x:c>
      <x:c r="J1217" t="str">
        <x:v>Manufacturer 020</x:v>
      </x:c>
      <x:c r="K1217" t="str">
        <x:v>SUP017</x:v>
      </x:c>
      <x:c r="L1217" t="str">
        <x:v>Supplier 017</x:v>
      </x:c>
      <x:c r="M1217" t="str">
        <x:v>REG-586414</x:v>
      </x:c>
      <x:c r="N1217" t="str">
        <x:v>Generic Ingredient 120</x:v>
      </x:c>
      <x:c r="O1217" t="str">
        <x:v>General Sale</x:v>
      </x:c>
      <x:c r="P1217" t="n">
        <x:v>18</x:v>
      </x:c>
      <x:c r="Q1217" t="n">
        <x:v>24</x:v>
      </x:c>
      <x:c r="R1217" t="n">
        <x:v>2</x:v>
      </x:c>
      <x:c r="S1217" s="12" t="n">
        <x:f>E1217*Q1217</x:f>
        <x:v>6653.039999999999</x:v>
      </x:c>
      <x:c r="T1217" s="12" t="n">
        <x:f>ROUND(S1217*F1217+0.000000001,2)</x:f>
        <x:v>1390.49</x:v>
      </x:c>
      <x:c r="U1217" s="12" t="n">
        <x:f>E1217*R1217</x:f>
        <x:v>554.42</x:v>
      </x:c>
      <x:c r="V1217" t="str">
        <x:f>IF(AND(C1217="Active",Q1217=0),"Active Zero Sales","Not Zero Sales")</x:f>
        <x:v>Not Zero Sales</x:v>
      </x:c>
      <x:c r="W1217" s="12" t="n">
        <x:f>IF(V1217="Active Zero Sales",U1217,0)</x:f>
        <x:v>0</x:v>
      </x:c>
      <x:c r="X1217" t="str">
        <x:f>IF(E1217&lt;25,"Low &lt; 25",IF(E1217&lt;100,"Medium 25-99",IF(E1217&lt;300,"High 100-299","Premium 300+")))</x:f>
        <x:v>High 100-299</x:v>
      </x:c>
      <x:c r="Y1217" t="n">
        <x:f>IF(C1217="Active",1,0)</x:f>
        <x:v>0</x:v>
      </x:c>
    </x:row>
    <x:row r="1218">
      <x:c r="A1218" t="str">
        <x:v>SKU01217</x:v>
      </x:c>
      <x:c r="B1218" t="str">
        <x:v>Sample Product 01217</x:v>
      </x:c>
      <x:c r="C1218" t="str">
        <x:v>Active</x:v>
      </x:c>
      <x:c r="D1218" t="str">
        <x:v>2026-04</x:v>
      </x:c>
      <x:c r="E1218" s="12" t="n">
        <x:v>245.22</x:v>
      </x:c>
      <x:c r="F1218" s="10" t="n">
        <x:v>0.273</x:v>
      </x:c>
      <x:c r="G1218" t="str">
        <x:v>Nutrition</x:v>
      </x:c>
      <x:c r="H1218" t="str">
        <x:v>Hydration</x:v>
      </x:c>
      <x:c r="I1218" t="str">
        <x:v>MFG018</x:v>
      </x:c>
      <x:c r="J1218" t="str">
        <x:v>Manufacturer 018</x:v>
      </x:c>
      <x:c r="K1218" t="str">
        <x:v>SUP004</x:v>
      </x:c>
      <x:c r="L1218" t="str">
        <x:v>Supplier 004</x:v>
      </x:c>
      <x:c r="M1218" t="str">
        <x:v>REG-633852</x:v>
      </x:c>
      <x:c r="N1218" t="str">
        <x:v>Generic Ingredient 114</x:v>
      </x:c>
      <x:c r="O1218" t="str">
        <x:v>Pharmacy Only</x:v>
      </x:c>
      <x:c r="P1218" t="n">
        <x:v>115</x:v>
      </x:c>
      <x:c r="Q1218" t="n">
        <x:v>67</x:v>
      </x:c>
      <x:c r="R1218" t="n">
        <x:v>20</x:v>
      </x:c>
      <x:c r="S1218" s="12" t="n">
        <x:f>E1218*Q1218</x:f>
        <x:v>16429.74</x:v>
      </x:c>
      <x:c r="T1218" s="12" t="n">
        <x:f>ROUND(S1218*F1218+0.000000001,2)</x:f>
        <x:v>4485.32</x:v>
      </x:c>
      <x:c r="U1218" s="12" t="n">
        <x:f>E1218*R1218</x:f>
        <x:v>4904.4</x:v>
      </x:c>
      <x:c r="V1218" t="str">
        <x:f>IF(AND(C1218="Active",Q1218=0),"Active Zero Sales","Not Zero Sales")</x:f>
        <x:v>Not Zero Sales</x:v>
      </x:c>
      <x:c r="W1218" s="12" t="n">
        <x:f>IF(V1218="Active Zero Sales",U1218,0)</x:f>
        <x:v>0</x:v>
      </x:c>
      <x:c r="X1218" t="str">
        <x:f>IF(E1218&lt;25,"Low &lt; 25",IF(E1218&lt;100,"Medium 25-99",IF(E1218&lt;300,"High 100-299","Premium 300+")))</x:f>
        <x:v>High 100-299</x:v>
      </x:c>
      <x:c r="Y1218" t="n">
        <x:f>IF(C1218="Active",1,0)</x:f>
        <x:v>1</x:v>
      </x:c>
    </x:row>
    <x:row r="1219">
      <x:c r="A1219" t="str">
        <x:v>SKU01218</x:v>
      </x:c>
      <x:c r="B1219" t="str">
        <x:v>Sample Product 01218</x:v>
      </x:c>
      <x:c r="C1219" t="str">
        <x:v>Active</x:v>
      </x:c>
      <x:c r="D1219" t="str">
        <x:v>2026-03</x:v>
      </x:c>
      <x:c r="E1219" s="12" t="n">
        <x:v>137.17</x:v>
      </x:c>
      <x:c r="F1219" s="10" t="n">
        <x:v>0.39</x:v>
      </x:c>
      <x:c r="G1219" t="str">
        <x:v>OTC &amp; Wellness</x:v>
      </x:c>
      <x:c r="H1219" t="str">
        <x:v>Pain Relief</x:v>
      </x:c>
      <x:c r="I1219" t="str">
        <x:v>MFG007</x:v>
      </x:c>
      <x:c r="J1219" t="str">
        <x:v>Manufacturer 007</x:v>
      </x:c>
      <x:c r="K1219" t="str">
        <x:v>SUP007</x:v>
      </x:c>
      <x:c r="L1219" t="str">
        <x:v>Supplier 007</x:v>
      </x:c>
      <x:c r="M1219" t="str">
        <x:v>REG-922218</x:v>
      </x:c>
      <x:c r="N1219" t="str">
        <x:v>Generic Ingredient 179</x:v>
      </x:c>
      <x:c r="O1219" t="str">
        <x:v>General Sale</x:v>
      </x:c>
      <x:c r="P1219" t="n">
        <x:v>155</x:v>
      </x:c>
      <x:c r="Q1219" t="n">
        <x:v>95</x:v>
      </x:c>
      <x:c r="R1219" t="n">
        <x:v>42</x:v>
      </x:c>
      <x:c r="S1219" s="12" t="n">
        <x:f>E1219*Q1219</x:f>
        <x:v>13031.15</x:v>
      </x:c>
      <x:c r="T1219" s="12" t="n">
        <x:f>ROUND(S1219*F1219+0.000000001,2)</x:f>
        <x:v>5082.15</x:v>
      </x:c>
      <x:c r="U1219" s="12" t="n">
        <x:f>E1219*R1219</x:f>
        <x:v>5761.139999999999</x:v>
      </x:c>
      <x:c r="V1219" t="str">
        <x:f>IF(AND(C1219="Active",Q1219=0),"Active Zero Sales","Not Zero Sales")</x:f>
        <x:v>Not Zero Sales</x:v>
      </x:c>
      <x:c r="W1219" s="12" t="n">
        <x:f>IF(V1219="Active Zero Sales",U1219,0)</x:f>
        <x:v>0</x:v>
      </x:c>
      <x:c r="X1219" t="str">
        <x:f>IF(E1219&lt;25,"Low &lt; 25",IF(E1219&lt;100,"Medium 25-99",IF(E1219&lt;300,"High 100-299","Premium 300+")))</x:f>
        <x:v>High 100-299</x:v>
      </x:c>
      <x:c r="Y1219" t="n">
        <x:f>IF(C1219="Active",1,0)</x:f>
        <x:v>1</x:v>
      </x:c>
    </x:row>
    <x:row r="1220">
      <x:c r="A1220" t="str">
        <x:v>SKU01219</x:v>
      </x:c>
      <x:c r="B1220" t="str">
        <x:v>Sample Product 01219</x:v>
      </x:c>
      <x:c r="C1220" t="str">
        <x:v>Active</x:v>
      </x:c>
      <x:c r="D1220" t="str">
        <x:v>2026-06</x:v>
      </x:c>
      <x:c r="E1220" s="12" t="n">
        <x:v>14.65</x:v>
      </x:c>
      <x:c r="F1220" s="10" t="n">
        <x:v>0.215</x:v>
      </x:c>
      <x:c r="G1220" t="str">
        <x:v>Medical Devices</x:v>
      </x:c>
      <x:c r="H1220" t="str">
        <x:v>Monitoring Supplies</x:v>
      </x:c>
      <x:c r="I1220" t="str">
        <x:v>MFG016</x:v>
      </x:c>
      <x:c r="J1220" t="str">
        <x:v>Manufacturer 016</x:v>
      </x:c>
      <x:c r="K1220" t="str">
        <x:v>SUP006</x:v>
      </x:c>
      <x:c r="L1220" t="str">
        <x:v>Supplier 006</x:v>
      </x:c>
      <x:c r="M1220" t="str">
        <x:v>REG-872625</x:v>
      </x:c>
      <x:c r="N1220" t="str">
        <x:v>Generic Ingredient 008</x:v>
      </x:c>
      <x:c r="O1220" t="str">
        <x:v>General Sale</x:v>
      </x:c>
      <x:c r="P1220" t="n">
        <x:v>28</x:v>
      </x:c>
      <x:c r="Q1220" t="n">
        <x:v>14</x:v>
      </x:c>
      <x:c r="R1220" t="n">
        <x:v>24</x:v>
      </x:c>
      <x:c r="S1220" s="12" t="n">
        <x:f>E1220*Q1220</x:f>
        <x:v>205.1</x:v>
      </x:c>
      <x:c r="T1220" s="12" t="n">
        <x:f>ROUND(S1220*F1220+0.000000001,2)</x:f>
        <x:v>44.1</x:v>
      </x:c>
      <x:c r="U1220" s="12" t="n">
        <x:f>E1220*R1220</x:f>
        <x:v>351.6</x:v>
      </x:c>
      <x:c r="V1220" t="str">
        <x:f>IF(AND(C1220="Active",Q1220=0),"Active Zero Sales","Not Zero Sales")</x:f>
        <x:v>Not Zero Sales</x:v>
      </x:c>
      <x:c r="W1220" s="12" t="n">
        <x:f>IF(V1220="Active Zero Sales",U1220,0)</x:f>
        <x:v>0</x:v>
      </x:c>
      <x:c r="X1220" t="str">
        <x:f>IF(E1220&lt;25,"Low &lt; 25",IF(E1220&lt;100,"Medium 25-99",IF(E1220&lt;300,"High 100-299","Premium 300+")))</x:f>
        <x:v>Low &lt; 25</x:v>
      </x:c>
      <x:c r="Y1220" t="n">
        <x:f>IF(C1220="Active",1,0)</x:f>
        <x:v>1</x:v>
      </x:c>
    </x:row>
    <x:row r="1221">
      <x:c r="A1221" t="str">
        <x:v>SKU01220</x:v>
      </x:c>
      <x:c r="B1221" t="str">
        <x:v>Sample Product 01220</x:v>
      </x:c>
      <x:c r="C1221" t="str">
        <x:v>Blocked</x:v>
      </x:c>
      <x:c r="D1221" t="str">
        <x:v>2026-04</x:v>
      </x:c>
      <x:c r="E1221" s="12" t="n">
        <x:v>30</x:v>
      </x:c>
      <x:c r="F1221" s="10" t="n">
        <x:v>0.233</x:v>
      </x:c>
      <x:c r="G1221" t="str">
        <x:v>Personal Care</x:v>
      </x:c>
      <x:c r="H1221" t="str">
        <x:v>Skin Care</x:v>
      </x:c>
      <x:c r="I1221" t="str">
        <x:v>MFG004</x:v>
      </x:c>
      <x:c r="J1221" t="str">
        <x:v>Manufacturer 004</x:v>
      </x:c>
      <x:c r="K1221" t="str">
        <x:v>SUP019</x:v>
      </x:c>
      <x:c r="L1221" t="str">
        <x:v>Supplier 019</x:v>
      </x:c>
      <x:c r="M1221" t="str">
        <x:v>REG-977738</x:v>
      </x:c>
      <x:c r="N1221" t="str">
        <x:v>Generic Ingredient 093</x:v>
      </x:c>
      <x:c r="O1221" t="str">
        <x:v>General Sale</x:v>
      </x:c>
      <x:c r="P1221" t="n">
        <x:v>98</x:v>
      </x:c>
      <x:c r="Q1221" t="n">
        <x:v>35</x:v>
      </x:c>
      <x:c r="R1221" t="n">
        <x:v>15</x:v>
      </x:c>
      <x:c r="S1221" s="12" t="n">
        <x:f>E1221*Q1221</x:f>
        <x:v>1050</x:v>
      </x:c>
      <x:c r="T1221" s="12" t="n">
        <x:f>ROUND(S1221*F1221+0.000000001,2)</x:f>
        <x:v>244.65</x:v>
      </x:c>
      <x:c r="U1221" s="12" t="n">
        <x:f>E1221*R1221</x:f>
        <x:v>450</x:v>
      </x:c>
      <x:c r="V1221" t="str">
        <x:f>IF(AND(C1221="Active",Q1221=0),"Active Zero Sales","Not Zero Sales")</x:f>
        <x:v>Not Zero Sales</x:v>
      </x:c>
      <x:c r="W1221" s="12" t="n">
        <x:f>IF(V1221="Active Zero Sales",U1221,0)</x:f>
        <x:v>0</x:v>
      </x:c>
      <x:c r="X1221" t="str">
        <x:f>IF(E1221&lt;25,"Low &lt; 25",IF(E1221&lt;100,"Medium 25-99",IF(E1221&lt;300,"High 100-299","Premium 300+")))</x:f>
        <x:v>Medium 25-99</x:v>
      </x:c>
      <x:c r="Y1221" t="n">
        <x:f>IF(C1221="Active",1,0)</x:f>
        <x:v>0</x:v>
      </x:c>
    </x:row>
    <x:row r="1222">
      <x:c r="A1222" t="str">
        <x:v>SKU01221</x:v>
      </x:c>
      <x:c r="B1222" t="str">
        <x:v>Sample Product 01221</x:v>
      </x:c>
      <x:c r="C1222" t="str">
        <x:v>Active</x:v>
      </x:c>
      <x:c r="D1222" t="str">
        <x:v>2026-04</x:v>
      </x:c>
      <x:c r="E1222" s="12" t="n">
        <x:v>25.19</x:v>
      </x:c>
      <x:c r="F1222" s="10" t="n">
        <x:v>0.303</x:v>
      </x:c>
      <x:c r="G1222" t="str">
        <x:v>OTC &amp; Wellness</x:v>
      </x:c>
      <x:c r="H1222" t="str">
        <x:v>Vitamins</x:v>
      </x:c>
      <x:c r="I1222" t="str">
        <x:v>MFG008</x:v>
      </x:c>
      <x:c r="J1222" t="str">
        <x:v>Manufacturer 008</x:v>
      </x:c>
      <x:c r="K1222" t="str">
        <x:v>SUP023</x:v>
      </x:c>
      <x:c r="L1222" t="str">
        <x:v>Supplier 023</x:v>
      </x:c>
      <x:c r="M1222" t="str">
        <x:v>REG-484206</x:v>
      </x:c>
      <x:c r="N1222" t="str">
        <x:v>Generic Ingredient 146</x:v>
      </x:c>
      <x:c r="O1222" t="str">
        <x:v>General Sale</x:v>
      </x:c>
      <x:c r="P1222" t="n">
        <x:v>50</x:v>
      </x:c>
      <x:c r="Q1222" t="n">
        <x:v>29</x:v>
      </x:c>
      <x:c r="R1222" t="n">
        <x:v>14</x:v>
      </x:c>
      <x:c r="S1222" s="12" t="n">
        <x:f>E1222*Q1222</x:f>
        <x:v>730.51</x:v>
      </x:c>
      <x:c r="T1222" s="12" t="n">
        <x:f>ROUND(S1222*F1222+0.000000001,2)</x:f>
        <x:v>221.34</x:v>
      </x:c>
      <x:c r="U1222" s="12" t="n">
        <x:f>E1222*R1222</x:f>
        <x:v>352.66</x:v>
      </x:c>
      <x:c r="V1222" t="str">
        <x:f>IF(AND(C1222="Active",Q1222=0),"Active Zero Sales","Not Zero Sales")</x:f>
        <x:v>Not Zero Sales</x:v>
      </x:c>
      <x:c r="W1222" s="12" t="n">
        <x:f>IF(V1222="Active Zero Sales",U1222,0)</x:f>
        <x:v>0</x:v>
      </x:c>
      <x:c r="X1222" t="str">
        <x:f>IF(E1222&lt;25,"Low &lt; 25",IF(E1222&lt;100,"Medium 25-99",IF(E1222&lt;300,"High 100-299","Premium 300+")))</x:f>
        <x:v>Medium 25-99</x:v>
      </x:c>
      <x:c r="Y1222" t="n">
        <x:f>IF(C1222="Active",1,0)</x:f>
        <x:v>1</x:v>
      </x:c>
    </x:row>
    <x:row r="1223">
      <x:c r="A1223" t="str">
        <x:v>SKU01222</x:v>
      </x:c>
      <x:c r="B1223" t="str">
        <x:v>Sample Product 01222</x:v>
      </x:c>
      <x:c r="C1223" t="str">
        <x:v>Active</x:v>
      </x:c>
      <x:c r="D1223" t="str">
        <x:v>2026-05</x:v>
      </x:c>
      <x:c r="E1223" s="12" t="n">
        <x:v>43.09</x:v>
      </x:c>
      <x:c r="F1223" s="10" t="n">
        <x:v>0.326</x:v>
      </x:c>
      <x:c r="G1223" t="str">
        <x:v>Nutrition</x:v>
      </x:c>
      <x:c r="H1223" t="str">
        <x:v>Hydration</x:v>
      </x:c>
      <x:c r="I1223" t="str">
        <x:v>MFG018</x:v>
      </x:c>
      <x:c r="J1223" t="str">
        <x:v>Manufacturer 018</x:v>
      </x:c>
      <x:c r="K1223" t="str">
        <x:v>SUP019</x:v>
      </x:c>
      <x:c r="L1223" t="str">
        <x:v>Supplier 019</x:v>
      </x:c>
      <x:c r="M1223" t="str">
        <x:v>REG-684995</x:v>
      </x:c>
      <x:c r="N1223" t="str">
        <x:v>Generic Ingredient 051</x:v>
      </x:c>
      <x:c r="O1223" t="str">
        <x:v>Pharmacy Only</x:v>
      </x:c>
      <x:c r="P1223" t="n">
        <x:v>7</x:v>
      </x:c>
      <x:c r="Q1223" t="n">
        <x:v>17</x:v>
      </x:c>
      <x:c r="R1223" t="n">
        <x:v>0</x:v>
      </x:c>
      <x:c r="S1223" s="12" t="n">
        <x:f>E1223*Q1223</x:f>
        <x:v>732.5300000000001</x:v>
      </x:c>
      <x:c r="T1223" s="12" t="n">
        <x:f>ROUND(S1223*F1223+0.000000001,2)</x:f>
        <x:v>238.8</x:v>
      </x:c>
      <x:c r="U1223" s="12" t="n">
        <x:f>E1223*R1223</x:f>
        <x:v>0</x:v>
      </x:c>
      <x:c r="V1223" t="str">
        <x:f>IF(AND(C1223="Active",Q1223=0),"Active Zero Sales","Not Zero Sales")</x:f>
        <x:v>Not Zero Sales</x:v>
      </x:c>
      <x:c r="W1223" s="12" t="n">
        <x:f>IF(V1223="Active Zero Sales",U1223,0)</x:f>
        <x:v>0</x:v>
      </x:c>
      <x:c r="X1223" t="str">
        <x:f>IF(E1223&lt;25,"Low &lt; 25",IF(E1223&lt;100,"Medium 25-99",IF(E1223&lt;300,"High 100-299","Premium 300+")))</x:f>
        <x:v>Medium 25-99</x:v>
      </x:c>
      <x:c r="Y1223" t="n">
        <x:f>IF(C1223="Active",1,0)</x:f>
        <x:v>1</x:v>
      </x:c>
    </x:row>
    <x:row r="1224">
      <x:c r="A1224" t="str">
        <x:v>SKU01223</x:v>
      </x:c>
      <x:c r="B1224" t="str">
        <x:v>Sample Product 01223</x:v>
      </x:c>
      <x:c r="C1224" t="str">
        <x:v>Active</x:v>
      </x:c>
      <x:c r="D1224" t="str">
        <x:v>2026-02</x:v>
      </x:c>
      <x:c r="E1224" s="12" t="n">
        <x:v>155.4</x:v>
      </x:c>
      <x:c r="F1224" s="10" t="n">
        <x:v>0.38</x:v>
      </x:c>
      <x:c r="G1224" t="str">
        <x:v>OTC &amp; Wellness</x:v>
      </x:c>
      <x:c r="H1224" t="str">
        <x:v>Pain Relief</x:v>
      </x:c>
      <x:c r="I1224" t="str">
        <x:v>MFG011</x:v>
      </x:c>
      <x:c r="J1224" t="str">
        <x:v>Manufacturer 011</x:v>
      </x:c>
      <x:c r="K1224" t="str">
        <x:v>SUP029</x:v>
      </x:c>
      <x:c r="L1224" t="str">
        <x:v>Supplier 029</x:v>
      </x:c>
      <x:c r="M1224" t="str">
        <x:v>REG-202892</x:v>
      </x:c>
      <x:c r="N1224" t="str">
        <x:v>Generic Ingredient 122</x:v>
      </x:c>
      <x:c r="O1224" t="str">
        <x:v>Pharmacy Only</x:v>
      </x:c>
      <x:c r="P1224" t="n">
        <x:v>47</x:v>
      </x:c>
      <x:c r="Q1224" t="n">
        <x:v>0</x:v>
      </x:c>
      <x:c r="R1224" t="n">
        <x:v>5</x:v>
      </x:c>
      <x:c r="S1224" s="12" t="n">
        <x:f>E1224*Q1224</x:f>
        <x:v>0</x:v>
      </x:c>
      <x:c r="T1224" s="12" t="n">
        <x:f>ROUND(S1224*F1224+0.000000001,2)</x:f>
        <x:v>0</x:v>
      </x:c>
      <x:c r="U1224" s="12" t="n">
        <x:f>E1224*R1224</x:f>
        <x:v>777</x:v>
      </x:c>
      <x:c r="V1224" t="str">
        <x:f>IF(AND(C1224="Active",Q1224=0),"Active Zero Sales","Not Zero Sales")</x:f>
        <x:v>Active Zero Sales</x:v>
      </x:c>
      <x:c r="W1224" s="12" t="n">
        <x:f>IF(V1224="Active Zero Sales",U1224,0)</x:f>
        <x:v>777</x:v>
      </x:c>
      <x:c r="X1224" t="str">
        <x:f>IF(E1224&lt;25,"Low &lt; 25",IF(E1224&lt;100,"Medium 25-99",IF(E1224&lt;300,"High 100-299","Premium 300+")))</x:f>
        <x:v>High 100-299</x:v>
      </x:c>
      <x:c r="Y1224" t="n">
        <x:f>IF(C1224="Active",1,0)</x:f>
        <x:v>1</x:v>
      </x:c>
    </x:row>
    <x:row r="1225">
      <x:c r="A1225" t="str">
        <x:v>SKU01224</x:v>
      </x:c>
      <x:c r="B1225" t="str">
        <x:v>Sample Product 01224</x:v>
      </x:c>
      <x:c r="C1225" t="str">
        <x:v>Active</x:v>
      </x:c>
      <x:c r="D1225" t="str">
        <x:v>2026-06</x:v>
      </x:c>
      <x:c r="E1225" s="12" t="n">
        <x:v>17.68</x:v>
      </x:c>
      <x:c r="F1225" s="10" t="n">
        <x:v>0.508</x:v>
      </x:c>
      <x:c r="G1225" t="str">
        <x:v>Personal Care</x:v>
      </x:c>
      <x:c r="H1225" t="str">
        <x:v>Hair Care</x:v>
      </x:c>
      <x:c r="I1225" t="str">
        <x:v>MFG003</x:v>
      </x:c>
      <x:c r="J1225" t="str">
        <x:v>Manufacturer 003</x:v>
      </x:c>
      <x:c r="K1225" t="str">
        <x:v>SUP003</x:v>
      </x:c>
      <x:c r="L1225" t="str">
        <x:v>Supplier 003</x:v>
      </x:c>
      <x:c r="M1225" t="str">
        <x:v>REG-887797</x:v>
      </x:c>
      <x:c r="N1225" t="str">
        <x:v>Generic Ingredient 162</x:v>
      </x:c>
      <x:c r="O1225" t="str">
        <x:v>General Sale</x:v>
      </x:c>
      <x:c r="P1225" t="n">
        <x:v>85</x:v>
      </x:c>
      <x:c r="Q1225" t="n">
        <x:v>35</x:v>
      </x:c>
      <x:c r="R1225" t="n">
        <x:v>0</x:v>
      </x:c>
      <x:c r="S1225" s="12" t="n">
        <x:f>E1225*Q1225</x:f>
        <x:v>618.8</x:v>
      </x:c>
      <x:c r="T1225" s="12" t="n">
        <x:f>ROUND(S1225*F1225+0.000000001,2)</x:f>
        <x:v>314.35</x:v>
      </x:c>
      <x:c r="U1225" s="12" t="n">
        <x:f>E1225*R1225</x:f>
        <x:v>0</x:v>
      </x:c>
      <x:c r="V1225" t="str">
        <x:f>IF(AND(C1225="Active",Q1225=0),"Active Zero Sales","Not Zero Sales")</x:f>
        <x:v>Not Zero Sales</x:v>
      </x:c>
      <x:c r="W1225" s="12" t="n">
        <x:f>IF(V1225="Active Zero Sales",U1225,0)</x:f>
        <x:v>0</x:v>
      </x:c>
      <x:c r="X1225" t="str">
        <x:f>IF(E1225&lt;25,"Low &lt; 25",IF(E1225&lt;100,"Medium 25-99",IF(E1225&lt;300,"High 100-299","Premium 300+")))</x:f>
        <x:v>Low &lt; 25</x:v>
      </x:c>
      <x:c r="Y1225" t="n">
        <x:f>IF(C1225="Active",1,0)</x:f>
        <x:v>1</x:v>
      </x:c>
    </x:row>
    <x:row r="1226">
      <x:c r="A1226" t="str">
        <x:v>SKU01225</x:v>
      </x:c>
      <x:c r="B1226" t="str">
        <x:v>Sample Product 01225</x:v>
      </x:c>
      <x:c r="C1226" t="str">
        <x:v>Blocked</x:v>
      </x:c>
      <x:c r="D1226" t="str">
        <x:v>2026-03</x:v>
      </x:c>
      <x:c r="E1226" s="12" t="n">
        <x:v>8.35</x:v>
      </x:c>
      <x:c r="F1226" s="10" t="n">
        <x:v>0.278</x:v>
      </x:c>
      <x:c r="G1226" t="str">
        <x:v>Nutrition</x:v>
      </x:c>
      <x:c r="H1226" t="str">
        <x:v>Sports Nutrition</x:v>
      </x:c>
      <x:c r="I1226" t="str">
        <x:v>MFG014</x:v>
      </x:c>
      <x:c r="J1226" t="str">
        <x:v>Manufacturer 014</x:v>
      </x:c>
      <x:c r="K1226" t="str">
        <x:v>SUP010</x:v>
      </x:c>
      <x:c r="L1226" t="str">
        <x:v>Supplier 010</x:v>
      </x:c>
      <x:c r="M1226" t="str">
        <x:v>REG-996204</x:v>
      </x:c>
      <x:c r="N1226" t="str">
        <x:v>Generic Ingredient 051</x:v>
      </x:c>
      <x:c r="O1226" t="str">
        <x:v>General Sale</x:v>
      </x:c>
      <x:c r="P1226" t="n">
        <x:v>0</x:v>
      </x:c>
      <x:c r="Q1226" t="n">
        <x:v>0</x:v>
      </x:c>
      <x:c r="R1226" t="n">
        <x:v>0</x:v>
      </x:c>
      <x:c r="S1226" s="12" t="n">
        <x:f>E1226*Q1226</x:f>
        <x:v>0</x:v>
      </x:c>
      <x:c r="T1226" s="12" t="n">
        <x:f>ROUND(S1226*F1226+0.000000001,2)</x:f>
        <x:v>0</x:v>
      </x:c>
      <x:c r="U1226" s="12" t="n">
        <x:f>E1226*R1226</x:f>
        <x:v>0</x:v>
      </x:c>
      <x:c r="V1226" t="str">
        <x:f>IF(AND(C1226="Active",Q1226=0),"Active Zero Sales","Not Zero Sales")</x:f>
        <x:v>Not Zero Sales</x:v>
      </x:c>
      <x:c r="W1226" s="12" t="n">
        <x:f>IF(V1226="Active Zero Sales",U1226,0)</x:f>
        <x:v>0</x:v>
      </x:c>
      <x:c r="X1226" t="str">
        <x:f>IF(E1226&lt;25,"Low &lt; 25",IF(E1226&lt;100,"Medium 25-99",IF(E1226&lt;300,"High 100-299","Premium 300+")))</x:f>
        <x:v>Low &lt; 25</x:v>
      </x:c>
      <x:c r="Y1226" t="n">
        <x:f>IF(C1226="Active",1,0)</x:f>
        <x:v>0</x:v>
      </x:c>
    </x:row>
    <x:row r="1227">
      <x:c r="A1227" t="str">
        <x:v>SKU01226</x:v>
      </x:c>
      <x:c r="B1227" t="str">
        <x:v>Sample Product 01226</x:v>
      </x:c>
      <x:c r="C1227" t="str">
        <x:v>Active</x:v>
      </x:c>
      <x:c r="D1227" t="str">
        <x:v>2026-03</x:v>
      </x:c>
      <x:c r="E1227" s="12" t="n">
        <x:v>10.34</x:v>
      </x:c>
      <x:c r="F1227" s="10" t="n">
        <x:v>0.329</x:v>
      </x:c>
      <x:c r="G1227" t="str">
        <x:v>Personal Care</x:v>
      </x:c>
      <x:c r="H1227" t="str">
        <x:v>Hair Care</x:v>
      </x:c>
      <x:c r="I1227" t="str">
        <x:v>MFG011</x:v>
      </x:c>
      <x:c r="J1227" t="str">
        <x:v>Manufacturer 011</x:v>
      </x:c>
      <x:c r="K1227" t="str">
        <x:v>SUP003</x:v>
      </x:c>
      <x:c r="L1227" t="str">
        <x:v>Supplier 003</x:v>
      </x:c>
      <x:c r="M1227" t="str">
        <x:v>REG-349829</x:v>
      </x:c>
      <x:c r="N1227" t="str">
        <x:v>Generic Ingredient 164</x:v>
      </x:c>
      <x:c r="O1227" t="str">
        <x:v>General Sale</x:v>
      </x:c>
      <x:c r="P1227" t="n">
        <x:v>70</x:v>
      </x:c>
      <x:c r="Q1227" t="n">
        <x:v>26</x:v>
      </x:c>
      <x:c r="R1227" t="n">
        <x:v>13</x:v>
      </x:c>
      <x:c r="S1227" s="12" t="n">
        <x:f>E1227*Q1227</x:f>
        <x:v>268.84</x:v>
      </x:c>
      <x:c r="T1227" s="12" t="n">
        <x:f>ROUND(S1227*F1227+0.000000001,2)</x:f>
        <x:v>88.45</x:v>
      </x:c>
      <x:c r="U1227" s="12" t="n">
        <x:f>E1227*R1227</x:f>
        <x:v>134.42</x:v>
      </x:c>
      <x:c r="V1227" t="str">
        <x:f>IF(AND(C1227="Active",Q1227=0),"Active Zero Sales","Not Zero Sales")</x:f>
        <x:v>Not Zero Sales</x:v>
      </x:c>
      <x:c r="W1227" s="12" t="n">
        <x:f>IF(V1227="Active Zero Sales",U1227,0)</x:f>
        <x:v>0</x:v>
      </x:c>
      <x:c r="X1227" t="str">
        <x:f>IF(E1227&lt;25,"Low &lt; 25",IF(E1227&lt;100,"Medium 25-99",IF(E1227&lt;300,"High 100-299","Premium 300+")))</x:f>
        <x:v>Low &lt; 25</x:v>
      </x:c>
      <x:c r="Y1227" t="n">
        <x:f>IF(C1227="Active",1,0)</x:f>
        <x:v>1</x:v>
      </x:c>
    </x:row>
    <x:row r="1228">
      <x:c r="A1228" t="str">
        <x:v>SKU01227</x:v>
      </x:c>
      <x:c r="B1228" t="str">
        <x:v>Sample Product 01227</x:v>
      </x:c>
      <x:c r="C1228" t="str">
        <x:v>Active</x:v>
      </x:c>
      <x:c r="D1228" t="str">
        <x:v>2026-02</x:v>
      </x:c>
      <x:c r="E1228" s="12" t="n">
        <x:v>11.83</x:v>
      </x:c>
      <x:c r="F1228" s="10" t="n">
        <x:v>0.499</x:v>
      </x:c>
      <x:c r="G1228" t="str">
        <x:v>OTC &amp; Wellness</x:v>
      </x:c>
      <x:c r="H1228" t="str">
        <x:v>Cold &amp; Allergy</x:v>
      </x:c>
      <x:c r="I1228" t="str">
        <x:v>MFG016</x:v>
      </x:c>
      <x:c r="J1228" t="str">
        <x:v>Manufacturer 016</x:v>
      </x:c>
      <x:c r="K1228" t="str">
        <x:v>SUP029</x:v>
      </x:c>
      <x:c r="L1228" t="str">
        <x:v>Supplier 029</x:v>
      </x:c>
      <x:c r="M1228" t="str">
        <x:v>REG-925314</x:v>
      </x:c>
      <x:c r="N1228" t="str">
        <x:v>Generic Ingredient 123</x:v>
      </x:c>
      <x:c r="O1228" t="str">
        <x:v>General Sale</x:v>
      </x:c>
      <x:c r="P1228" t="n">
        <x:v>14</x:v>
      </x:c>
      <x:c r="Q1228" t="n">
        <x:v>6</x:v>
      </x:c>
      <x:c r="R1228" t="n">
        <x:v>17</x:v>
      </x:c>
      <x:c r="S1228" s="12" t="n">
        <x:f>E1228*Q1228</x:f>
        <x:v>70.98</x:v>
      </x:c>
      <x:c r="T1228" s="12" t="n">
        <x:f>ROUND(S1228*F1228+0.000000001,2)</x:f>
        <x:v>35.42</x:v>
      </x:c>
      <x:c r="U1228" s="12" t="n">
        <x:f>E1228*R1228</x:f>
        <x:v>201.11</x:v>
      </x:c>
      <x:c r="V1228" t="str">
        <x:f>IF(AND(C1228="Active",Q1228=0),"Active Zero Sales","Not Zero Sales")</x:f>
        <x:v>Not Zero Sales</x:v>
      </x:c>
      <x:c r="W1228" s="12" t="n">
        <x:f>IF(V1228="Active Zero Sales",U1228,0)</x:f>
        <x:v>0</x:v>
      </x:c>
      <x:c r="X1228" t="str">
        <x:f>IF(E1228&lt;25,"Low &lt; 25",IF(E1228&lt;100,"Medium 25-99",IF(E1228&lt;300,"High 100-299","Premium 300+")))</x:f>
        <x:v>Low &lt; 25</x:v>
      </x:c>
      <x:c r="Y1228" t="n">
        <x:f>IF(C1228="Active",1,0)</x:f>
        <x:v>1</x:v>
      </x:c>
    </x:row>
    <x:row r="1229">
      <x:c r="A1229" t="str">
        <x:v>SKU01228</x:v>
      </x:c>
      <x:c r="B1229" t="str">
        <x:v>Sample Product 01228</x:v>
      </x:c>
      <x:c r="C1229" t="str">
        <x:v>Active</x:v>
      </x:c>
      <x:c r="D1229" t="str">
        <x:v>2026-06</x:v>
      </x:c>
      <x:c r="E1229" s="12" t="n">
        <x:v>51.13</x:v>
      </x:c>
      <x:c r="F1229" s="10" t="n">
        <x:v>0.381</x:v>
      </x:c>
      <x:c r="G1229" t="str">
        <x:v>OTC &amp; Wellness</x:v>
      </x:c>
      <x:c r="H1229" t="str">
        <x:v>Digestive Care</x:v>
      </x:c>
      <x:c r="I1229" t="str">
        <x:v>MFG004</x:v>
      </x:c>
      <x:c r="J1229" t="str">
        <x:v>Manufacturer 004</x:v>
      </x:c>
      <x:c r="K1229" t="str">
        <x:v>SUP015</x:v>
      </x:c>
      <x:c r="L1229" t="str">
        <x:v>Supplier 015</x:v>
      </x:c>
      <x:c r="M1229" t="str">
        <x:v>REG-429763</x:v>
      </x:c>
      <x:c r="N1229" t="str">
        <x:v>Generic Ingredient 044</x:v>
      </x:c>
      <x:c r="O1229" t="str">
        <x:v>General Sale</x:v>
      </x:c>
      <x:c r="P1229" t="n">
        <x:v>69</x:v>
      </x:c>
      <x:c r="Q1229" t="n">
        <x:v>21</x:v>
      </x:c>
      <x:c r="R1229" t="n">
        <x:v>0</x:v>
      </x:c>
      <x:c r="S1229" s="12" t="n">
        <x:f>E1229*Q1229</x:f>
        <x:v>1073.73</x:v>
      </x:c>
      <x:c r="T1229" s="12" t="n">
        <x:f>ROUND(S1229*F1229+0.000000001,2)</x:f>
        <x:v>409.09</x:v>
      </x:c>
      <x:c r="U1229" s="12" t="n">
        <x:f>E1229*R1229</x:f>
        <x:v>0</x:v>
      </x:c>
      <x:c r="V1229" t="str">
        <x:f>IF(AND(C1229="Active",Q1229=0),"Active Zero Sales","Not Zero Sales")</x:f>
        <x:v>Not Zero Sales</x:v>
      </x:c>
      <x:c r="W1229" s="12" t="n">
        <x:f>IF(V1229="Active Zero Sales",U1229,0)</x:f>
        <x:v>0</x:v>
      </x:c>
      <x:c r="X1229" t="str">
        <x:f>IF(E1229&lt;25,"Low &lt; 25",IF(E1229&lt;100,"Medium 25-99",IF(E1229&lt;300,"High 100-299","Premium 300+")))</x:f>
        <x:v>Medium 25-99</x:v>
      </x:c>
      <x:c r="Y1229" t="n">
        <x:f>IF(C1229="Active",1,0)</x:f>
        <x:v>1</x:v>
      </x:c>
    </x:row>
    <x:row r="1230">
      <x:c r="A1230" t="str">
        <x:v>SKU01229</x:v>
      </x:c>
      <x:c r="B1230" t="str">
        <x:v>Sample Product 01229</x:v>
      </x:c>
      <x:c r="C1230" t="str">
        <x:v>Blocked</x:v>
      </x:c>
      <x:c r="D1230" t="str">
        <x:v>2026-04</x:v>
      </x:c>
      <x:c r="E1230" s="12" t="n">
        <x:v>16.6</x:v>
      </x:c>
      <x:c r="F1230" s="10" t="n">
        <x:v>0.297</x:v>
      </x:c>
      <x:c r="G1230" t="str">
        <x:v>Personal Care</x:v>
      </x:c>
      <x:c r="H1230" t="str">
        <x:v>Hygiene</x:v>
      </x:c>
      <x:c r="I1230" t="str">
        <x:v>MFG002</x:v>
      </x:c>
      <x:c r="J1230" t="str">
        <x:v>Manufacturer 002</x:v>
      </x:c>
      <x:c r="K1230" t="str">
        <x:v>SUP013</x:v>
      </x:c>
      <x:c r="L1230" t="str">
        <x:v>Supplier 013</x:v>
      </x:c>
      <x:c r="M1230" t="str">
        <x:v>REG-384060</x:v>
      </x:c>
      <x:c r="N1230" t="str">
        <x:v>Generic Ingredient 105</x:v>
      </x:c>
      <x:c r="O1230" t="str">
        <x:v>Pharmacy Only</x:v>
      </x:c>
      <x:c r="P1230" t="n">
        <x:v>35</x:v>
      </x:c>
      <x:c r="Q1230" t="n">
        <x:v>0</x:v>
      </x:c>
      <x:c r="R1230" t="n">
        <x:v>0</x:v>
      </x:c>
      <x:c r="S1230" s="12" t="n">
        <x:f>E1230*Q1230</x:f>
        <x:v>0</x:v>
      </x:c>
      <x:c r="T1230" s="12" t="n">
        <x:f>ROUND(S1230*F1230+0.000000001,2)</x:f>
        <x:v>0</x:v>
      </x:c>
      <x:c r="U1230" s="12" t="n">
        <x:f>E1230*R1230</x:f>
        <x:v>0</x:v>
      </x:c>
      <x:c r="V1230" t="str">
        <x:f>IF(AND(C1230="Active",Q1230=0),"Active Zero Sales","Not Zero Sales")</x:f>
        <x:v>Not Zero Sales</x:v>
      </x:c>
      <x:c r="W1230" s="12" t="n">
        <x:f>IF(V1230="Active Zero Sales",U1230,0)</x:f>
        <x:v>0</x:v>
      </x:c>
      <x:c r="X1230" t="str">
        <x:f>IF(E1230&lt;25,"Low &lt; 25",IF(E1230&lt;100,"Medium 25-99",IF(E1230&lt;300,"High 100-299","Premium 300+")))</x:f>
        <x:v>Low &lt; 25</x:v>
      </x:c>
      <x:c r="Y1230" t="n">
        <x:f>IF(C1230="Active",1,0)</x:f>
        <x:v>0</x:v>
      </x:c>
    </x:row>
    <x:row r="1231">
      <x:c r="A1231" t="str">
        <x:v>SKU01230</x:v>
      </x:c>
      <x:c r="B1231" t="str">
        <x:v>Sample Product 01230</x:v>
      </x:c>
      <x:c r="C1231" t="str">
        <x:v>Active</x:v>
      </x:c>
      <x:c r="D1231" t="str">
        <x:v>2026-04</x:v>
      </x:c>
      <x:c r="E1231" s="12" t="n">
        <x:v>23.7</x:v>
      </x:c>
      <x:c r="F1231" s="10" t="n">
        <x:v>0.271</x:v>
      </x:c>
      <x:c r="G1231" t="str">
        <x:v>Nutrition</x:v>
      </x:c>
      <x:c r="H1231" t="str">
        <x:v>Hydration</x:v>
      </x:c>
      <x:c r="I1231" t="str">
        <x:v>MFG020</x:v>
      </x:c>
      <x:c r="J1231" t="str">
        <x:v>Manufacturer 020</x:v>
      </x:c>
      <x:c r="K1231" t="str">
        <x:v>SUP008</x:v>
      </x:c>
      <x:c r="L1231" t="str">
        <x:v>Supplier 008</x:v>
      </x:c>
      <x:c r="M1231" t="str">
        <x:v>REG-661637</x:v>
      </x:c>
      <x:c r="N1231" t="str">
        <x:v>Generic Ingredient 026</x:v>
      </x:c>
      <x:c r="O1231" t="str">
        <x:v>General Sale</x:v>
      </x:c>
      <x:c r="P1231" t="n">
        <x:v>73</x:v>
      </x:c>
      <x:c r="Q1231" t="n">
        <x:v>15</x:v>
      </x:c>
      <x:c r="R1231" t="n">
        <x:v>10</x:v>
      </x:c>
      <x:c r="S1231" s="12" t="n">
        <x:f>E1231*Q1231</x:f>
        <x:v>355.5</x:v>
      </x:c>
      <x:c r="T1231" s="12" t="n">
        <x:f>ROUND(S1231*F1231+0.000000001,2)</x:f>
        <x:v>96.34</x:v>
      </x:c>
      <x:c r="U1231" s="12" t="n">
        <x:f>E1231*R1231</x:f>
        <x:v>237</x:v>
      </x:c>
      <x:c r="V1231" t="str">
        <x:f>IF(AND(C1231="Active",Q1231=0),"Active Zero Sales","Not Zero Sales")</x:f>
        <x:v>Not Zero Sales</x:v>
      </x:c>
      <x:c r="W1231" s="12" t="n">
        <x:f>IF(V1231="Active Zero Sales",U1231,0)</x:f>
        <x:v>0</x:v>
      </x:c>
      <x:c r="X1231" t="str">
        <x:f>IF(E1231&lt;25,"Low &lt; 25",IF(E1231&lt;100,"Medium 25-99",IF(E1231&lt;300,"High 100-299","Premium 300+")))</x:f>
        <x:v>Low &lt; 25</x:v>
      </x:c>
      <x:c r="Y1231" t="n">
        <x:f>IF(C1231="Active",1,0)</x:f>
        <x:v>1</x:v>
      </x:c>
    </x:row>
    <x:row r="1232">
      <x:c r="A1232" t="str">
        <x:v>SKU01231</x:v>
      </x:c>
      <x:c r="B1232" t="str">
        <x:v>Sample Product 01231</x:v>
      </x:c>
      <x:c r="C1232" t="str">
        <x:v>Blocked</x:v>
      </x:c>
      <x:c r="D1232" t="str">
        <x:v>2026-06</x:v>
      </x:c>
      <x:c r="E1232" s="12" t="n">
        <x:v>55.62</x:v>
      </x:c>
      <x:c r="F1232" s="10" t="n">
        <x:v>0.259</x:v>
      </x:c>
      <x:c r="G1232" t="str">
        <x:v>Nutrition</x:v>
      </x:c>
      <x:c r="H1232" t="str">
        <x:v>Adult Nutrition</x:v>
      </x:c>
      <x:c r="I1232" t="str">
        <x:v>MFG012</x:v>
      </x:c>
      <x:c r="J1232" t="str">
        <x:v>Manufacturer 012</x:v>
      </x:c>
      <x:c r="K1232" t="str">
        <x:v>SUP028</x:v>
      </x:c>
      <x:c r="L1232" t="str">
        <x:v>Supplier 028</x:v>
      </x:c>
      <x:c r="M1232" t="str">
        <x:v>REG-382454</x:v>
      </x:c>
      <x:c r="N1232" t="str">
        <x:v>Generic Ingredient 134</x:v>
      </x:c>
      <x:c r="O1232" t="str">
        <x:v>Pharmacy Only</x:v>
      </x:c>
      <x:c r="P1232" t="n">
        <x:v>29</x:v>
      </x:c>
      <x:c r="Q1232" t="n">
        <x:v>0</x:v>
      </x:c>
      <x:c r="R1232" t="n">
        <x:v>8</x:v>
      </x:c>
      <x:c r="S1232" s="12" t="n">
        <x:f>E1232*Q1232</x:f>
        <x:v>0</x:v>
      </x:c>
      <x:c r="T1232" s="12" t="n">
        <x:f>ROUND(S1232*F1232+0.000000001,2)</x:f>
        <x:v>0</x:v>
      </x:c>
      <x:c r="U1232" s="12" t="n">
        <x:f>E1232*R1232</x:f>
        <x:v>444.96</x:v>
      </x:c>
      <x:c r="V1232" t="str">
        <x:f>IF(AND(C1232="Active",Q1232=0),"Active Zero Sales","Not Zero Sales")</x:f>
        <x:v>Not Zero Sales</x:v>
      </x:c>
      <x:c r="W1232" s="12" t="n">
        <x:f>IF(V1232="Active Zero Sales",U1232,0)</x:f>
        <x:v>0</x:v>
      </x:c>
      <x:c r="X1232" t="str">
        <x:f>IF(E1232&lt;25,"Low &lt; 25",IF(E1232&lt;100,"Medium 25-99",IF(E1232&lt;300,"High 100-299","Premium 300+")))</x:f>
        <x:v>Medium 25-99</x:v>
      </x:c>
      <x:c r="Y1232" t="n">
        <x:f>IF(C1232="Active",1,0)</x:f>
        <x:v>0</x:v>
      </x:c>
    </x:row>
    <x:row r="1233">
      <x:c r="A1233" t="str">
        <x:v>SKU01232</x:v>
      </x:c>
      <x:c r="B1233" t="str">
        <x:v>Sample Product 01232</x:v>
      </x:c>
      <x:c r="C1233" t="str">
        <x:v>Active</x:v>
      </x:c>
      <x:c r="D1233" t="str">
        <x:v>2026-04</x:v>
      </x:c>
      <x:c r="E1233" s="12" t="n">
        <x:v>23.91</x:v>
      </x:c>
      <x:c r="F1233" s="10" t="n">
        <x:v>0.325</x:v>
      </x:c>
      <x:c r="G1233" t="str">
        <x:v>Personal Care</x:v>
      </x:c>
      <x:c r="H1233" t="str">
        <x:v>Skin Care</x:v>
      </x:c>
      <x:c r="I1233" t="str">
        <x:v>MFG005</x:v>
      </x:c>
      <x:c r="J1233" t="str">
        <x:v>Manufacturer 005</x:v>
      </x:c>
      <x:c r="K1233" t="str">
        <x:v>SUP024</x:v>
      </x:c>
      <x:c r="L1233" t="str">
        <x:v>Supplier 024</x:v>
      </x:c>
      <x:c r="M1233" t="str">
        <x:v>REG-526827</x:v>
      </x:c>
      <x:c r="N1233" t="str">
        <x:v>Generic Ingredient 044</x:v>
      </x:c>
      <x:c r="O1233" t="str">
        <x:v>General Sale</x:v>
      </x:c>
      <x:c r="P1233" t="n">
        <x:v>115</x:v>
      </x:c>
      <x:c r="Q1233" t="n">
        <x:v>43</x:v>
      </x:c>
      <x:c r="R1233" t="n">
        <x:v>46</x:v>
      </x:c>
      <x:c r="S1233" s="12" t="n">
        <x:f>E1233*Q1233</x:f>
        <x:v>1028.13</x:v>
      </x:c>
      <x:c r="T1233" s="12" t="n">
        <x:f>ROUND(S1233*F1233+0.000000001,2)</x:f>
        <x:v>334.14</x:v>
      </x:c>
      <x:c r="U1233" s="12" t="n">
        <x:f>E1233*R1233</x:f>
        <x:v>1099.86</x:v>
      </x:c>
      <x:c r="V1233" t="str">
        <x:f>IF(AND(C1233="Active",Q1233=0),"Active Zero Sales","Not Zero Sales")</x:f>
        <x:v>Not Zero Sales</x:v>
      </x:c>
      <x:c r="W1233" s="12" t="n">
        <x:f>IF(V1233="Active Zero Sales",U1233,0)</x:f>
        <x:v>0</x:v>
      </x:c>
      <x:c r="X1233" t="str">
        <x:f>IF(E1233&lt;25,"Low &lt; 25",IF(E1233&lt;100,"Medium 25-99",IF(E1233&lt;300,"High 100-299","Premium 300+")))</x:f>
        <x:v>Low &lt; 25</x:v>
      </x:c>
      <x:c r="Y1233" t="n">
        <x:f>IF(C1233="Active",1,0)</x:f>
        <x:v>1</x:v>
      </x:c>
    </x:row>
    <x:row r="1234">
      <x:c r="A1234" t="str">
        <x:v>SKU01233</x:v>
      </x:c>
      <x:c r="B1234" t="str">
        <x:v>Sample Product 01233</x:v>
      </x:c>
      <x:c r="C1234" t="str">
        <x:v>Blocked</x:v>
      </x:c>
      <x:c r="D1234" t="str">
        <x:v>2026-04</x:v>
      </x:c>
      <x:c r="E1234" s="12" t="n">
        <x:v>83.66</x:v>
      </x:c>
      <x:c r="F1234" s="10" t="n">
        <x:v>0.269</x:v>
      </x:c>
      <x:c r="G1234" t="str">
        <x:v>Medical Devices</x:v>
      </x:c>
      <x:c r="H1234" t="str">
        <x:v>Monitoring Supplies</x:v>
      </x:c>
      <x:c r="I1234" t="str">
        <x:v>MFG013</x:v>
      </x:c>
      <x:c r="J1234" t="str">
        <x:v>Manufacturer 013</x:v>
      </x:c>
      <x:c r="K1234" t="str">
        <x:v>SUP015</x:v>
      </x:c>
      <x:c r="L1234" t="str">
        <x:v>Supplier 015</x:v>
      </x:c>
      <x:c r="M1234" t="str">
        <x:v>REG-272070</x:v>
      </x:c>
      <x:c r="N1234" t="str">
        <x:v>Generic Ingredient 018</x:v>
      </x:c>
      <x:c r="O1234" t="str">
        <x:v>General Sale</x:v>
      </x:c>
      <x:c r="P1234" t="n">
        <x:v>21</x:v>
      </x:c>
      <x:c r="Q1234" t="n">
        <x:v>0</x:v>
      </x:c>
      <x:c r="R1234" t="n">
        <x:v>0</x:v>
      </x:c>
      <x:c r="S1234" s="12" t="n">
        <x:f>E1234*Q1234</x:f>
        <x:v>0</x:v>
      </x:c>
      <x:c r="T1234" s="12" t="n">
        <x:f>ROUND(S1234*F1234+0.000000001,2)</x:f>
        <x:v>0</x:v>
      </x:c>
      <x:c r="U1234" s="12" t="n">
        <x:f>E1234*R1234</x:f>
        <x:v>0</x:v>
      </x:c>
      <x:c r="V1234" t="str">
        <x:f>IF(AND(C1234="Active",Q1234=0),"Active Zero Sales","Not Zero Sales")</x:f>
        <x:v>Not Zero Sales</x:v>
      </x:c>
      <x:c r="W1234" s="12" t="n">
        <x:f>IF(V1234="Active Zero Sales",U1234,0)</x:f>
        <x:v>0</x:v>
      </x:c>
      <x:c r="X1234" t="str">
        <x:f>IF(E1234&lt;25,"Low &lt; 25",IF(E1234&lt;100,"Medium 25-99",IF(E1234&lt;300,"High 100-299","Premium 300+")))</x:f>
        <x:v>Medium 25-99</x:v>
      </x:c>
      <x:c r="Y1234" t="n">
        <x:f>IF(C1234="Active",1,0)</x:f>
        <x:v>0</x:v>
      </x:c>
    </x:row>
    <x:row r="1235">
      <x:c r="A1235" t="str">
        <x:v>SKU01234</x:v>
      </x:c>
      <x:c r="B1235" t="str">
        <x:v>Sample Product 01234</x:v>
      </x:c>
      <x:c r="C1235" t="str">
        <x:v>Active</x:v>
      </x:c>
      <x:c r="D1235" t="str">
        <x:v>2026-06</x:v>
      </x:c>
      <x:c r="E1235" s="12" t="n">
        <x:v>55.38</x:v>
      </x:c>
      <x:c r="F1235" s="10" t="n">
        <x:v>0.273</x:v>
      </x:c>
      <x:c r="G1235" t="str">
        <x:v>Nutrition</x:v>
      </x:c>
      <x:c r="H1235" t="str">
        <x:v>Adult Nutrition</x:v>
      </x:c>
      <x:c r="I1235" t="str">
        <x:v>MFG014</x:v>
      </x:c>
      <x:c r="J1235" t="str">
        <x:v>Manufacturer 014</x:v>
      </x:c>
      <x:c r="K1235" t="str">
        <x:v>SUP004</x:v>
      </x:c>
      <x:c r="L1235" t="str">
        <x:v>Supplier 004</x:v>
      </x:c>
      <x:c r="M1235" t="str">
        <x:v>REG-449944</x:v>
      </x:c>
      <x:c r="N1235" t="str">
        <x:v>Generic Ingredient 080</x:v>
      </x:c>
      <x:c r="O1235" t="str">
        <x:v>General Sale</x:v>
      </x:c>
      <x:c r="P1235" t="n">
        <x:v>27</x:v>
      </x:c>
      <x:c r="Q1235" t="n">
        <x:v>0</x:v>
      </x:c>
      <x:c r="R1235" t="n">
        <x:v>6</x:v>
      </x:c>
      <x:c r="S1235" s="12" t="n">
        <x:f>E1235*Q1235</x:f>
        <x:v>0</x:v>
      </x:c>
      <x:c r="T1235" s="12" t="n">
        <x:f>ROUND(S1235*F1235+0.000000001,2)</x:f>
        <x:v>0</x:v>
      </x:c>
      <x:c r="U1235" s="12" t="n">
        <x:f>E1235*R1235</x:f>
        <x:v>332.28000000000003</x:v>
      </x:c>
      <x:c r="V1235" t="str">
        <x:f>IF(AND(C1235="Active",Q1235=0),"Active Zero Sales","Not Zero Sales")</x:f>
        <x:v>Active Zero Sales</x:v>
      </x:c>
      <x:c r="W1235" s="12" t="n">
        <x:f>IF(V1235="Active Zero Sales",U1235,0)</x:f>
        <x:v>332.28000000000003</x:v>
      </x:c>
      <x:c r="X1235" t="str">
        <x:f>IF(E1235&lt;25,"Low &lt; 25",IF(E1235&lt;100,"Medium 25-99",IF(E1235&lt;300,"High 100-299","Premium 300+")))</x:f>
        <x:v>Medium 25-99</x:v>
      </x:c>
      <x:c r="Y1235" t="n">
        <x:f>IF(C1235="Active",1,0)</x:f>
        <x:v>1</x:v>
      </x:c>
    </x:row>
    <x:row r="1236">
      <x:c r="A1236" t="str">
        <x:v>SKU01235</x:v>
      </x:c>
      <x:c r="B1236" t="str">
        <x:v>Sample Product 01235</x:v>
      </x:c>
      <x:c r="C1236" t="str">
        <x:v>Active</x:v>
      </x:c>
      <x:c r="D1236" t="str">
        <x:v>2026-05</x:v>
      </x:c>
      <x:c r="E1236" s="12" t="n">
        <x:v>22.87</x:v>
      </x:c>
      <x:c r="F1236" s="10" t="n">
        <x:v>0.22</x:v>
      </x:c>
      <x:c r="G1236" t="str">
        <x:v>Medical Devices</x:v>
      </x:c>
      <x:c r="H1236" t="str">
        <x:v>First Aid</x:v>
      </x:c>
      <x:c r="I1236" t="str">
        <x:v>MFG018</x:v>
      </x:c>
      <x:c r="J1236" t="str">
        <x:v>Manufacturer 018</x:v>
      </x:c>
      <x:c r="K1236" t="str">
        <x:v>SUP007</x:v>
      </x:c>
      <x:c r="L1236" t="str">
        <x:v>Supplier 007</x:v>
      </x:c>
      <x:c r="M1236" t="str">
        <x:v>REG-288667</x:v>
      </x:c>
      <x:c r="N1236" t="str">
        <x:v>Generic Ingredient 016</x:v>
      </x:c>
      <x:c r="O1236" t="str">
        <x:v>General Sale</x:v>
      </x:c>
      <x:c r="P1236" t="n">
        <x:v>74</x:v>
      </x:c>
      <x:c r="Q1236" t="n">
        <x:v>40</x:v>
      </x:c>
      <x:c r="R1236" t="n">
        <x:v>20</x:v>
      </x:c>
      <x:c r="S1236" s="12" t="n">
        <x:f>E1236*Q1236</x:f>
        <x:v>914.8000000000001</x:v>
      </x:c>
      <x:c r="T1236" s="12" t="n">
        <x:f>ROUND(S1236*F1236+0.000000001,2)</x:f>
        <x:v>201.26</x:v>
      </x:c>
      <x:c r="U1236" s="12" t="n">
        <x:f>E1236*R1236</x:f>
        <x:v>457.40000000000003</x:v>
      </x:c>
      <x:c r="V1236" t="str">
        <x:f>IF(AND(C1236="Active",Q1236=0),"Active Zero Sales","Not Zero Sales")</x:f>
        <x:v>Not Zero Sales</x:v>
      </x:c>
      <x:c r="W1236" s="12" t="n">
        <x:f>IF(V1236="Active Zero Sales",U1236,0)</x:f>
        <x:v>0</x:v>
      </x:c>
      <x:c r="X1236" t="str">
        <x:f>IF(E1236&lt;25,"Low &lt; 25",IF(E1236&lt;100,"Medium 25-99",IF(E1236&lt;300,"High 100-299","Premium 300+")))</x:f>
        <x:v>Low &lt; 25</x:v>
      </x:c>
      <x:c r="Y1236" t="n">
        <x:f>IF(C1236="Active",1,0)</x:f>
        <x:v>1</x:v>
      </x:c>
    </x:row>
    <x:row r="1237">
      <x:c r="A1237" t="str">
        <x:v>SKU01236</x:v>
      </x:c>
      <x:c r="B1237" t="str">
        <x:v>Sample Product 01236</x:v>
      </x:c>
      <x:c r="C1237" t="str">
        <x:v>Blocked</x:v>
      </x:c>
      <x:c r="D1237" t="str">
        <x:v>2026-01</x:v>
      </x:c>
      <x:c r="E1237" s="12" t="n">
        <x:v>10.09</x:v>
      </x:c>
      <x:c r="F1237" s="10" t="n">
        <x:v>0.435</x:v>
      </x:c>
      <x:c r="G1237" t="str">
        <x:v>General Merchandise</x:v>
      </x:c>
      <x:c r="H1237" t="str">
        <x:v>Travel Health</x:v>
      </x:c>
      <x:c r="I1237" t="str">
        <x:v>MFG017</x:v>
      </x:c>
      <x:c r="J1237" t="str">
        <x:v>Manufacturer 017</x:v>
      </x:c>
      <x:c r="K1237" t="str">
        <x:v>SUP019</x:v>
      </x:c>
      <x:c r="L1237" t="str">
        <x:v>Supplier 019</x:v>
      </x:c>
      <x:c r="M1237" t="str">
        <x:v>REG-146305</x:v>
      </x:c>
      <x:c r="N1237" t="str">
        <x:v>Generic Ingredient 175</x:v>
      </x:c>
      <x:c r="O1237" t="str">
        <x:v>General Sale</x:v>
      </x:c>
      <x:c r="P1237" t="n">
        <x:v>0</x:v>
      </x:c>
      <x:c r="Q1237" t="n">
        <x:v>0</x:v>
      </x:c>
      <x:c r="R1237" t="n">
        <x:v>0</x:v>
      </x:c>
      <x:c r="S1237" s="12" t="n">
        <x:f>E1237*Q1237</x:f>
        <x:v>0</x:v>
      </x:c>
      <x:c r="T1237" s="12" t="n">
        <x:f>ROUND(S1237*F1237+0.000000001,2)</x:f>
        <x:v>0</x:v>
      </x:c>
      <x:c r="U1237" s="12" t="n">
        <x:f>E1237*R1237</x:f>
        <x:v>0</x:v>
      </x:c>
      <x:c r="V1237" t="str">
        <x:f>IF(AND(C1237="Active",Q1237=0),"Active Zero Sales","Not Zero Sales")</x:f>
        <x:v>Not Zero Sales</x:v>
      </x:c>
      <x:c r="W1237" s="12" t="n">
        <x:f>IF(V1237="Active Zero Sales",U1237,0)</x:f>
        <x:v>0</x:v>
      </x:c>
      <x:c r="X1237" t="str">
        <x:f>IF(E1237&lt;25,"Low &lt; 25",IF(E1237&lt;100,"Medium 25-99",IF(E1237&lt;300,"High 100-299","Premium 300+")))</x:f>
        <x:v>Low &lt; 25</x:v>
      </x:c>
      <x:c r="Y1237" t="n">
        <x:f>IF(C1237="Active",1,0)</x:f>
        <x:v>0</x:v>
      </x:c>
    </x:row>
    <x:row r="1238">
      <x:c r="A1238" t="str">
        <x:v>SKU01237</x:v>
      </x:c>
      <x:c r="B1238" t="str">
        <x:v>Sample Product 01237</x:v>
      </x:c>
      <x:c r="C1238" t="str">
        <x:v>Active</x:v>
      </x:c>
      <x:c r="D1238" t="str">
        <x:v>2026-06</x:v>
      </x:c>
      <x:c r="E1238" s="12" t="n">
        <x:v>13</x:v>
      </x:c>
      <x:c r="F1238" s="10" t="n">
        <x:v>0.43</x:v>
      </x:c>
      <x:c r="G1238" t="str">
        <x:v>Medical Devices</x:v>
      </x:c>
      <x:c r="H1238" t="str">
        <x:v>Home Diagnostics</x:v>
      </x:c>
      <x:c r="I1238" t="str">
        <x:v>MFG001</x:v>
      </x:c>
      <x:c r="J1238" t="str">
        <x:v>Manufacturer 001</x:v>
      </x:c>
      <x:c r="K1238" t="str">
        <x:v>SUP003</x:v>
      </x:c>
      <x:c r="L1238" t="str">
        <x:v>Supplier 003</x:v>
      </x:c>
      <x:c r="M1238" t="str">
        <x:v>REG-485387</x:v>
      </x:c>
      <x:c r="N1238" t="str">
        <x:v>Generic Ingredient 146</x:v>
      </x:c>
      <x:c r="O1238" t="str">
        <x:v>General Sale</x:v>
      </x:c>
      <x:c r="P1238" t="n">
        <x:v>12</x:v>
      </x:c>
      <x:c r="Q1238" t="n">
        <x:v>22</x:v>
      </x:c>
      <x:c r="R1238" t="n">
        <x:v>0</x:v>
      </x:c>
      <x:c r="S1238" s="12" t="n">
        <x:f>E1238*Q1238</x:f>
        <x:v>286</x:v>
      </x:c>
      <x:c r="T1238" s="12" t="n">
        <x:f>ROUND(S1238*F1238+0.000000001,2)</x:f>
        <x:v>122.98</x:v>
      </x:c>
      <x:c r="U1238" s="12" t="n">
        <x:f>E1238*R1238</x:f>
        <x:v>0</x:v>
      </x:c>
      <x:c r="V1238" t="str">
        <x:f>IF(AND(C1238="Active",Q1238=0),"Active Zero Sales","Not Zero Sales")</x:f>
        <x:v>Not Zero Sales</x:v>
      </x:c>
      <x:c r="W1238" s="12" t="n">
        <x:f>IF(V1238="Active Zero Sales",U1238,0)</x:f>
        <x:v>0</x:v>
      </x:c>
      <x:c r="X1238" t="str">
        <x:f>IF(E1238&lt;25,"Low &lt; 25",IF(E1238&lt;100,"Medium 25-99",IF(E1238&lt;300,"High 100-299","Premium 300+")))</x:f>
        <x:v>Low &lt; 25</x:v>
      </x:c>
      <x:c r="Y1238" t="n">
        <x:f>IF(C1238="Active",1,0)</x:f>
        <x:v>1</x:v>
      </x:c>
    </x:row>
    <x:row r="1239">
      <x:c r="A1239" t="str">
        <x:v>SKU01238</x:v>
      </x:c>
      <x:c r="B1239" t="str">
        <x:v>Sample Product 01238</x:v>
      </x:c>
      <x:c r="C1239" t="str">
        <x:v>Active</x:v>
      </x:c>
      <x:c r="D1239" t="str">
        <x:v>2026-03</x:v>
      </x:c>
      <x:c r="E1239" s="12" t="n">
        <x:v>9.6</x:v>
      </x:c>
      <x:c r="F1239" s="10" t="n">
        <x:v>0.292</x:v>
      </x:c>
      <x:c r="G1239" t="str">
        <x:v>Personal Care</x:v>
      </x:c>
      <x:c r="H1239" t="str">
        <x:v>Hygiene</x:v>
      </x:c>
      <x:c r="I1239" t="str">
        <x:v>MFG002</x:v>
      </x:c>
      <x:c r="J1239" t="str">
        <x:v>Manufacturer 002</x:v>
      </x:c>
      <x:c r="K1239" t="str">
        <x:v>SUP020</x:v>
      </x:c>
      <x:c r="L1239" t="str">
        <x:v>Supplier 020</x:v>
      </x:c>
      <x:c r="M1239" t="str">
        <x:v>REG-445325</x:v>
      </x:c>
      <x:c r="N1239" t="str">
        <x:v>Generic Ingredient 158</x:v>
      </x:c>
      <x:c r="O1239" t="str">
        <x:v>General Sale</x:v>
      </x:c>
      <x:c r="P1239" t="n">
        <x:v>81</x:v>
      </x:c>
      <x:c r="Q1239" t="n">
        <x:v>0</x:v>
      </x:c>
      <x:c r="R1239" t="n">
        <x:v>49</x:v>
      </x:c>
      <x:c r="S1239" s="12" t="n">
        <x:f>E1239*Q1239</x:f>
        <x:v>0</x:v>
      </x:c>
      <x:c r="T1239" s="12" t="n">
        <x:f>ROUND(S1239*F1239+0.000000001,2)</x:f>
        <x:v>0</x:v>
      </x:c>
      <x:c r="U1239" s="12" t="n">
        <x:f>E1239*R1239</x:f>
        <x:v>470.4</x:v>
      </x:c>
      <x:c r="V1239" t="str">
        <x:f>IF(AND(C1239="Active",Q1239=0),"Active Zero Sales","Not Zero Sales")</x:f>
        <x:v>Active Zero Sales</x:v>
      </x:c>
      <x:c r="W1239" s="12" t="n">
        <x:f>IF(V1239="Active Zero Sales",U1239,0)</x:f>
        <x:v>470.4</x:v>
      </x:c>
      <x:c r="X1239" t="str">
        <x:f>IF(E1239&lt;25,"Low &lt; 25",IF(E1239&lt;100,"Medium 25-99",IF(E1239&lt;300,"High 100-299","Premium 300+")))</x:f>
        <x:v>Low &lt; 25</x:v>
      </x:c>
      <x:c r="Y1239" t="n">
        <x:f>IF(C1239="Active",1,0)</x:f>
        <x:v>1</x:v>
      </x:c>
    </x:row>
    <x:row r="1240">
      <x:c r="A1240" t="str">
        <x:v>SKU01239</x:v>
      </x:c>
      <x:c r="B1240" t="str">
        <x:v>Sample Product 01239</x:v>
      </x:c>
      <x:c r="C1240" t="str">
        <x:v>Active</x:v>
      </x:c>
      <x:c r="D1240" t="str">
        <x:v>2026-05</x:v>
      </x:c>
      <x:c r="E1240" s="12" t="n">
        <x:v>16.64</x:v>
      </x:c>
      <x:c r="F1240" s="10" t="n">
        <x:v>0.303</x:v>
      </x:c>
      <x:c r="G1240" t="str">
        <x:v>General Merchandise</x:v>
      </x:c>
      <x:c r="H1240" t="str">
        <x:v>Seasonal Care</x:v>
      </x:c>
      <x:c r="I1240" t="str">
        <x:v>MFG015</x:v>
      </x:c>
      <x:c r="J1240" t="str">
        <x:v>Manufacturer 015</x:v>
      </x:c>
      <x:c r="K1240" t="str">
        <x:v>SUP001</x:v>
      </x:c>
      <x:c r="L1240" t="str">
        <x:v>Supplier 001</x:v>
      </x:c>
      <x:c r="M1240" t="str">
        <x:v>REG-636177</x:v>
      </x:c>
      <x:c r="N1240" t="str">
        <x:v>Generic Ingredient 089</x:v>
      </x:c>
      <x:c r="O1240" t="str">
        <x:v>General Sale</x:v>
      </x:c>
      <x:c r="P1240" t="n">
        <x:v>21</x:v>
      </x:c>
      <x:c r="Q1240" t="n">
        <x:v>15</x:v>
      </x:c>
      <x:c r="R1240" t="n">
        <x:v>9</x:v>
      </x:c>
      <x:c r="S1240" s="12" t="n">
        <x:f>E1240*Q1240</x:f>
        <x:v>249.60000000000002</x:v>
      </x:c>
      <x:c r="T1240" s="12" t="n">
        <x:f>ROUND(S1240*F1240+0.000000001,2)</x:f>
        <x:v>75.63</x:v>
      </x:c>
      <x:c r="U1240" s="12" t="n">
        <x:f>E1240*R1240</x:f>
        <x:v>149.76</x:v>
      </x:c>
      <x:c r="V1240" t="str">
        <x:f>IF(AND(C1240="Active",Q1240=0),"Active Zero Sales","Not Zero Sales")</x:f>
        <x:v>Not Zero Sales</x:v>
      </x:c>
      <x:c r="W1240" s="12" t="n">
        <x:f>IF(V1240="Active Zero Sales",U1240,0)</x:f>
        <x:v>0</x:v>
      </x:c>
      <x:c r="X1240" t="str">
        <x:f>IF(E1240&lt;25,"Low &lt; 25",IF(E1240&lt;100,"Medium 25-99",IF(E1240&lt;300,"High 100-299","Premium 300+")))</x:f>
        <x:v>Low &lt; 25</x:v>
      </x:c>
      <x:c r="Y1240" t="n">
        <x:f>IF(C1240="Active",1,0)</x:f>
        <x:v>1</x:v>
      </x:c>
    </x:row>
    <x:row r="1241">
      <x:c r="A1241" t="str">
        <x:v>SKU01240</x:v>
      </x:c>
      <x:c r="B1241" t="str">
        <x:v>Sample Product 01240</x:v>
      </x:c>
      <x:c r="C1241" t="str">
        <x:v>Active</x:v>
      </x:c>
      <x:c r="D1241" t="str">
        <x:v>2026-03</x:v>
      </x:c>
      <x:c r="E1241" s="12" t="n">
        <x:v>18.27</x:v>
      </x:c>
      <x:c r="F1241" s="10" t="n">
        <x:v>0.418</x:v>
      </x:c>
      <x:c r="G1241" t="str">
        <x:v>Personal Care</x:v>
      </x:c>
      <x:c r="H1241" t="str">
        <x:v>Skin Care</x:v>
      </x:c>
      <x:c r="I1241" t="str">
        <x:v>MFG012</x:v>
      </x:c>
      <x:c r="J1241" t="str">
        <x:v>Manufacturer 012</x:v>
      </x:c>
      <x:c r="K1241" t="str">
        <x:v>SUP002</x:v>
      </x:c>
      <x:c r="L1241" t="str">
        <x:v>Supplier 002</x:v>
      </x:c>
      <x:c r="M1241" t="str">
        <x:v>REG-562043</x:v>
      </x:c>
      <x:c r="N1241" t="str">
        <x:v>Generic Ingredient 165</x:v>
      </x:c>
      <x:c r="O1241" t="str">
        <x:v>General Sale</x:v>
      </x:c>
      <x:c r="P1241" t="n">
        <x:v>82</x:v>
      </x:c>
      <x:c r="Q1241" t="n">
        <x:v>48</x:v>
      </x:c>
      <x:c r="R1241" t="n">
        <x:v>27</x:v>
      </x:c>
      <x:c r="S1241" s="12" t="n">
        <x:f>E1241*Q1241</x:f>
        <x:v>876.96</x:v>
      </x:c>
      <x:c r="T1241" s="12" t="n">
        <x:f>ROUND(S1241*F1241+0.000000001,2)</x:f>
        <x:v>366.57</x:v>
      </x:c>
      <x:c r="U1241" s="12" t="n">
        <x:f>E1241*R1241</x:f>
        <x:v>493.28999999999996</x:v>
      </x:c>
      <x:c r="V1241" t="str">
        <x:f>IF(AND(C1241="Active",Q1241=0),"Active Zero Sales","Not Zero Sales")</x:f>
        <x:v>Not Zero Sales</x:v>
      </x:c>
      <x:c r="W1241" s="12" t="n">
        <x:f>IF(V1241="Active Zero Sales",U1241,0)</x:f>
        <x:v>0</x:v>
      </x:c>
      <x:c r="X1241" t="str">
        <x:f>IF(E1241&lt;25,"Low &lt; 25",IF(E1241&lt;100,"Medium 25-99",IF(E1241&lt;300,"High 100-299","Premium 300+")))</x:f>
        <x:v>Low &lt; 25</x:v>
      </x:c>
      <x:c r="Y1241" t="n">
        <x:f>IF(C1241="Active",1,0)</x:f>
        <x:v>1</x:v>
      </x:c>
    </x:row>
    <x:row r="1242">
      <x:c r="A1242" t="str">
        <x:v>SKU01241</x:v>
      </x:c>
      <x:c r="B1242" t="str">
        <x:v>Sample Product 01241</x:v>
      </x:c>
      <x:c r="C1242" t="str">
        <x:v>Active</x:v>
      </x:c>
      <x:c r="D1242" t="str">
        <x:v>2026-06</x:v>
      </x:c>
      <x:c r="E1242" s="12" t="n">
        <x:v>18.27</x:v>
      </x:c>
      <x:c r="F1242" s="10" t="n">
        <x:v>0.39</x:v>
      </x:c>
      <x:c r="G1242" t="str">
        <x:v>Nutrition</x:v>
      </x:c>
      <x:c r="H1242" t="str">
        <x:v>Sports Nutrition</x:v>
      </x:c>
      <x:c r="I1242" t="str">
        <x:v>MFG007</x:v>
      </x:c>
      <x:c r="J1242" t="str">
        <x:v>Manufacturer 007</x:v>
      </x:c>
      <x:c r="K1242" t="str">
        <x:v>SUP005</x:v>
      </x:c>
      <x:c r="L1242" t="str">
        <x:v>Supplier 005</x:v>
      </x:c>
      <x:c r="M1242" t="str">
        <x:v>REG-275072</x:v>
      </x:c>
      <x:c r="N1242" t="str">
        <x:v>Generic Ingredient 156</x:v>
      </x:c>
      <x:c r="O1242" t="str">
        <x:v>General Sale</x:v>
      </x:c>
      <x:c r="P1242" t="n">
        <x:v>33</x:v>
      </x:c>
      <x:c r="Q1242" t="n">
        <x:v>35</x:v>
      </x:c>
      <x:c r="R1242" t="n">
        <x:v>0</x:v>
      </x:c>
      <x:c r="S1242" s="12" t="n">
        <x:f>E1242*Q1242</x:f>
        <x:v>639.4499999999999</x:v>
      </x:c>
      <x:c r="T1242" s="12" t="n">
        <x:f>ROUND(S1242*F1242+0.000000001,2)</x:f>
        <x:v>249.39</x:v>
      </x:c>
      <x:c r="U1242" s="12" t="n">
        <x:f>E1242*R1242</x:f>
        <x:v>0</x:v>
      </x:c>
      <x:c r="V1242" t="str">
        <x:f>IF(AND(C1242="Active",Q1242=0),"Active Zero Sales","Not Zero Sales")</x:f>
        <x:v>Not Zero Sales</x:v>
      </x:c>
      <x:c r="W1242" s="12" t="n">
        <x:f>IF(V1242="Active Zero Sales",U1242,0)</x:f>
        <x:v>0</x:v>
      </x:c>
      <x:c r="X1242" t="str">
        <x:f>IF(E1242&lt;25,"Low &lt; 25",IF(E1242&lt;100,"Medium 25-99",IF(E1242&lt;300,"High 100-299","Premium 300+")))</x:f>
        <x:v>Low &lt; 25</x:v>
      </x:c>
      <x:c r="Y1242" t="n">
        <x:f>IF(C1242="Active",1,0)</x:f>
        <x:v>1</x:v>
      </x:c>
    </x:row>
    <x:row r="1243">
      <x:c r="A1243" t="str">
        <x:v>SKU01242</x:v>
      </x:c>
      <x:c r="B1243" t="str">
        <x:v>Sample Product 01242</x:v>
      </x:c>
      <x:c r="C1243" t="str">
        <x:v>Active</x:v>
      </x:c>
      <x:c r="D1243" t="str">
        <x:v>2026-03</x:v>
      </x:c>
      <x:c r="E1243" s="12" t="n">
        <x:v>6.01</x:v>
      </x:c>
      <x:c r="F1243" s="10" t="n">
        <x:v>0.373</x:v>
      </x:c>
      <x:c r="G1243" t="str">
        <x:v>Medical Devices</x:v>
      </x:c>
      <x:c r="H1243" t="str">
        <x:v>Mobility Aids</x:v>
      </x:c>
      <x:c r="I1243" t="str">
        <x:v>MFG019</x:v>
      </x:c>
      <x:c r="J1243" t="str">
        <x:v>Manufacturer 019</x:v>
      </x:c>
      <x:c r="K1243" t="str">
        <x:v>SUP011</x:v>
      </x:c>
      <x:c r="L1243" t="str">
        <x:v>Supplier 011</x:v>
      </x:c>
      <x:c r="M1243" t="str">
        <x:v>REG-595823</x:v>
      </x:c>
      <x:c r="N1243" t="str">
        <x:v>Generic Ingredient 019</x:v>
      </x:c>
      <x:c r="O1243" t="str">
        <x:v>General Sale</x:v>
      </x:c>
      <x:c r="P1243" t="n">
        <x:v>39</x:v>
      </x:c>
      <x:c r="Q1243" t="n">
        <x:v>13</x:v>
      </x:c>
      <x:c r="R1243" t="n">
        <x:v>17</x:v>
      </x:c>
      <x:c r="S1243" s="12" t="n">
        <x:f>E1243*Q1243</x:f>
        <x:v>78.13</x:v>
      </x:c>
      <x:c r="T1243" s="12" t="n">
        <x:f>ROUND(S1243*F1243+0.000000001,2)</x:f>
        <x:v>29.14</x:v>
      </x:c>
      <x:c r="U1243" s="12" t="n">
        <x:f>E1243*R1243</x:f>
        <x:v>102.17</x:v>
      </x:c>
      <x:c r="V1243" t="str">
        <x:f>IF(AND(C1243="Active",Q1243=0),"Active Zero Sales","Not Zero Sales")</x:f>
        <x:v>Not Zero Sales</x:v>
      </x:c>
      <x:c r="W1243" s="12" t="n">
        <x:f>IF(V1243="Active Zero Sales",U1243,0)</x:f>
        <x:v>0</x:v>
      </x:c>
      <x:c r="X1243" t="str">
        <x:f>IF(E1243&lt;25,"Low &lt; 25",IF(E1243&lt;100,"Medium 25-99",IF(E1243&lt;300,"High 100-299","Premium 300+")))</x:f>
        <x:v>Low &lt; 25</x:v>
      </x:c>
      <x:c r="Y1243" t="n">
        <x:f>IF(C1243="Active",1,0)</x:f>
        <x:v>1</x:v>
      </x:c>
    </x:row>
    <x:row r="1244">
      <x:c r="A1244" t="str">
        <x:v>SKU01243</x:v>
      </x:c>
      <x:c r="B1244" t="str">
        <x:v>Sample Product 01243</x:v>
      </x:c>
      <x:c r="C1244" t="str">
        <x:v>Active</x:v>
      </x:c>
      <x:c r="D1244" t="str">
        <x:v>2026-02</x:v>
      </x:c>
      <x:c r="E1244" s="12" t="n">
        <x:v>169.24</x:v>
      </x:c>
      <x:c r="F1244" s="10" t="n">
        <x:v>0.47</x:v>
      </x:c>
      <x:c r="G1244" t="str">
        <x:v>Personal Care</x:v>
      </x:c>
      <x:c r="H1244" t="str">
        <x:v>Skin Care</x:v>
      </x:c>
      <x:c r="I1244" t="str">
        <x:v>MFG016</x:v>
      </x:c>
      <x:c r="J1244" t="str">
        <x:v>Manufacturer 016</x:v>
      </x:c>
      <x:c r="K1244" t="str">
        <x:v>SUP027</x:v>
      </x:c>
      <x:c r="L1244" t="str">
        <x:v>Supplier 027</x:v>
      </x:c>
      <x:c r="M1244" t="str">
        <x:v>REG-483656</x:v>
      </x:c>
      <x:c r="N1244" t="str">
        <x:v>Generic Ingredient 153</x:v>
      </x:c>
      <x:c r="O1244" t="str">
        <x:v>General Sale</x:v>
      </x:c>
      <x:c r="P1244" t="n">
        <x:v>55</x:v>
      </x:c>
      <x:c r="Q1244" t="n">
        <x:v>30</x:v>
      </x:c>
      <x:c r="R1244" t="n">
        <x:v>1</x:v>
      </x:c>
      <x:c r="S1244" s="12" t="n">
        <x:f>E1244*Q1244</x:f>
        <x:v>5077.200000000001</x:v>
      </x:c>
      <x:c r="T1244" s="12" t="n">
        <x:f>ROUND(S1244*F1244+0.000000001,2)</x:f>
        <x:v>2386.28</x:v>
      </x:c>
      <x:c r="U1244" s="12" t="n">
        <x:f>E1244*R1244</x:f>
        <x:v>169.24</x:v>
      </x:c>
      <x:c r="V1244" t="str">
        <x:f>IF(AND(C1244="Active",Q1244=0),"Active Zero Sales","Not Zero Sales")</x:f>
        <x:v>Not Zero Sales</x:v>
      </x:c>
      <x:c r="W1244" s="12" t="n">
        <x:f>IF(V1244="Active Zero Sales",U1244,0)</x:f>
        <x:v>0</x:v>
      </x:c>
      <x:c r="X1244" t="str">
        <x:f>IF(E1244&lt;25,"Low &lt; 25",IF(E1244&lt;100,"Medium 25-99",IF(E1244&lt;300,"High 100-299","Premium 300+")))</x:f>
        <x:v>High 100-299</x:v>
      </x:c>
      <x:c r="Y1244" t="n">
        <x:f>IF(C1244="Active",1,0)</x:f>
        <x:v>1</x:v>
      </x:c>
    </x:row>
    <x:row r="1245">
      <x:c r="A1245" t="str">
        <x:v>SKU01244</x:v>
      </x:c>
      <x:c r="B1245" t="str">
        <x:v>Sample Product 01244</x:v>
      </x:c>
      <x:c r="C1245" t="str">
        <x:v>Blocked</x:v>
      </x:c>
      <x:c r="D1245" t="str">
        <x:v>2026-01</x:v>
      </x:c>
      <x:c r="E1245" s="12" t="n">
        <x:v>47.73</x:v>
      </x:c>
      <x:c r="F1245" s="10" t="n">
        <x:v>0.364</x:v>
      </x:c>
      <x:c r="G1245" t="str">
        <x:v>OTC &amp; Wellness</x:v>
      </x:c>
      <x:c r="H1245" t="str">
        <x:v>Digestive Care</x:v>
      </x:c>
      <x:c r="I1245" t="str">
        <x:v>MFG010</x:v>
      </x:c>
      <x:c r="J1245" t="str">
        <x:v>Manufacturer 010</x:v>
      </x:c>
      <x:c r="K1245" t="str">
        <x:v>SUP020</x:v>
      </x:c>
      <x:c r="L1245" t="str">
        <x:v>Supplier 020</x:v>
      </x:c>
      <x:c r="M1245" t="str">
        <x:v>REG-488087</x:v>
      </x:c>
      <x:c r="N1245" t="str">
        <x:v>Generic Ingredient 010</x:v>
      </x:c>
      <x:c r="O1245" t="str">
        <x:v>General Sale</x:v>
      </x:c>
      <x:c r="P1245" t="n">
        <x:v>0</x:v>
      </x:c>
      <x:c r="Q1245" t="n">
        <x:v>3</x:v>
      </x:c>
      <x:c r="R1245" t="n">
        <x:v>0</x:v>
      </x:c>
      <x:c r="S1245" s="12" t="n">
        <x:f>E1245*Q1245</x:f>
        <x:v>143.19</x:v>
      </x:c>
      <x:c r="T1245" s="12" t="n">
        <x:f>ROUND(S1245*F1245+0.000000001,2)</x:f>
        <x:v>52.12</x:v>
      </x:c>
      <x:c r="U1245" s="12" t="n">
        <x:f>E1245*R1245</x:f>
        <x:v>0</x:v>
      </x:c>
      <x:c r="V1245" t="str">
        <x:f>IF(AND(C1245="Active",Q1245=0),"Active Zero Sales","Not Zero Sales")</x:f>
        <x:v>Not Zero Sales</x:v>
      </x:c>
      <x:c r="W1245" s="12" t="n">
        <x:f>IF(V1245="Active Zero Sales",U1245,0)</x:f>
        <x:v>0</x:v>
      </x:c>
      <x:c r="X1245" t="str">
        <x:f>IF(E1245&lt;25,"Low &lt; 25",IF(E1245&lt;100,"Medium 25-99",IF(E1245&lt;300,"High 100-299","Premium 300+")))</x:f>
        <x:v>Medium 25-99</x:v>
      </x:c>
      <x:c r="Y1245" t="n">
        <x:f>IF(C1245="Active",1,0)</x:f>
        <x:v>0</x:v>
      </x:c>
    </x:row>
    <x:row r="1246">
      <x:c r="A1246" t="str">
        <x:v>SKU01245</x:v>
      </x:c>
      <x:c r="B1246" t="str">
        <x:v>Sample Product 01245</x:v>
      </x:c>
      <x:c r="C1246" t="str">
        <x:v>Active</x:v>
      </x:c>
      <x:c r="D1246" t="str">
        <x:v>2026-06</x:v>
      </x:c>
      <x:c r="E1246" s="12" t="n">
        <x:v>12.93</x:v>
      </x:c>
      <x:c r="F1246" s="10" t="n">
        <x:v>0.34</x:v>
      </x:c>
      <x:c r="G1246" t="str">
        <x:v>General Merchandise</x:v>
      </x:c>
      <x:c r="H1246" t="str">
        <x:v>Baby Essentials</x:v>
      </x:c>
      <x:c r="I1246" t="str">
        <x:v>MFG001</x:v>
      </x:c>
      <x:c r="J1246" t="str">
        <x:v>Manufacturer 001</x:v>
      </x:c>
      <x:c r="K1246" t="str">
        <x:v>SUP012</x:v>
      </x:c>
      <x:c r="L1246" t="str">
        <x:v>Supplier 012</x:v>
      </x:c>
      <x:c r="M1246" t="str">
        <x:v>REG-611717</x:v>
      </x:c>
      <x:c r="N1246" t="str">
        <x:v>Generic Ingredient 166</x:v>
      </x:c>
      <x:c r="O1246" t="str">
        <x:v>General Sale</x:v>
      </x:c>
      <x:c r="P1246" t="n">
        <x:v>1</x:v>
      </x:c>
      <x:c r="Q1246" t="n">
        <x:v>11</x:v>
      </x:c>
      <x:c r="R1246" t="n">
        <x:v>0</x:v>
      </x:c>
      <x:c r="S1246" s="12" t="n">
        <x:f>E1246*Q1246</x:f>
        <x:v>142.23</x:v>
      </x:c>
      <x:c r="T1246" s="12" t="n">
        <x:f>ROUND(S1246*F1246+0.000000001,2)</x:f>
        <x:v>48.36</x:v>
      </x:c>
      <x:c r="U1246" s="12" t="n">
        <x:f>E1246*R1246</x:f>
        <x:v>0</x:v>
      </x:c>
      <x:c r="V1246" t="str">
        <x:f>IF(AND(C1246="Active",Q1246=0),"Active Zero Sales","Not Zero Sales")</x:f>
        <x:v>Not Zero Sales</x:v>
      </x:c>
      <x:c r="W1246" s="12" t="n">
        <x:f>IF(V1246="Active Zero Sales",U1246,0)</x:f>
        <x:v>0</x:v>
      </x:c>
      <x:c r="X1246" t="str">
        <x:f>IF(E1246&lt;25,"Low &lt; 25",IF(E1246&lt;100,"Medium 25-99",IF(E1246&lt;300,"High 100-299","Premium 300+")))</x:f>
        <x:v>Low &lt; 25</x:v>
      </x:c>
      <x:c r="Y1246" t="n">
        <x:f>IF(C1246="Active",1,0)</x:f>
        <x:v>1</x:v>
      </x:c>
    </x:row>
    <x:row r="1247">
      <x:c r="A1247" t="str">
        <x:v>SKU01246</x:v>
      </x:c>
      <x:c r="B1247" t="str">
        <x:v>Sample Product 01246</x:v>
      </x:c>
      <x:c r="C1247" t="str">
        <x:v>Active</x:v>
      </x:c>
      <x:c r="D1247" t="str">
        <x:v>2026-04</x:v>
      </x:c>
      <x:c r="E1247" s="12" t="n">
        <x:v>79.08</x:v>
      </x:c>
      <x:c r="F1247" s="10" t="n">
        <x:v>0.204</x:v>
      </x:c>
      <x:c r="G1247" t="str">
        <x:v>Medical Devices</x:v>
      </x:c>
      <x:c r="H1247" t="str">
        <x:v>First Aid</x:v>
      </x:c>
      <x:c r="I1247" t="str">
        <x:v>MFG002</x:v>
      </x:c>
      <x:c r="J1247" t="str">
        <x:v>Manufacturer 002</x:v>
      </x:c>
      <x:c r="K1247" t="str">
        <x:v>SUP014</x:v>
      </x:c>
      <x:c r="L1247" t="str">
        <x:v>Supplier 014</x:v>
      </x:c>
      <x:c r="M1247" t="str">
        <x:v>REG-932053</x:v>
      </x:c>
      <x:c r="N1247" t="str">
        <x:v>Generic Ingredient 150</x:v>
      </x:c>
      <x:c r="O1247" t="str">
        <x:v>General Sale</x:v>
      </x:c>
      <x:c r="P1247" t="n">
        <x:v>90</x:v>
      </x:c>
      <x:c r="Q1247" t="n">
        <x:v>34</x:v>
      </x:c>
      <x:c r="R1247" t="n">
        <x:v>24</x:v>
      </x:c>
      <x:c r="S1247" s="12" t="n">
        <x:f>E1247*Q1247</x:f>
        <x:v>2688.72</x:v>
      </x:c>
      <x:c r="T1247" s="12" t="n">
        <x:f>ROUND(S1247*F1247+0.000000001,2)</x:f>
        <x:v>548.5</x:v>
      </x:c>
      <x:c r="U1247" s="12" t="n">
        <x:f>E1247*R1247</x:f>
        <x:v>1897.92</x:v>
      </x:c>
      <x:c r="V1247" t="str">
        <x:f>IF(AND(C1247="Active",Q1247=0),"Active Zero Sales","Not Zero Sales")</x:f>
        <x:v>Not Zero Sales</x:v>
      </x:c>
      <x:c r="W1247" s="12" t="n">
        <x:f>IF(V1247="Active Zero Sales",U1247,0)</x:f>
        <x:v>0</x:v>
      </x:c>
      <x:c r="X1247" t="str">
        <x:f>IF(E1247&lt;25,"Low &lt; 25",IF(E1247&lt;100,"Medium 25-99",IF(E1247&lt;300,"High 100-299","Premium 300+")))</x:f>
        <x:v>Medium 25-99</x:v>
      </x:c>
      <x:c r="Y1247" t="n">
        <x:f>IF(C1247="Active",1,0)</x:f>
        <x:v>1</x:v>
      </x:c>
    </x:row>
    <x:row r="1248">
      <x:c r="A1248" t="str">
        <x:v>SKU01247</x:v>
      </x:c>
      <x:c r="B1248" t="str">
        <x:v>Sample Product 01247</x:v>
      </x:c>
      <x:c r="C1248" t="str">
        <x:v>Active</x:v>
      </x:c>
      <x:c r="D1248" t="str">
        <x:v>2026-05</x:v>
      </x:c>
      <x:c r="E1248" s="12" t="n">
        <x:v>90.16</x:v>
      </x:c>
      <x:c r="F1248" s="10" t="n">
        <x:v>0.286</x:v>
      </x:c>
      <x:c r="G1248" t="str">
        <x:v>General Merchandise</x:v>
      </x:c>
      <x:c r="H1248" t="str">
        <x:v>Accessories</x:v>
      </x:c>
      <x:c r="I1248" t="str">
        <x:v>MFG009</x:v>
      </x:c>
      <x:c r="J1248" t="str">
        <x:v>Manufacturer 009</x:v>
      </x:c>
      <x:c r="K1248" t="str">
        <x:v>SUP007</x:v>
      </x:c>
      <x:c r="L1248" t="str">
        <x:v>Supplier 007</x:v>
      </x:c>
      <x:c r="M1248" t="str">
        <x:v>REG-760983</x:v>
      </x:c>
      <x:c r="N1248" t="str">
        <x:v>Generic Ingredient 128</x:v>
      </x:c>
      <x:c r="O1248" t="str">
        <x:v>Pharmacy Only</x:v>
      </x:c>
      <x:c r="P1248" t="n">
        <x:v>91</x:v>
      </x:c>
      <x:c r="Q1248" t="n">
        <x:v>36</x:v>
      </x:c>
      <x:c r="R1248" t="n">
        <x:v>34</x:v>
      </x:c>
      <x:c r="S1248" s="12" t="n">
        <x:f>E1248*Q1248</x:f>
        <x:v>3245.7599999999998</x:v>
      </x:c>
      <x:c r="T1248" s="12" t="n">
        <x:f>ROUND(S1248*F1248+0.000000001,2)</x:f>
        <x:v>928.29</x:v>
      </x:c>
      <x:c r="U1248" s="12" t="n">
        <x:f>E1248*R1248</x:f>
        <x:v>3065.44</x:v>
      </x:c>
      <x:c r="V1248" t="str">
        <x:f>IF(AND(C1248="Active",Q1248=0),"Active Zero Sales","Not Zero Sales")</x:f>
        <x:v>Not Zero Sales</x:v>
      </x:c>
      <x:c r="W1248" s="12" t="n">
        <x:f>IF(V1248="Active Zero Sales",U1248,0)</x:f>
        <x:v>0</x:v>
      </x:c>
      <x:c r="X1248" t="str">
        <x:f>IF(E1248&lt;25,"Low &lt; 25",IF(E1248&lt;100,"Medium 25-99",IF(E1248&lt;300,"High 100-299","Premium 300+")))</x:f>
        <x:v>Medium 25-99</x:v>
      </x:c>
      <x:c r="Y1248" t="n">
        <x:f>IF(C1248="Active",1,0)</x:f>
        <x:v>1</x:v>
      </x:c>
    </x:row>
    <x:row r="1249">
      <x:c r="A1249" t="str">
        <x:v>SKU01248</x:v>
      </x:c>
      <x:c r="B1249" t="str">
        <x:v>Sample Product 01248</x:v>
      </x:c>
      <x:c r="C1249" t="str">
        <x:v>Active</x:v>
      </x:c>
      <x:c r="D1249" t="str">
        <x:v>2026-03</x:v>
      </x:c>
      <x:c r="E1249" s="12" t="n">
        <x:v>52.19</x:v>
      </x:c>
      <x:c r="F1249" s="10" t="n">
        <x:v>0.292</x:v>
      </x:c>
      <x:c r="G1249" t="str">
        <x:v>Nutrition</x:v>
      </x:c>
      <x:c r="H1249" t="str">
        <x:v>Adult Nutrition</x:v>
      </x:c>
      <x:c r="I1249" t="str">
        <x:v>MFG009</x:v>
      </x:c>
      <x:c r="J1249" t="str">
        <x:v>Manufacturer 009</x:v>
      </x:c>
      <x:c r="K1249" t="str">
        <x:v>SUP021</x:v>
      </x:c>
      <x:c r="L1249" t="str">
        <x:v>Supplier 021</x:v>
      </x:c>
      <x:c r="M1249" t="str">
        <x:v>REG-327829</x:v>
      </x:c>
      <x:c r="N1249" t="str">
        <x:v>Generic Ingredient 024</x:v>
      </x:c>
      <x:c r="O1249" t="str">
        <x:v>General Sale</x:v>
      </x:c>
      <x:c r="P1249" t="n">
        <x:v>54</x:v>
      </x:c>
      <x:c r="Q1249" t="n">
        <x:v>31</x:v>
      </x:c>
      <x:c r="R1249" t="n">
        <x:v>3</x:v>
      </x:c>
      <x:c r="S1249" s="12" t="n">
        <x:f>E1249*Q1249</x:f>
        <x:v>1617.8899999999999</x:v>
      </x:c>
      <x:c r="T1249" s="12" t="n">
        <x:f>ROUND(S1249*F1249+0.000000001,2)</x:f>
        <x:v>472.42</x:v>
      </x:c>
      <x:c r="U1249" s="12" t="n">
        <x:f>E1249*R1249</x:f>
        <x:v>156.57</x:v>
      </x:c>
      <x:c r="V1249" t="str">
        <x:f>IF(AND(C1249="Active",Q1249=0),"Active Zero Sales","Not Zero Sales")</x:f>
        <x:v>Not Zero Sales</x:v>
      </x:c>
      <x:c r="W1249" s="12" t="n">
        <x:f>IF(V1249="Active Zero Sales",U1249,0)</x:f>
        <x:v>0</x:v>
      </x:c>
      <x:c r="X1249" t="str">
        <x:f>IF(E1249&lt;25,"Low &lt; 25",IF(E1249&lt;100,"Medium 25-99",IF(E1249&lt;300,"High 100-299","Premium 300+")))</x:f>
        <x:v>Medium 25-99</x:v>
      </x:c>
      <x:c r="Y1249" t="n">
        <x:f>IF(C1249="Active",1,0)</x:f>
        <x:v>1</x:v>
      </x:c>
    </x:row>
    <x:row r="1250">
      <x:c r="A1250" t="str">
        <x:v>SKU01249</x:v>
      </x:c>
      <x:c r="B1250" t="str">
        <x:v>Sample Product 01249</x:v>
      </x:c>
      <x:c r="C1250" t="str">
        <x:v>Active</x:v>
      </x:c>
      <x:c r="D1250" t="str">
        <x:v>2026-02</x:v>
      </x:c>
      <x:c r="E1250" s="12" t="n">
        <x:v>19.88</x:v>
      </x:c>
      <x:c r="F1250" s="10" t="n">
        <x:v>0.244</x:v>
      </x:c>
      <x:c r="G1250" t="str">
        <x:v>Personal Care</x:v>
      </x:c>
      <x:c r="H1250" t="str">
        <x:v>Hygiene</x:v>
      </x:c>
      <x:c r="I1250" t="str">
        <x:v>MFG004</x:v>
      </x:c>
      <x:c r="J1250" t="str">
        <x:v>Manufacturer 004</x:v>
      </x:c>
      <x:c r="K1250" t="str">
        <x:v>SUP004</x:v>
      </x:c>
      <x:c r="L1250" t="str">
        <x:v>Supplier 004</x:v>
      </x:c>
      <x:c r="M1250" t="str">
        <x:v>REG-239282</x:v>
      </x:c>
      <x:c r="N1250" t="str">
        <x:v>Generic Ingredient 019</x:v>
      </x:c>
      <x:c r="O1250" t="str">
        <x:v>Restricted Sale</x:v>
      </x:c>
      <x:c r="P1250" t="n">
        <x:v>52</x:v>
      </x:c>
      <x:c r="Q1250" t="n">
        <x:v>15</x:v>
      </x:c>
      <x:c r="R1250" t="n">
        <x:v>0</x:v>
      </x:c>
      <x:c r="S1250" s="12" t="n">
        <x:f>E1250*Q1250</x:f>
        <x:v>298.2</x:v>
      </x:c>
      <x:c r="T1250" s="12" t="n">
        <x:f>ROUND(S1250*F1250+0.000000001,2)</x:f>
        <x:v>72.76</x:v>
      </x:c>
      <x:c r="U1250" s="12" t="n">
        <x:f>E1250*R1250</x:f>
        <x:v>0</x:v>
      </x:c>
      <x:c r="V1250" t="str">
        <x:f>IF(AND(C1250="Active",Q1250=0),"Active Zero Sales","Not Zero Sales")</x:f>
        <x:v>Not Zero Sales</x:v>
      </x:c>
      <x:c r="W1250" s="12" t="n">
        <x:f>IF(V1250="Active Zero Sales",U1250,0)</x:f>
        <x:v>0</x:v>
      </x:c>
      <x:c r="X1250" t="str">
        <x:f>IF(E1250&lt;25,"Low &lt; 25",IF(E1250&lt;100,"Medium 25-99",IF(E1250&lt;300,"High 100-299","Premium 300+")))</x:f>
        <x:v>Low &lt; 25</x:v>
      </x:c>
      <x:c r="Y1250" t="n">
        <x:f>IF(C1250="Active",1,0)</x:f>
        <x:v>1</x:v>
      </x:c>
    </x:row>
    <x:row r="1251">
      <x:c r="A1251" t="str">
        <x:v>SKU01250</x:v>
      </x:c>
      <x:c r="B1251" t="str">
        <x:v>Sample Product 01250</x:v>
      </x:c>
      <x:c r="C1251" t="str">
        <x:v>Active</x:v>
      </x:c>
      <x:c r="D1251" t="str">
        <x:v>2026-03</x:v>
      </x:c>
      <x:c r="E1251" s="12" t="n">
        <x:v>46.49</x:v>
      </x:c>
      <x:c r="F1251" s="10" t="n">
        <x:v>0.36</x:v>
      </x:c>
      <x:c r="G1251" t="str">
        <x:v>Nutrition</x:v>
      </x:c>
      <x:c r="H1251" t="str">
        <x:v>Adult Nutrition</x:v>
      </x:c>
      <x:c r="I1251" t="str">
        <x:v>MFG015</x:v>
      </x:c>
      <x:c r="J1251" t="str">
        <x:v>Manufacturer 015</x:v>
      </x:c>
      <x:c r="K1251" t="str">
        <x:v>SUP016</x:v>
      </x:c>
      <x:c r="L1251" t="str">
        <x:v>Supplier 016</x:v>
      </x:c>
      <x:c r="M1251" t="str">
        <x:v>REG-963661</x:v>
      </x:c>
      <x:c r="N1251" t="str">
        <x:v>Generic Ingredient 020</x:v>
      </x:c>
      <x:c r="O1251" t="str">
        <x:v>Pharmacy Only</x:v>
      </x:c>
      <x:c r="P1251" t="n">
        <x:v>54</x:v>
      </x:c>
      <x:c r="Q1251" t="n">
        <x:v>33</x:v>
      </x:c>
      <x:c r="R1251" t="n">
        <x:v>14</x:v>
      </x:c>
      <x:c r="S1251" s="12" t="n">
        <x:f>E1251*Q1251</x:f>
        <x:v>1534.17</x:v>
      </x:c>
      <x:c r="T1251" s="12" t="n">
        <x:f>ROUND(S1251*F1251+0.000000001,2)</x:f>
        <x:v>552.3</x:v>
      </x:c>
      <x:c r="U1251" s="12" t="n">
        <x:f>E1251*R1251</x:f>
        <x:v>650.86</x:v>
      </x:c>
      <x:c r="V1251" t="str">
        <x:f>IF(AND(C1251="Active",Q1251=0),"Active Zero Sales","Not Zero Sales")</x:f>
        <x:v>Not Zero Sales</x:v>
      </x:c>
      <x:c r="W1251" s="12" t="n">
        <x:f>IF(V1251="Active Zero Sales",U1251,0)</x:f>
        <x:v>0</x:v>
      </x:c>
      <x:c r="X1251" t="str">
        <x:f>IF(E1251&lt;25,"Low &lt; 25",IF(E1251&lt;100,"Medium 25-99",IF(E1251&lt;300,"High 100-299","Premium 300+")))</x:f>
        <x:v>Medium 25-99</x:v>
      </x:c>
      <x:c r="Y1251" t="n">
        <x:f>IF(C1251="Active",1,0)</x:f>
        <x:v>1</x:v>
      </x:c>
    </x:row>
    <x:row r="1252">
      <x:c r="A1252" t="str">
        <x:v>SKU01251</x:v>
      </x:c>
      <x:c r="B1252" t="str">
        <x:v>Sample Product 01251</x:v>
      </x:c>
      <x:c r="C1252" t="str">
        <x:v>Blocked</x:v>
      </x:c>
      <x:c r="D1252" t="str">
        <x:v>2026-05</x:v>
      </x:c>
      <x:c r="E1252" s="12" t="n">
        <x:v>12.76</x:v>
      </x:c>
      <x:c r="F1252" s="10" t="n">
        <x:v>0.389</x:v>
      </x:c>
      <x:c r="G1252" t="str">
        <x:v>General Merchandise</x:v>
      </x:c>
      <x:c r="H1252" t="str">
        <x:v>Baby Essentials</x:v>
      </x:c>
      <x:c r="I1252" t="str">
        <x:v>MFG013</x:v>
      </x:c>
      <x:c r="J1252" t="str">
        <x:v>Manufacturer 013</x:v>
      </x:c>
      <x:c r="K1252" t="str">
        <x:v>SUP020</x:v>
      </x:c>
      <x:c r="L1252" t="str">
        <x:v>Supplier 020</x:v>
      </x:c>
      <x:c r="M1252" t="str">
        <x:v>REG-182292</x:v>
      </x:c>
      <x:c r="N1252" t="str">
        <x:v>Generic Ingredient 142</x:v>
      </x:c>
      <x:c r="O1252" t="str">
        <x:v>General Sale</x:v>
      </x:c>
      <x:c r="P1252" t="n">
        <x:v>44</x:v>
      </x:c>
      <x:c r="Q1252" t="n">
        <x:v>0</x:v>
      </x:c>
      <x:c r="R1252" t="n">
        <x:v>0</x:v>
      </x:c>
      <x:c r="S1252" s="12" t="n">
        <x:f>E1252*Q1252</x:f>
        <x:v>0</x:v>
      </x:c>
      <x:c r="T1252" s="12" t="n">
        <x:f>ROUND(S1252*F1252+0.000000001,2)</x:f>
        <x:v>0</x:v>
      </x:c>
      <x:c r="U1252" s="12" t="n">
        <x:f>E1252*R1252</x:f>
        <x:v>0</x:v>
      </x:c>
      <x:c r="V1252" t="str">
        <x:f>IF(AND(C1252="Active",Q1252=0),"Active Zero Sales","Not Zero Sales")</x:f>
        <x:v>Not Zero Sales</x:v>
      </x:c>
      <x:c r="W1252" s="12" t="n">
        <x:f>IF(V1252="Active Zero Sales",U1252,0)</x:f>
        <x:v>0</x:v>
      </x:c>
      <x:c r="X1252" t="str">
        <x:f>IF(E1252&lt;25,"Low &lt; 25",IF(E1252&lt;100,"Medium 25-99",IF(E1252&lt;300,"High 100-299","Premium 300+")))</x:f>
        <x:v>Low &lt; 25</x:v>
      </x:c>
      <x:c r="Y1252" t="n">
        <x:f>IF(C1252="Active",1,0)</x:f>
        <x:v>0</x:v>
      </x:c>
    </x:row>
    <x:row r="1253">
      <x:c r="A1253" t="str">
        <x:v>SKU01252</x:v>
      </x:c>
      <x:c r="B1253" t="str">
        <x:v>Sample Product 01252</x:v>
      </x:c>
      <x:c r="C1253" t="str">
        <x:v>Active</x:v>
      </x:c>
      <x:c r="D1253" t="str">
        <x:v>2026-05</x:v>
      </x:c>
      <x:c r="E1253" s="12" t="n">
        <x:v>152.78</x:v>
      </x:c>
      <x:c r="F1253" s="10" t="n">
        <x:v>0.396</x:v>
      </x:c>
      <x:c r="G1253" t="str">
        <x:v>Nutrition</x:v>
      </x:c>
      <x:c r="H1253" t="str">
        <x:v>Adult Nutrition</x:v>
      </x:c>
      <x:c r="I1253" t="str">
        <x:v>MFG018</x:v>
      </x:c>
      <x:c r="J1253" t="str">
        <x:v>Manufacturer 018</x:v>
      </x:c>
      <x:c r="K1253" t="str">
        <x:v>SUP027</x:v>
      </x:c>
      <x:c r="L1253" t="str">
        <x:v>Supplier 027</x:v>
      </x:c>
      <x:c r="M1253" t="str">
        <x:v>REG-230128</x:v>
      </x:c>
      <x:c r="N1253" t="str">
        <x:v>Generic Ingredient 138</x:v>
      </x:c>
      <x:c r="O1253" t="str">
        <x:v>Pharmacy Only</x:v>
      </x:c>
      <x:c r="P1253" t="n">
        <x:v>46</x:v>
      </x:c>
      <x:c r="Q1253" t="n">
        <x:v>15</x:v>
      </x:c>
      <x:c r="R1253" t="n">
        <x:v>0</x:v>
      </x:c>
      <x:c r="S1253" s="12" t="n">
        <x:f>E1253*Q1253</x:f>
        <x:v>2291.7</x:v>
      </x:c>
      <x:c r="T1253" s="12" t="n">
        <x:f>ROUND(S1253*F1253+0.000000001,2)</x:f>
        <x:v>907.51</x:v>
      </x:c>
      <x:c r="U1253" s="12" t="n">
        <x:f>E1253*R1253</x:f>
        <x:v>0</x:v>
      </x:c>
      <x:c r="V1253" t="str">
        <x:f>IF(AND(C1253="Active",Q1253=0),"Active Zero Sales","Not Zero Sales")</x:f>
        <x:v>Not Zero Sales</x:v>
      </x:c>
      <x:c r="W1253" s="12" t="n">
        <x:f>IF(V1253="Active Zero Sales",U1253,0)</x:f>
        <x:v>0</x:v>
      </x:c>
      <x:c r="X1253" t="str">
        <x:f>IF(E1253&lt;25,"Low &lt; 25",IF(E1253&lt;100,"Medium 25-99",IF(E1253&lt;300,"High 100-299","Premium 300+")))</x:f>
        <x:v>High 100-299</x:v>
      </x:c>
      <x:c r="Y1253" t="n">
        <x:f>IF(C1253="Active",1,0)</x:f>
        <x:v>1</x:v>
      </x:c>
    </x:row>
    <x:row r="1254">
      <x:c r="A1254" t="str">
        <x:v>SKU01253</x:v>
      </x:c>
      <x:c r="B1254" t="str">
        <x:v>Sample Product 01253</x:v>
      </x:c>
      <x:c r="C1254" t="str">
        <x:v>Active</x:v>
      </x:c>
      <x:c r="D1254" t="str">
        <x:v>2026-03</x:v>
      </x:c>
      <x:c r="E1254" s="12" t="n">
        <x:v>210.32</x:v>
      </x:c>
      <x:c r="F1254" s="10" t="n">
        <x:v>0.419</x:v>
      </x:c>
      <x:c r="G1254" t="str">
        <x:v>Personal Care</x:v>
      </x:c>
      <x:c r="H1254" t="str">
        <x:v>Hygiene</x:v>
      </x:c>
      <x:c r="I1254" t="str">
        <x:v>MFG003</x:v>
      </x:c>
      <x:c r="J1254" t="str">
        <x:v>Manufacturer 003</x:v>
      </x:c>
      <x:c r="K1254" t="str">
        <x:v>SUP010</x:v>
      </x:c>
      <x:c r="L1254" t="str">
        <x:v>Supplier 010</x:v>
      </x:c>
      <x:c r="M1254" t="str">
        <x:v>REG-973671</x:v>
      </x:c>
      <x:c r="N1254" t="str">
        <x:v>Generic Ingredient 151</x:v>
      </x:c>
      <x:c r="O1254" t="str">
        <x:v>Pharmacy Only</x:v>
      </x:c>
      <x:c r="P1254" t="n">
        <x:v>19</x:v>
      </x:c>
      <x:c r="Q1254" t="n">
        <x:v>5</x:v>
      </x:c>
      <x:c r="R1254" t="n">
        <x:v>23</x:v>
      </x:c>
      <x:c r="S1254" s="12" t="n">
        <x:f>E1254*Q1254</x:f>
        <x:v>1051.6</x:v>
      </x:c>
      <x:c r="T1254" s="12" t="n">
        <x:f>ROUND(S1254*F1254+0.000000001,2)</x:f>
        <x:v>440.62</x:v>
      </x:c>
      <x:c r="U1254" s="12" t="n">
        <x:f>E1254*R1254</x:f>
        <x:v>4837.36</x:v>
      </x:c>
      <x:c r="V1254" t="str">
        <x:f>IF(AND(C1254="Active",Q1254=0),"Active Zero Sales","Not Zero Sales")</x:f>
        <x:v>Not Zero Sales</x:v>
      </x:c>
      <x:c r="W1254" s="12" t="n">
        <x:f>IF(V1254="Active Zero Sales",U1254,0)</x:f>
        <x:v>0</x:v>
      </x:c>
      <x:c r="X1254" t="str">
        <x:f>IF(E1254&lt;25,"Low &lt; 25",IF(E1254&lt;100,"Medium 25-99",IF(E1254&lt;300,"High 100-299","Premium 300+")))</x:f>
        <x:v>High 100-299</x:v>
      </x:c>
      <x:c r="Y1254" t="n">
        <x:f>IF(C1254="Active",1,0)</x:f>
        <x:v>1</x:v>
      </x:c>
    </x:row>
    <x:row r="1255">
      <x:c r="A1255" t="str">
        <x:v>SKU01254</x:v>
      </x:c>
      <x:c r="B1255" t="str">
        <x:v>Sample Product 01254</x:v>
      </x:c>
      <x:c r="C1255" t="str">
        <x:v>Active</x:v>
      </x:c>
      <x:c r="D1255" t="str">
        <x:v>2026-02</x:v>
      </x:c>
      <x:c r="E1255" s="12" t="n">
        <x:v>55.4</x:v>
      </x:c>
      <x:c r="F1255" s="10" t="n">
        <x:v>0.331</x:v>
      </x:c>
      <x:c r="G1255" t="str">
        <x:v>General Merchandise</x:v>
      </x:c>
      <x:c r="H1255" t="str">
        <x:v>Seasonal Care</x:v>
      </x:c>
      <x:c r="I1255" t="str">
        <x:v>MFG011</x:v>
      </x:c>
      <x:c r="J1255" t="str">
        <x:v>Manufacturer 011</x:v>
      </x:c>
      <x:c r="K1255" t="str">
        <x:v>SUP021</x:v>
      </x:c>
      <x:c r="L1255" t="str">
        <x:v>Supplier 021</x:v>
      </x:c>
      <x:c r="M1255" t="str">
        <x:v>REG-511786</x:v>
      </x:c>
      <x:c r="N1255" t="str">
        <x:v>Generic Ingredient 087</x:v>
      </x:c>
      <x:c r="O1255" t="str">
        <x:v>General Sale</x:v>
      </x:c>
      <x:c r="P1255" t="n">
        <x:v>67</x:v>
      </x:c>
      <x:c r="Q1255" t="n">
        <x:v>16</x:v>
      </x:c>
      <x:c r="R1255" t="n">
        <x:v>3</x:v>
      </x:c>
      <x:c r="S1255" s="12" t="n">
        <x:f>E1255*Q1255</x:f>
        <x:v>886.4</x:v>
      </x:c>
      <x:c r="T1255" s="12" t="n">
        <x:f>ROUND(S1255*F1255+0.000000001,2)</x:f>
        <x:v>293.4</x:v>
      </x:c>
      <x:c r="U1255" s="12" t="n">
        <x:f>E1255*R1255</x:f>
        <x:v>166.2</x:v>
      </x:c>
      <x:c r="V1255" t="str">
        <x:f>IF(AND(C1255="Active",Q1255=0),"Active Zero Sales","Not Zero Sales")</x:f>
        <x:v>Not Zero Sales</x:v>
      </x:c>
      <x:c r="W1255" s="12" t="n">
        <x:f>IF(V1255="Active Zero Sales",U1255,0)</x:f>
        <x:v>0</x:v>
      </x:c>
      <x:c r="X1255" t="str">
        <x:f>IF(E1255&lt;25,"Low &lt; 25",IF(E1255&lt;100,"Medium 25-99",IF(E1255&lt;300,"High 100-299","Premium 300+")))</x:f>
        <x:v>Medium 25-99</x:v>
      </x:c>
      <x:c r="Y1255" t="n">
        <x:f>IF(C1255="Active",1,0)</x:f>
        <x:v>1</x:v>
      </x:c>
    </x:row>
    <x:row r="1256">
      <x:c r="A1256" t="str">
        <x:v>SKU01255</x:v>
      </x:c>
      <x:c r="B1256" t="str">
        <x:v>Sample Product 01255</x:v>
      </x:c>
      <x:c r="C1256" t="str">
        <x:v>Active</x:v>
      </x:c>
      <x:c r="D1256" t="str">
        <x:v>2026-01</x:v>
      </x:c>
      <x:c r="E1256" s="12" t="n">
        <x:v>188.3</x:v>
      </x:c>
      <x:c r="F1256" s="10" t="n">
        <x:v>0.437</x:v>
      </x:c>
      <x:c r="G1256" t="str">
        <x:v>General Merchandise</x:v>
      </x:c>
      <x:c r="H1256" t="str">
        <x:v>Accessories</x:v>
      </x:c>
      <x:c r="I1256" t="str">
        <x:v>MFG006</x:v>
      </x:c>
      <x:c r="J1256" t="str">
        <x:v>Manufacturer 006</x:v>
      </x:c>
      <x:c r="K1256" t="str">
        <x:v>SUP016</x:v>
      </x:c>
      <x:c r="L1256" t="str">
        <x:v>Supplier 016</x:v>
      </x:c>
      <x:c r="M1256" t="str">
        <x:v>REG-609400</x:v>
      </x:c>
      <x:c r="N1256" t="str">
        <x:v>Generic Ingredient 109</x:v>
      </x:c>
      <x:c r="O1256" t="str">
        <x:v>General Sale</x:v>
      </x:c>
      <x:c r="P1256" t="n">
        <x:v>39</x:v>
      </x:c>
      <x:c r="Q1256" t="n">
        <x:v>32</x:v>
      </x:c>
      <x:c r="R1256" t="n">
        <x:v>15</x:v>
      </x:c>
      <x:c r="S1256" s="12" t="n">
        <x:f>E1256*Q1256</x:f>
        <x:v>6025.6</x:v>
      </x:c>
      <x:c r="T1256" s="12" t="n">
        <x:f>ROUND(S1256*F1256+0.000000001,2)</x:f>
        <x:v>2633.19</x:v>
      </x:c>
      <x:c r="U1256" s="12" t="n">
        <x:f>E1256*R1256</x:f>
        <x:v>2824.5</x:v>
      </x:c>
      <x:c r="V1256" t="str">
        <x:f>IF(AND(C1256="Active",Q1256=0),"Active Zero Sales","Not Zero Sales")</x:f>
        <x:v>Not Zero Sales</x:v>
      </x:c>
      <x:c r="W1256" s="12" t="n">
        <x:f>IF(V1256="Active Zero Sales",U1256,0)</x:f>
        <x:v>0</x:v>
      </x:c>
      <x:c r="X1256" t="str">
        <x:f>IF(E1256&lt;25,"Low &lt; 25",IF(E1256&lt;100,"Medium 25-99",IF(E1256&lt;300,"High 100-299","Premium 300+")))</x:f>
        <x:v>High 100-299</x:v>
      </x:c>
      <x:c r="Y1256" t="n">
        <x:f>IF(C1256="Active",1,0)</x:f>
        <x:v>1</x:v>
      </x:c>
    </x:row>
    <x:row r="1257">
      <x:c r="A1257" t="str">
        <x:v>SKU01256</x:v>
      </x:c>
      <x:c r="B1257" t="str">
        <x:v>Sample Product 01256</x:v>
      </x:c>
      <x:c r="C1257" t="str">
        <x:v>Active</x:v>
      </x:c>
      <x:c r="D1257" t="str">
        <x:v>2026-02</x:v>
      </x:c>
      <x:c r="E1257" s="12" t="n">
        <x:v>10.64</x:v>
      </x:c>
      <x:c r="F1257" s="10" t="n">
        <x:v>0.374</x:v>
      </x:c>
      <x:c r="G1257" t="str">
        <x:v>Personal Care</x:v>
      </x:c>
      <x:c r="H1257" t="str">
        <x:v>Hair Care</x:v>
      </x:c>
      <x:c r="I1257" t="str">
        <x:v>MFG019</x:v>
      </x:c>
      <x:c r="J1257" t="str">
        <x:v>Manufacturer 019</x:v>
      </x:c>
      <x:c r="K1257" t="str">
        <x:v>SUP012</x:v>
      </x:c>
      <x:c r="L1257" t="str">
        <x:v>Supplier 012</x:v>
      </x:c>
      <x:c r="M1257" t="str">
        <x:v>REG-380424</x:v>
      </x:c>
      <x:c r="N1257" t="str">
        <x:v>Generic Ingredient 055</x:v>
      </x:c>
      <x:c r="O1257" t="str">
        <x:v>General Sale</x:v>
      </x:c>
      <x:c r="P1257" t="n">
        <x:v>112</x:v>
      </x:c>
      <x:c r="Q1257" t="n">
        <x:v>46</x:v>
      </x:c>
      <x:c r="R1257" t="n">
        <x:v>24</x:v>
      </x:c>
      <x:c r="S1257" s="12" t="n">
        <x:f>E1257*Q1257</x:f>
        <x:v>489.44000000000005</x:v>
      </x:c>
      <x:c r="T1257" s="12" t="n">
        <x:f>ROUND(S1257*F1257+0.000000001,2)</x:f>
        <x:v>183.05</x:v>
      </x:c>
      <x:c r="U1257" s="12" t="n">
        <x:f>E1257*R1257</x:f>
        <x:v>255.36</x:v>
      </x:c>
      <x:c r="V1257" t="str">
        <x:f>IF(AND(C1257="Active",Q1257=0),"Active Zero Sales","Not Zero Sales")</x:f>
        <x:v>Not Zero Sales</x:v>
      </x:c>
      <x:c r="W1257" s="12" t="n">
        <x:f>IF(V1257="Active Zero Sales",U1257,0)</x:f>
        <x:v>0</x:v>
      </x:c>
      <x:c r="X1257" t="str">
        <x:f>IF(E1257&lt;25,"Low &lt; 25",IF(E1257&lt;100,"Medium 25-99",IF(E1257&lt;300,"High 100-299","Premium 300+")))</x:f>
        <x:v>Low &lt; 25</x:v>
      </x:c>
      <x:c r="Y1257" t="n">
        <x:f>IF(C1257="Active",1,0)</x:f>
        <x:v>1</x:v>
      </x:c>
    </x:row>
    <x:row r="1258">
      <x:c r="A1258" t="str">
        <x:v>SKU01257</x:v>
      </x:c>
      <x:c r="B1258" t="str">
        <x:v>Sample Product 01257</x:v>
      </x:c>
      <x:c r="C1258" t="str">
        <x:v>Active</x:v>
      </x:c>
      <x:c r="D1258" t="str">
        <x:v>2026-03</x:v>
      </x:c>
      <x:c r="E1258" s="12" t="n">
        <x:v>237.31</x:v>
      </x:c>
      <x:c r="F1258" s="10" t="n">
        <x:v>0.325</x:v>
      </x:c>
      <x:c r="G1258" t="str">
        <x:v>Medical Devices</x:v>
      </x:c>
      <x:c r="H1258" t="str">
        <x:v>Monitoring Supplies</x:v>
      </x:c>
      <x:c r="I1258" t="str">
        <x:v>MFG020</x:v>
      </x:c>
      <x:c r="J1258" t="str">
        <x:v>Manufacturer 020</x:v>
      </x:c>
      <x:c r="K1258" t="str">
        <x:v>SUP004</x:v>
      </x:c>
      <x:c r="L1258" t="str">
        <x:v>Supplier 004</x:v>
      </x:c>
      <x:c r="M1258" t="str">
        <x:v>REG-847012</x:v>
      </x:c>
      <x:c r="N1258" t="str">
        <x:v>Generic Ingredient 133</x:v>
      </x:c>
      <x:c r="O1258" t="str">
        <x:v>General Sale</x:v>
      </x:c>
      <x:c r="P1258" t="n">
        <x:v>37</x:v>
      </x:c>
      <x:c r="Q1258" t="n">
        <x:v>9</x:v>
      </x:c>
      <x:c r="R1258" t="n">
        <x:v>0</x:v>
      </x:c>
      <x:c r="S1258" s="12" t="n">
        <x:f>E1258*Q1258</x:f>
        <x:v>2135.79</x:v>
      </x:c>
      <x:c r="T1258" s="12" t="n">
        <x:f>ROUND(S1258*F1258+0.000000001,2)</x:f>
        <x:v>694.13</x:v>
      </x:c>
      <x:c r="U1258" s="12" t="n">
        <x:f>E1258*R1258</x:f>
        <x:v>0</x:v>
      </x:c>
      <x:c r="V1258" t="str">
        <x:f>IF(AND(C1258="Active",Q1258=0),"Active Zero Sales","Not Zero Sales")</x:f>
        <x:v>Not Zero Sales</x:v>
      </x:c>
      <x:c r="W1258" s="12" t="n">
        <x:f>IF(V1258="Active Zero Sales",U1258,0)</x:f>
        <x:v>0</x:v>
      </x:c>
      <x:c r="X1258" t="str">
        <x:f>IF(E1258&lt;25,"Low &lt; 25",IF(E1258&lt;100,"Medium 25-99",IF(E1258&lt;300,"High 100-299","Premium 300+")))</x:f>
        <x:v>High 100-299</x:v>
      </x:c>
      <x:c r="Y1258" t="n">
        <x:f>IF(C1258="Active",1,0)</x:f>
        <x:v>1</x:v>
      </x:c>
    </x:row>
    <x:row r="1259">
      <x:c r="A1259" t="str">
        <x:v>SKU01258</x:v>
      </x:c>
      <x:c r="B1259" t="str">
        <x:v>Sample Product 01258</x:v>
      </x:c>
      <x:c r="C1259" t="str">
        <x:v>Active</x:v>
      </x:c>
      <x:c r="D1259" t="str">
        <x:v>2026-02</x:v>
      </x:c>
      <x:c r="E1259" s="12" t="n">
        <x:v>165.5</x:v>
      </x:c>
      <x:c r="F1259" s="10" t="n">
        <x:v>0.466</x:v>
      </x:c>
      <x:c r="G1259" t="str">
        <x:v>General Merchandise</x:v>
      </x:c>
      <x:c r="H1259" t="str">
        <x:v>Baby Essentials</x:v>
      </x:c>
      <x:c r="I1259" t="str">
        <x:v>MFG006</x:v>
      </x:c>
      <x:c r="J1259" t="str">
        <x:v>Manufacturer 006</x:v>
      </x:c>
      <x:c r="K1259" t="str">
        <x:v>SUP025</x:v>
      </x:c>
      <x:c r="L1259" t="str">
        <x:v>Supplier 025</x:v>
      </x:c>
      <x:c r="M1259" t="str">
        <x:v>REG-365743</x:v>
      </x:c>
      <x:c r="N1259" t="str">
        <x:v>Generic Ingredient 058</x:v>
      </x:c>
      <x:c r="O1259" t="str">
        <x:v>General Sale</x:v>
      </x:c>
      <x:c r="P1259" t="n">
        <x:v>60</x:v>
      </x:c>
      <x:c r="Q1259" t="n">
        <x:v>27</x:v>
      </x:c>
      <x:c r="R1259" t="n">
        <x:v>6</x:v>
      </x:c>
      <x:c r="S1259" s="12" t="n">
        <x:f>E1259*Q1259</x:f>
        <x:v>4468.5</x:v>
      </x:c>
      <x:c r="T1259" s="12" t="n">
        <x:f>ROUND(S1259*F1259+0.000000001,2)</x:f>
        <x:v>2082.32</x:v>
      </x:c>
      <x:c r="U1259" s="12" t="n">
        <x:f>E1259*R1259</x:f>
        <x:v>993</x:v>
      </x:c>
      <x:c r="V1259" t="str">
        <x:f>IF(AND(C1259="Active",Q1259=0),"Active Zero Sales","Not Zero Sales")</x:f>
        <x:v>Not Zero Sales</x:v>
      </x:c>
      <x:c r="W1259" s="12" t="n">
        <x:f>IF(V1259="Active Zero Sales",U1259,0)</x:f>
        <x:v>0</x:v>
      </x:c>
      <x:c r="X1259" t="str">
        <x:f>IF(E1259&lt;25,"Low &lt; 25",IF(E1259&lt;100,"Medium 25-99",IF(E1259&lt;300,"High 100-299","Premium 300+")))</x:f>
        <x:v>High 100-299</x:v>
      </x:c>
      <x:c r="Y1259" t="n">
        <x:f>IF(C1259="Active",1,0)</x:f>
        <x:v>1</x:v>
      </x:c>
    </x:row>
    <x:row r="1260">
      <x:c r="A1260" t="str">
        <x:v>SKU01259</x:v>
      </x:c>
      <x:c r="B1260" t="str">
        <x:v>Sample Product 01259</x:v>
      </x:c>
      <x:c r="C1260" t="str">
        <x:v>Blocked</x:v>
      </x:c>
      <x:c r="D1260" t="str">
        <x:v>2026-02</x:v>
      </x:c>
      <x:c r="E1260" s="12" t="n">
        <x:v>85.28</x:v>
      </x:c>
      <x:c r="F1260" s="10" t="n">
        <x:v>0.299</x:v>
      </x:c>
      <x:c r="G1260" t="str">
        <x:v>OTC &amp; Wellness</x:v>
      </x:c>
      <x:c r="H1260" t="str">
        <x:v>Vitamins</x:v>
      </x:c>
      <x:c r="I1260" t="str">
        <x:v>MFG010</x:v>
      </x:c>
      <x:c r="J1260" t="str">
        <x:v>Manufacturer 010</x:v>
      </x:c>
      <x:c r="K1260" t="str">
        <x:v>SUP012</x:v>
      </x:c>
      <x:c r="L1260" t="str">
        <x:v>Supplier 012</x:v>
      </x:c>
      <x:c r="M1260" t="str">
        <x:v>REG-472377</x:v>
      </x:c>
      <x:c r="N1260" t="str">
        <x:v>Generic Ingredient 045</x:v>
      </x:c>
      <x:c r="O1260" t="str">
        <x:v>Pharmacy Only</x:v>
      </x:c>
      <x:c r="P1260" t="n">
        <x:v>32</x:v>
      </x:c>
      <x:c r="Q1260" t="n">
        <x:v>0</x:v>
      </x:c>
      <x:c r="R1260" t="n">
        <x:v>0</x:v>
      </x:c>
      <x:c r="S1260" s="12" t="n">
        <x:f>E1260*Q1260</x:f>
        <x:v>0</x:v>
      </x:c>
      <x:c r="T1260" s="12" t="n">
        <x:f>ROUND(S1260*F1260+0.000000001,2)</x:f>
        <x:v>0</x:v>
      </x:c>
      <x:c r="U1260" s="12" t="n">
        <x:f>E1260*R1260</x:f>
        <x:v>0</x:v>
      </x:c>
      <x:c r="V1260" t="str">
        <x:f>IF(AND(C1260="Active",Q1260=0),"Active Zero Sales","Not Zero Sales")</x:f>
        <x:v>Not Zero Sales</x:v>
      </x:c>
      <x:c r="W1260" s="12" t="n">
        <x:f>IF(V1260="Active Zero Sales",U1260,0)</x:f>
        <x:v>0</x:v>
      </x:c>
      <x:c r="X1260" t="str">
        <x:f>IF(E1260&lt;25,"Low &lt; 25",IF(E1260&lt;100,"Medium 25-99",IF(E1260&lt;300,"High 100-299","Premium 300+")))</x:f>
        <x:v>Medium 25-99</x:v>
      </x:c>
      <x:c r="Y1260" t="n">
        <x:f>IF(C1260="Active",1,0)</x:f>
        <x:v>0</x:v>
      </x:c>
    </x:row>
    <x:row r="1261">
      <x:c r="A1261" t="str">
        <x:v>SKU01260</x:v>
      </x:c>
      <x:c r="B1261" t="str">
        <x:v>Sample Product 01260</x:v>
      </x:c>
      <x:c r="C1261" t="str">
        <x:v>Active</x:v>
      </x:c>
      <x:c r="D1261" t="str">
        <x:v>2026-05</x:v>
      </x:c>
      <x:c r="E1261" s="12" t="n">
        <x:v>22.19</x:v>
      </x:c>
      <x:c r="F1261" s="10" t="n">
        <x:v>0.599</x:v>
      </x:c>
      <x:c r="G1261" t="str">
        <x:v>Personal Care</x:v>
      </x:c>
      <x:c r="H1261" t="str">
        <x:v>Hair Care</x:v>
      </x:c>
      <x:c r="I1261" t="str">
        <x:v>MFG015</x:v>
      </x:c>
      <x:c r="J1261" t="str">
        <x:v>Manufacturer 015</x:v>
      </x:c>
      <x:c r="K1261" t="str">
        <x:v>SUP027</x:v>
      </x:c>
      <x:c r="L1261" t="str">
        <x:v>Supplier 027</x:v>
      </x:c>
      <x:c r="M1261" t="str">
        <x:v>REG-653703</x:v>
      </x:c>
      <x:c r="N1261" t="str">
        <x:v>Generic Ingredient 106</x:v>
      </x:c>
      <x:c r="O1261" t="str">
        <x:v>General Sale</x:v>
      </x:c>
      <x:c r="P1261" t="n">
        <x:v>84</x:v>
      </x:c>
      <x:c r="Q1261" t="n">
        <x:v>50</x:v>
      </x:c>
      <x:c r="R1261" t="n">
        <x:v>13</x:v>
      </x:c>
      <x:c r="S1261" s="12" t="n">
        <x:f>E1261*Q1261</x:f>
        <x:v>1109.5</x:v>
      </x:c>
      <x:c r="T1261" s="12" t="n">
        <x:f>ROUND(S1261*F1261+0.000000001,2)</x:f>
        <x:v>664.59</x:v>
      </x:c>
      <x:c r="U1261" s="12" t="n">
        <x:f>E1261*R1261</x:f>
        <x:v>288.47</x:v>
      </x:c>
      <x:c r="V1261" t="str">
        <x:f>IF(AND(C1261="Active",Q1261=0),"Active Zero Sales","Not Zero Sales")</x:f>
        <x:v>Not Zero Sales</x:v>
      </x:c>
      <x:c r="W1261" s="12" t="n">
        <x:f>IF(V1261="Active Zero Sales",U1261,0)</x:f>
        <x:v>0</x:v>
      </x:c>
      <x:c r="X1261" t="str">
        <x:f>IF(E1261&lt;25,"Low &lt; 25",IF(E1261&lt;100,"Medium 25-99",IF(E1261&lt;300,"High 100-299","Premium 300+")))</x:f>
        <x:v>Low &lt; 25</x:v>
      </x:c>
      <x:c r="Y1261" t="n">
        <x:f>IF(C1261="Active",1,0)</x:f>
        <x:v>1</x:v>
      </x:c>
    </x:row>
    <x:row r="1262">
      <x:c r="A1262" t="str">
        <x:v>SKU01261</x:v>
      </x:c>
      <x:c r="B1262" t="str">
        <x:v>Sample Product 01261</x:v>
      </x:c>
      <x:c r="C1262" t="str">
        <x:v>Blocked</x:v>
      </x:c>
      <x:c r="D1262" t="str">
        <x:v>2026-06</x:v>
      </x:c>
      <x:c r="E1262" s="12" t="n">
        <x:v>12.86</x:v>
      </x:c>
      <x:c r="F1262" s="10" t="n">
        <x:v>0.308</x:v>
      </x:c>
      <x:c r="G1262" t="str">
        <x:v>Nutrition</x:v>
      </x:c>
      <x:c r="H1262" t="str">
        <x:v>Healthy Snacks</x:v>
      </x:c>
      <x:c r="I1262" t="str">
        <x:v>MFG017</x:v>
      </x:c>
      <x:c r="J1262" t="str">
        <x:v>Manufacturer 017</x:v>
      </x:c>
      <x:c r="K1262" t="str">
        <x:v>SUP014</x:v>
      </x:c>
      <x:c r="L1262" t="str">
        <x:v>Supplier 014</x:v>
      </x:c>
      <x:c r="M1262" t="str">
        <x:v>REG-766758</x:v>
      </x:c>
      <x:c r="N1262" t="str">
        <x:v>Generic Ingredient 105</x:v>
      </x:c>
      <x:c r="O1262" t="str">
        <x:v>General Sale</x:v>
      </x:c>
      <x:c r="P1262" t="n">
        <x:v>2</x:v>
      </x:c>
      <x:c r="Q1262" t="n">
        <x:v>0</x:v>
      </x:c>
      <x:c r="R1262" t="n">
        <x:v>0</x:v>
      </x:c>
      <x:c r="S1262" s="12" t="n">
        <x:f>E1262*Q1262</x:f>
        <x:v>0</x:v>
      </x:c>
      <x:c r="T1262" s="12" t="n">
        <x:f>ROUND(S1262*F1262+0.000000001,2)</x:f>
        <x:v>0</x:v>
      </x:c>
      <x:c r="U1262" s="12" t="n">
        <x:f>E1262*R1262</x:f>
        <x:v>0</x:v>
      </x:c>
      <x:c r="V1262" t="str">
        <x:f>IF(AND(C1262="Active",Q1262=0),"Active Zero Sales","Not Zero Sales")</x:f>
        <x:v>Not Zero Sales</x:v>
      </x:c>
      <x:c r="W1262" s="12" t="n">
        <x:f>IF(V1262="Active Zero Sales",U1262,0)</x:f>
        <x:v>0</x:v>
      </x:c>
      <x:c r="X1262" t="str">
        <x:f>IF(E1262&lt;25,"Low &lt; 25",IF(E1262&lt;100,"Medium 25-99",IF(E1262&lt;300,"High 100-299","Premium 300+")))</x:f>
        <x:v>Low &lt; 25</x:v>
      </x:c>
      <x:c r="Y1262" t="n">
        <x:f>IF(C1262="Active",1,0)</x:f>
        <x:v>0</x:v>
      </x:c>
    </x:row>
    <x:row r="1263">
      <x:c r="A1263" t="str">
        <x:v>SKU01262</x:v>
      </x:c>
      <x:c r="B1263" t="str">
        <x:v>Sample Product 01262</x:v>
      </x:c>
      <x:c r="C1263" t="str">
        <x:v>Active</x:v>
      </x:c>
      <x:c r="D1263" t="str">
        <x:v>2026-05</x:v>
      </x:c>
      <x:c r="E1263" s="12" t="n">
        <x:v>192.42</x:v>
      </x:c>
      <x:c r="F1263" s="10" t="n">
        <x:v>0.345</x:v>
      </x:c>
      <x:c r="G1263" t="str">
        <x:v>General Merchandise</x:v>
      </x:c>
      <x:c r="H1263" t="str">
        <x:v>Seasonal Care</x:v>
      </x:c>
      <x:c r="I1263" t="str">
        <x:v>MFG011</x:v>
      </x:c>
      <x:c r="J1263" t="str">
        <x:v>Manufacturer 011</x:v>
      </x:c>
      <x:c r="K1263" t="str">
        <x:v>SUP027</x:v>
      </x:c>
      <x:c r="L1263" t="str">
        <x:v>Supplier 027</x:v>
      </x:c>
      <x:c r="M1263" t="str">
        <x:v>REG-544292</x:v>
      </x:c>
      <x:c r="N1263" t="str">
        <x:v>Generic Ingredient 003</x:v>
      </x:c>
      <x:c r="O1263" t="str">
        <x:v>General Sale</x:v>
      </x:c>
      <x:c r="P1263" t="n">
        <x:v>51</x:v>
      </x:c>
      <x:c r="Q1263" t="n">
        <x:v>11</x:v>
      </x:c>
      <x:c r="R1263" t="n">
        <x:v>0</x:v>
      </x:c>
      <x:c r="S1263" s="12" t="n">
        <x:f>E1263*Q1263</x:f>
        <x:v>2116.62</x:v>
      </x:c>
      <x:c r="T1263" s="12" t="n">
        <x:f>ROUND(S1263*F1263+0.000000001,2)</x:f>
        <x:v>730.23</x:v>
      </x:c>
      <x:c r="U1263" s="12" t="n">
        <x:f>E1263*R1263</x:f>
        <x:v>0</x:v>
      </x:c>
      <x:c r="V1263" t="str">
        <x:f>IF(AND(C1263="Active",Q1263=0),"Active Zero Sales","Not Zero Sales")</x:f>
        <x:v>Not Zero Sales</x:v>
      </x:c>
      <x:c r="W1263" s="12" t="n">
        <x:f>IF(V1263="Active Zero Sales",U1263,0)</x:f>
        <x:v>0</x:v>
      </x:c>
      <x:c r="X1263" t="str">
        <x:f>IF(E1263&lt;25,"Low &lt; 25",IF(E1263&lt;100,"Medium 25-99",IF(E1263&lt;300,"High 100-299","Premium 300+")))</x:f>
        <x:v>High 100-299</x:v>
      </x:c>
      <x:c r="Y1263" t="n">
        <x:f>IF(C1263="Active",1,0)</x:f>
        <x:v>1</x:v>
      </x:c>
    </x:row>
    <x:row r="1264">
      <x:c r="A1264" t="str">
        <x:v>SKU01263</x:v>
      </x:c>
      <x:c r="B1264" t="str">
        <x:v>Sample Product 01263</x:v>
      </x:c>
      <x:c r="C1264" t="str">
        <x:v>Active</x:v>
      </x:c>
      <x:c r="D1264" t="str">
        <x:v>2026-02</x:v>
      </x:c>
      <x:c r="E1264" s="12" t="n">
        <x:v>220.14</x:v>
      </x:c>
      <x:c r="F1264" s="10" t="n">
        <x:v>0.32</x:v>
      </x:c>
      <x:c r="G1264" t="str">
        <x:v>OTC &amp; Wellness</x:v>
      </x:c>
      <x:c r="H1264" t="str">
        <x:v>Cold &amp; Allergy</x:v>
      </x:c>
      <x:c r="I1264" t="str">
        <x:v>MFG014</x:v>
      </x:c>
      <x:c r="J1264" t="str">
        <x:v>Manufacturer 014</x:v>
      </x:c>
      <x:c r="K1264" t="str">
        <x:v>SUP004</x:v>
      </x:c>
      <x:c r="L1264" t="str">
        <x:v>Supplier 004</x:v>
      </x:c>
      <x:c r="M1264" t="str">
        <x:v>REG-662596</x:v>
      </x:c>
      <x:c r="N1264" t="str">
        <x:v>Generic Ingredient 023</x:v>
      </x:c>
      <x:c r="O1264" t="str">
        <x:v>General Sale</x:v>
      </x:c>
      <x:c r="P1264" t="n">
        <x:v>71</x:v>
      </x:c>
      <x:c r="Q1264" t="n">
        <x:v>72</x:v>
      </x:c>
      <x:c r="R1264" t="n">
        <x:v>9</x:v>
      </x:c>
      <x:c r="S1264" s="12" t="n">
        <x:f>E1264*Q1264</x:f>
        <x:v>15850.079999999998</x:v>
      </x:c>
      <x:c r="T1264" s="12" t="n">
        <x:f>ROUND(S1264*F1264+0.000000001,2)</x:f>
        <x:v>5072.03</x:v>
      </x:c>
      <x:c r="U1264" s="12" t="n">
        <x:f>E1264*R1264</x:f>
        <x:v>1981.2599999999998</x:v>
      </x:c>
      <x:c r="V1264" t="str">
        <x:f>IF(AND(C1264="Active",Q1264=0),"Active Zero Sales","Not Zero Sales")</x:f>
        <x:v>Not Zero Sales</x:v>
      </x:c>
      <x:c r="W1264" s="12" t="n">
        <x:f>IF(V1264="Active Zero Sales",U1264,0)</x:f>
        <x:v>0</x:v>
      </x:c>
      <x:c r="X1264" t="str">
        <x:f>IF(E1264&lt;25,"Low &lt; 25",IF(E1264&lt;100,"Medium 25-99",IF(E1264&lt;300,"High 100-299","Premium 300+")))</x:f>
        <x:v>High 100-299</x:v>
      </x:c>
      <x:c r="Y1264" t="n">
        <x:f>IF(C1264="Active",1,0)</x:f>
        <x:v>1</x:v>
      </x:c>
    </x:row>
    <x:row r="1265">
      <x:c r="A1265" t="str">
        <x:v>SKU01264</x:v>
      </x:c>
      <x:c r="B1265" t="str">
        <x:v>Sample Product 01264</x:v>
      </x:c>
      <x:c r="C1265" t="str">
        <x:v>Active</x:v>
      </x:c>
      <x:c r="D1265" t="str">
        <x:v>2026-05</x:v>
      </x:c>
      <x:c r="E1265" s="12" t="n">
        <x:v>73.07</x:v>
      </x:c>
      <x:c r="F1265" s="10" t="n">
        <x:v>0.329</x:v>
      </x:c>
      <x:c r="G1265" t="str">
        <x:v>Nutrition</x:v>
      </x:c>
      <x:c r="H1265" t="str">
        <x:v>Adult Nutrition</x:v>
      </x:c>
      <x:c r="I1265" t="str">
        <x:v>MFG003</x:v>
      </x:c>
      <x:c r="J1265" t="str">
        <x:v>Manufacturer 003</x:v>
      </x:c>
      <x:c r="K1265" t="str">
        <x:v>SUP009</x:v>
      </x:c>
      <x:c r="L1265" t="str">
        <x:v>Supplier 009</x:v>
      </x:c>
      <x:c r="M1265" t="str">
        <x:v>REG-624414</x:v>
      </x:c>
      <x:c r="N1265" t="str">
        <x:v>Generic Ingredient 062</x:v>
      </x:c>
      <x:c r="O1265" t="str">
        <x:v>Pharmacy Only</x:v>
      </x:c>
      <x:c r="P1265" t="n">
        <x:v>44</x:v>
      </x:c>
      <x:c r="Q1265" t="n">
        <x:v>35</x:v>
      </x:c>
      <x:c r="R1265" t="n">
        <x:v>15</x:v>
      </x:c>
      <x:c r="S1265" s="12" t="n">
        <x:f>E1265*Q1265</x:f>
        <x:v>2557.45</x:v>
      </x:c>
      <x:c r="T1265" s="12" t="n">
        <x:f>ROUND(S1265*F1265+0.000000001,2)</x:f>
        <x:v>841.4</x:v>
      </x:c>
      <x:c r="U1265" s="12" t="n">
        <x:f>E1265*R1265</x:f>
        <x:v>1096.05</x:v>
      </x:c>
      <x:c r="V1265" t="str">
        <x:f>IF(AND(C1265="Active",Q1265=0),"Active Zero Sales","Not Zero Sales")</x:f>
        <x:v>Not Zero Sales</x:v>
      </x:c>
      <x:c r="W1265" s="12" t="n">
        <x:f>IF(V1265="Active Zero Sales",U1265,0)</x:f>
        <x:v>0</x:v>
      </x:c>
      <x:c r="X1265" t="str">
        <x:f>IF(E1265&lt;25,"Low &lt; 25",IF(E1265&lt;100,"Medium 25-99",IF(E1265&lt;300,"High 100-299","Premium 300+")))</x:f>
        <x:v>Medium 25-99</x:v>
      </x:c>
      <x:c r="Y1265" t="n">
        <x:f>IF(C1265="Active",1,0)</x:f>
        <x:v>1</x:v>
      </x:c>
    </x:row>
    <x:row r="1266">
      <x:c r="A1266" t="str">
        <x:v>SKU01265</x:v>
      </x:c>
      <x:c r="B1266" t="str">
        <x:v>Sample Product 01265</x:v>
      </x:c>
      <x:c r="C1266" t="str">
        <x:v>Active</x:v>
      </x:c>
      <x:c r="D1266" t="str">
        <x:v>2026-01</x:v>
      </x:c>
      <x:c r="E1266" s="12" t="n">
        <x:v>20.58</x:v>
      </x:c>
      <x:c r="F1266" s="10" t="n">
        <x:v>0.368</x:v>
      </x:c>
      <x:c r="G1266" t="str">
        <x:v>Personal Care</x:v>
      </x:c>
      <x:c r="H1266" t="str">
        <x:v>Hair Care</x:v>
      </x:c>
      <x:c r="I1266" t="str">
        <x:v>MFG018</x:v>
      </x:c>
      <x:c r="J1266" t="str">
        <x:v>Manufacturer 018</x:v>
      </x:c>
      <x:c r="K1266" t="str">
        <x:v>SUP019</x:v>
      </x:c>
      <x:c r="L1266" t="str">
        <x:v>Supplier 019</x:v>
      </x:c>
      <x:c r="M1266" t="str">
        <x:v>REG-532609</x:v>
      </x:c>
      <x:c r="N1266" t="str">
        <x:v>Generic Ingredient 061</x:v>
      </x:c>
      <x:c r="O1266" t="str">
        <x:v>General Sale</x:v>
      </x:c>
      <x:c r="P1266" t="n">
        <x:v>62</x:v>
      </x:c>
      <x:c r="Q1266" t="n">
        <x:v>5</x:v>
      </x:c>
      <x:c r="R1266" t="n">
        <x:v>13</x:v>
      </x:c>
      <x:c r="S1266" s="12" t="n">
        <x:f>E1266*Q1266</x:f>
        <x:v>102.89999999999999</x:v>
      </x:c>
      <x:c r="T1266" s="12" t="n">
        <x:f>ROUND(S1266*F1266+0.000000001,2)</x:f>
        <x:v>37.87</x:v>
      </x:c>
      <x:c r="U1266" s="12" t="n">
        <x:f>E1266*R1266</x:f>
        <x:v>267.53999999999996</x:v>
      </x:c>
      <x:c r="V1266" t="str">
        <x:f>IF(AND(C1266="Active",Q1266=0),"Active Zero Sales","Not Zero Sales")</x:f>
        <x:v>Not Zero Sales</x:v>
      </x:c>
      <x:c r="W1266" s="12" t="n">
        <x:f>IF(V1266="Active Zero Sales",U1266,0)</x:f>
        <x:v>0</x:v>
      </x:c>
      <x:c r="X1266" t="str">
        <x:f>IF(E1266&lt;25,"Low &lt; 25",IF(E1266&lt;100,"Medium 25-99",IF(E1266&lt;300,"High 100-299","Premium 300+")))</x:f>
        <x:v>Low &lt; 25</x:v>
      </x:c>
      <x:c r="Y1266" t="n">
        <x:f>IF(C1266="Active",1,0)</x:f>
        <x:v>1</x:v>
      </x:c>
    </x:row>
    <x:row r="1267">
      <x:c r="A1267" t="str">
        <x:v>SKU01266</x:v>
      </x:c>
      <x:c r="B1267" t="str">
        <x:v>Sample Product 01266</x:v>
      </x:c>
      <x:c r="C1267" t="str">
        <x:v>Active</x:v>
      </x:c>
      <x:c r="D1267" t="str">
        <x:v>2026-01</x:v>
      </x:c>
      <x:c r="E1267" s="12" t="n">
        <x:v>67.54</x:v>
      </x:c>
      <x:c r="F1267" s="10" t="n">
        <x:v>0.371</x:v>
      </x:c>
      <x:c r="G1267" t="str">
        <x:v>OTC &amp; Wellness</x:v>
      </x:c>
      <x:c r="H1267" t="str">
        <x:v>Cold &amp; Allergy</x:v>
      </x:c>
      <x:c r="I1267" t="str">
        <x:v>MFG002</x:v>
      </x:c>
      <x:c r="J1267" t="str">
        <x:v>Manufacturer 002</x:v>
      </x:c>
      <x:c r="K1267" t="str">
        <x:v>SUP001</x:v>
      </x:c>
      <x:c r="L1267" t="str">
        <x:v>Supplier 001</x:v>
      </x:c>
      <x:c r="M1267" t="str">
        <x:v>REG-684135</x:v>
      </x:c>
      <x:c r="N1267" t="str">
        <x:v>Generic Ingredient 068</x:v>
      </x:c>
      <x:c r="O1267" t="str">
        <x:v>Pharmacy Only</x:v>
      </x:c>
      <x:c r="P1267" t="n">
        <x:v>54</x:v>
      </x:c>
      <x:c r="Q1267" t="n">
        <x:v>14</x:v>
      </x:c>
      <x:c r="R1267" t="n">
        <x:v>0</x:v>
      </x:c>
      <x:c r="S1267" s="12" t="n">
        <x:f>E1267*Q1267</x:f>
        <x:v>945.5600000000001</x:v>
      </x:c>
      <x:c r="T1267" s="12" t="n">
        <x:f>ROUND(S1267*F1267+0.000000001,2)</x:f>
        <x:v>350.8</x:v>
      </x:c>
      <x:c r="U1267" s="12" t="n">
        <x:f>E1267*R1267</x:f>
        <x:v>0</x:v>
      </x:c>
      <x:c r="V1267" t="str">
        <x:f>IF(AND(C1267="Active",Q1267=0),"Active Zero Sales","Not Zero Sales")</x:f>
        <x:v>Not Zero Sales</x:v>
      </x:c>
      <x:c r="W1267" s="12" t="n">
        <x:f>IF(V1267="Active Zero Sales",U1267,0)</x:f>
        <x:v>0</x:v>
      </x:c>
      <x:c r="X1267" t="str">
        <x:f>IF(E1267&lt;25,"Low &lt; 25",IF(E1267&lt;100,"Medium 25-99",IF(E1267&lt;300,"High 100-299","Premium 300+")))</x:f>
        <x:v>Medium 25-99</x:v>
      </x:c>
      <x:c r="Y1267" t="n">
        <x:f>IF(C1267="Active",1,0)</x:f>
        <x:v>1</x:v>
      </x:c>
    </x:row>
    <x:row r="1268">
      <x:c r="A1268" t="str">
        <x:v>SKU01267</x:v>
      </x:c>
      <x:c r="B1268" t="str">
        <x:v>Sample Product 01267</x:v>
      </x:c>
      <x:c r="C1268" t="str">
        <x:v>Active</x:v>
      </x:c>
      <x:c r="D1268" t="str">
        <x:v>2026-03</x:v>
      </x:c>
      <x:c r="E1268" s="12" t="n">
        <x:v>202.28</x:v>
      </x:c>
      <x:c r="F1268" s="10" t="n">
        <x:v>0.245</x:v>
      </x:c>
      <x:c r="G1268" t="str">
        <x:v>Medical Devices</x:v>
      </x:c>
      <x:c r="H1268" t="str">
        <x:v>Home Diagnostics</x:v>
      </x:c>
      <x:c r="I1268" t="str">
        <x:v>MFG005</x:v>
      </x:c>
      <x:c r="J1268" t="str">
        <x:v>Manufacturer 005</x:v>
      </x:c>
      <x:c r="K1268" t="str">
        <x:v>SUP003</x:v>
      </x:c>
      <x:c r="L1268" t="str">
        <x:v>Supplier 003</x:v>
      </x:c>
      <x:c r="M1268" t="str">
        <x:v>REG-869152</x:v>
      </x:c>
      <x:c r="N1268" t="str">
        <x:v>Generic Ingredient 157</x:v>
      </x:c>
      <x:c r="O1268" t="str">
        <x:v>General Sale</x:v>
      </x:c>
      <x:c r="P1268" t="n">
        <x:v>53</x:v>
      </x:c>
      <x:c r="Q1268" t="n">
        <x:v>24</x:v>
      </x:c>
      <x:c r="R1268" t="n">
        <x:v>0</x:v>
      </x:c>
      <x:c r="S1268" s="12" t="n">
        <x:f>E1268*Q1268</x:f>
        <x:v>4854.72</x:v>
      </x:c>
      <x:c r="T1268" s="12" t="n">
        <x:f>ROUND(S1268*F1268+0.000000001,2)</x:f>
        <x:v>1189.41</x:v>
      </x:c>
      <x:c r="U1268" s="12" t="n">
        <x:f>E1268*R1268</x:f>
        <x:v>0</x:v>
      </x:c>
      <x:c r="V1268" t="str">
        <x:f>IF(AND(C1268="Active",Q1268=0),"Active Zero Sales","Not Zero Sales")</x:f>
        <x:v>Not Zero Sales</x:v>
      </x:c>
      <x:c r="W1268" s="12" t="n">
        <x:f>IF(V1268="Active Zero Sales",U1268,0)</x:f>
        <x:v>0</x:v>
      </x:c>
      <x:c r="X1268" t="str">
        <x:f>IF(E1268&lt;25,"Low &lt; 25",IF(E1268&lt;100,"Medium 25-99",IF(E1268&lt;300,"High 100-299","Premium 300+")))</x:f>
        <x:v>High 100-299</x:v>
      </x:c>
      <x:c r="Y1268" t="n">
        <x:f>IF(C1268="Active",1,0)</x:f>
        <x:v>1</x:v>
      </x:c>
    </x:row>
    <x:row r="1269">
      <x:c r="A1269" t="str">
        <x:v>SKU01268</x:v>
      </x:c>
      <x:c r="B1269" t="str">
        <x:v>Sample Product 01268</x:v>
      </x:c>
      <x:c r="C1269" t="str">
        <x:v>Active</x:v>
      </x:c>
      <x:c r="D1269" t="str">
        <x:v>2026-01</x:v>
      </x:c>
      <x:c r="E1269" s="12" t="n">
        <x:v>367.61</x:v>
      </x:c>
      <x:c r="F1269" s="10" t="n">
        <x:v>0.413</x:v>
      </x:c>
      <x:c r="G1269" t="str">
        <x:v>Personal Care</x:v>
      </x:c>
      <x:c r="H1269" t="str">
        <x:v>Hygiene</x:v>
      </x:c>
      <x:c r="I1269" t="str">
        <x:v>MFG020</x:v>
      </x:c>
      <x:c r="J1269" t="str">
        <x:v>Manufacturer 020</x:v>
      </x:c>
      <x:c r="K1269" t="str">
        <x:v>SUP010</x:v>
      </x:c>
      <x:c r="L1269" t="str">
        <x:v>Supplier 010</x:v>
      </x:c>
      <x:c r="M1269" t="str">
        <x:v>REG-365020</x:v>
      </x:c>
      <x:c r="N1269" t="str">
        <x:v>Generic Ingredient 161</x:v>
      </x:c>
      <x:c r="O1269" t="str">
        <x:v>General Sale</x:v>
      </x:c>
      <x:c r="P1269" t="n">
        <x:v>76</x:v>
      </x:c>
      <x:c r="Q1269" t="n">
        <x:v>26</x:v>
      </x:c>
      <x:c r="R1269" t="n">
        <x:v>15</x:v>
      </x:c>
      <x:c r="S1269" s="12" t="n">
        <x:f>E1269*Q1269</x:f>
        <x:v>9557.86</x:v>
      </x:c>
      <x:c r="T1269" s="12" t="n">
        <x:f>ROUND(S1269*F1269+0.000000001,2)</x:f>
        <x:v>3947.4</x:v>
      </x:c>
      <x:c r="U1269" s="12" t="n">
        <x:f>E1269*R1269</x:f>
        <x:v>5514.150000000001</x:v>
      </x:c>
      <x:c r="V1269" t="str">
        <x:f>IF(AND(C1269="Active",Q1269=0),"Active Zero Sales","Not Zero Sales")</x:f>
        <x:v>Not Zero Sales</x:v>
      </x:c>
      <x:c r="W1269" s="12" t="n">
        <x:f>IF(V1269="Active Zero Sales",U1269,0)</x:f>
        <x:v>0</x:v>
      </x:c>
      <x:c r="X1269" t="str">
        <x:f>IF(E1269&lt;25,"Low &lt; 25",IF(E1269&lt;100,"Medium 25-99",IF(E1269&lt;300,"High 100-299","Premium 300+")))</x:f>
        <x:v>Premium 300+</x:v>
      </x:c>
      <x:c r="Y1269" t="n">
        <x:f>IF(C1269="Active",1,0)</x:f>
        <x:v>1</x:v>
      </x:c>
    </x:row>
    <x:row r="1270">
      <x:c r="A1270" t="str">
        <x:v>SKU01269</x:v>
      </x:c>
      <x:c r="B1270" t="str">
        <x:v>Sample Product 01269</x:v>
      </x:c>
      <x:c r="C1270" t="str">
        <x:v>Active</x:v>
      </x:c>
      <x:c r="D1270" t="str">
        <x:v>2026-01</x:v>
      </x:c>
      <x:c r="E1270" s="12" t="n">
        <x:v>284.09</x:v>
      </x:c>
      <x:c r="F1270" s="10" t="n">
        <x:v>0.404</x:v>
      </x:c>
      <x:c r="G1270" t="str">
        <x:v>OTC &amp; Wellness</x:v>
      </x:c>
      <x:c r="H1270" t="str">
        <x:v>Vitamins</x:v>
      </x:c>
      <x:c r="I1270" t="str">
        <x:v>MFG013</x:v>
      </x:c>
      <x:c r="J1270" t="str">
        <x:v>Manufacturer 013</x:v>
      </x:c>
      <x:c r="K1270" t="str">
        <x:v>SUP018</x:v>
      </x:c>
      <x:c r="L1270" t="str">
        <x:v>Supplier 018</x:v>
      </x:c>
      <x:c r="M1270" t="str">
        <x:v>REG-915471</x:v>
      </x:c>
      <x:c r="N1270" t="str">
        <x:v>Generic Ingredient 045</x:v>
      </x:c>
      <x:c r="O1270" t="str">
        <x:v>General Sale</x:v>
      </x:c>
      <x:c r="P1270" t="n">
        <x:v>45</x:v>
      </x:c>
      <x:c r="Q1270" t="n">
        <x:v>22</x:v>
      </x:c>
      <x:c r="R1270" t="n">
        <x:v>14</x:v>
      </x:c>
      <x:c r="S1270" s="12" t="n">
        <x:f>E1270*Q1270</x:f>
        <x:v>6249.98</x:v>
      </x:c>
      <x:c r="T1270" s="12" t="n">
        <x:f>ROUND(S1270*F1270+0.000000001,2)</x:f>
        <x:v>2524.99</x:v>
      </x:c>
      <x:c r="U1270" s="12" t="n">
        <x:f>E1270*R1270</x:f>
        <x:v>3977.2599999999998</x:v>
      </x:c>
      <x:c r="V1270" t="str">
        <x:f>IF(AND(C1270="Active",Q1270=0),"Active Zero Sales","Not Zero Sales")</x:f>
        <x:v>Not Zero Sales</x:v>
      </x:c>
      <x:c r="W1270" s="12" t="n">
        <x:f>IF(V1270="Active Zero Sales",U1270,0)</x:f>
        <x:v>0</x:v>
      </x:c>
      <x:c r="X1270" t="str">
        <x:f>IF(E1270&lt;25,"Low &lt; 25",IF(E1270&lt;100,"Medium 25-99",IF(E1270&lt;300,"High 100-299","Premium 300+")))</x:f>
        <x:v>High 100-299</x:v>
      </x:c>
      <x:c r="Y1270" t="n">
        <x:f>IF(C1270="Active",1,0)</x:f>
        <x:v>1</x:v>
      </x:c>
    </x:row>
    <x:row r="1271">
      <x:c r="A1271" t="str">
        <x:v>SKU01270</x:v>
      </x:c>
      <x:c r="B1271" t="str">
        <x:v>Sample Product 01270</x:v>
      </x:c>
      <x:c r="C1271" t="str">
        <x:v>Active</x:v>
      </x:c>
      <x:c r="D1271" t="str">
        <x:v>2026-01</x:v>
      </x:c>
      <x:c r="E1271" s="12" t="n">
        <x:v>20.72</x:v>
      </x:c>
      <x:c r="F1271" s="10" t="n">
        <x:v>0.328</x:v>
      </x:c>
      <x:c r="G1271" t="str">
        <x:v>OTC &amp; Wellness</x:v>
      </x:c>
      <x:c r="H1271" t="str">
        <x:v>Cold &amp; Allergy</x:v>
      </x:c>
      <x:c r="I1271" t="str">
        <x:v>MFG015</x:v>
      </x:c>
      <x:c r="J1271" t="str">
        <x:v>Manufacturer 015</x:v>
      </x:c>
      <x:c r="K1271" t="str">
        <x:v>SUP011</x:v>
      </x:c>
      <x:c r="L1271" t="str">
        <x:v>Supplier 011</x:v>
      </x:c>
      <x:c r="M1271" t="str">
        <x:v>REG-978998</x:v>
      </x:c>
      <x:c r="N1271" t="str">
        <x:v>Generic Ingredient 162</x:v>
      </x:c>
      <x:c r="O1271" t="str">
        <x:v>General Sale</x:v>
      </x:c>
      <x:c r="P1271" t="n">
        <x:v>48</x:v>
      </x:c>
      <x:c r="Q1271" t="n">
        <x:v>29</x:v>
      </x:c>
      <x:c r="R1271" t="n">
        <x:v>10</x:v>
      </x:c>
      <x:c r="S1271" s="12" t="n">
        <x:f>E1271*Q1271</x:f>
        <x:v>600.88</x:v>
      </x:c>
      <x:c r="T1271" s="12" t="n">
        <x:f>ROUND(S1271*F1271+0.000000001,2)</x:f>
        <x:v>197.09</x:v>
      </x:c>
      <x:c r="U1271" s="12" t="n">
        <x:f>E1271*R1271</x:f>
        <x:v>207.2</x:v>
      </x:c>
      <x:c r="V1271" t="str">
        <x:f>IF(AND(C1271="Active",Q1271=0),"Active Zero Sales","Not Zero Sales")</x:f>
        <x:v>Not Zero Sales</x:v>
      </x:c>
      <x:c r="W1271" s="12" t="n">
        <x:f>IF(V1271="Active Zero Sales",U1271,0)</x:f>
        <x:v>0</x:v>
      </x:c>
      <x:c r="X1271" t="str">
        <x:f>IF(E1271&lt;25,"Low &lt; 25",IF(E1271&lt;100,"Medium 25-99",IF(E1271&lt;300,"High 100-299","Premium 300+")))</x:f>
        <x:v>Low &lt; 25</x:v>
      </x:c>
      <x:c r="Y1271" t="n">
        <x:f>IF(C1271="Active",1,0)</x:f>
        <x:v>1</x:v>
      </x:c>
    </x:row>
    <x:row r="1272">
      <x:c r="A1272" t="str">
        <x:v>SKU01271</x:v>
      </x:c>
      <x:c r="B1272" t="str">
        <x:v>Sample Product 01271</x:v>
      </x:c>
      <x:c r="C1272" t="str">
        <x:v>Active</x:v>
      </x:c>
      <x:c r="D1272" t="str">
        <x:v>2026-04</x:v>
      </x:c>
      <x:c r="E1272" s="12" t="n">
        <x:v>71.17</x:v>
      </x:c>
      <x:c r="F1272" s="10" t="n">
        <x:v>0.294</x:v>
      </x:c>
      <x:c r="G1272" t="str">
        <x:v>Medical Devices</x:v>
      </x:c>
      <x:c r="H1272" t="str">
        <x:v>Home Diagnostics</x:v>
      </x:c>
      <x:c r="I1272" t="str">
        <x:v>MFG005</x:v>
      </x:c>
      <x:c r="J1272" t="str">
        <x:v>Manufacturer 005</x:v>
      </x:c>
      <x:c r="K1272" t="str">
        <x:v>SUP003</x:v>
      </x:c>
      <x:c r="L1272" t="str">
        <x:v>Supplier 003</x:v>
      </x:c>
      <x:c r="M1272" t="str">
        <x:v>REG-580075</x:v>
      </x:c>
      <x:c r="N1272" t="str">
        <x:v>Generic Ingredient 056</x:v>
      </x:c>
      <x:c r="O1272" t="str">
        <x:v>General Sale</x:v>
      </x:c>
      <x:c r="P1272" t="n">
        <x:v>60</x:v>
      </x:c>
      <x:c r="Q1272" t="n">
        <x:v>0</x:v>
      </x:c>
      <x:c r="R1272" t="n">
        <x:v>41</x:v>
      </x:c>
      <x:c r="S1272" s="12" t="n">
        <x:f>E1272*Q1272</x:f>
        <x:v>0</x:v>
      </x:c>
      <x:c r="T1272" s="12" t="n">
        <x:f>ROUND(S1272*F1272+0.000000001,2)</x:f>
        <x:v>0</x:v>
      </x:c>
      <x:c r="U1272" s="12" t="n">
        <x:f>E1272*R1272</x:f>
        <x:v>2917.9700000000003</x:v>
      </x:c>
      <x:c r="V1272" t="str">
        <x:f>IF(AND(C1272="Active",Q1272=0),"Active Zero Sales","Not Zero Sales")</x:f>
        <x:v>Active Zero Sales</x:v>
      </x:c>
      <x:c r="W1272" s="12" t="n">
        <x:f>IF(V1272="Active Zero Sales",U1272,0)</x:f>
        <x:v>2917.9700000000003</x:v>
      </x:c>
      <x:c r="X1272" t="str">
        <x:f>IF(E1272&lt;25,"Low &lt; 25",IF(E1272&lt;100,"Medium 25-99",IF(E1272&lt;300,"High 100-299","Premium 300+")))</x:f>
        <x:v>Medium 25-99</x:v>
      </x:c>
      <x:c r="Y1272" t="n">
        <x:f>IF(C1272="Active",1,0)</x:f>
        <x:v>1</x:v>
      </x:c>
    </x:row>
    <x:row r="1273">
      <x:c r="A1273" t="str">
        <x:v>SKU01272</x:v>
      </x:c>
      <x:c r="B1273" t="str">
        <x:v>Sample Product 01272</x:v>
      </x:c>
      <x:c r="C1273" t="str">
        <x:v>Active</x:v>
      </x:c>
      <x:c r="D1273" t="str">
        <x:v>2026-05</x:v>
      </x:c>
      <x:c r="E1273" s="12" t="n">
        <x:v>126.77</x:v>
      </x:c>
      <x:c r="F1273" s="10" t="n">
        <x:v>0.275</x:v>
      </x:c>
      <x:c r="G1273" t="str">
        <x:v>Medical Devices</x:v>
      </x:c>
      <x:c r="H1273" t="str">
        <x:v>Mobility Aids</x:v>
      </x:c>
      <x:c r="I1273" t="str">
        <x:v>MFG002</x:v>
      </x:c>
      <x:c r="J1273" t="str">
        <x:v>Manufacturer 002</x:v>
      </x:c>
      <x:c r="K1273" t="str">
        <x:v>SUP011</x:v>
      </x:c>
      <x:c r="L1273" t="str">
        <x:v>Supplier 011</x:v>
      </x:c>
      <x:c r="M1273" t="str">
        <x:v>REG-443139</x:v>
      </x:c>
      <x:c r="N1273" t="str">
        <x:v>Generic Ingredient 134</x:v>
      </x:c>
      <x:c r="O1273" t="str">
        <x:v>General Sale</x:v>
      </x:c>
      <x:c r="P1273" t="n">
        <x:v>50</x:v>
      </x:c>
      <x:c r="Q1273" t="n">
        <x:v>0</x:v>
      </x:c>
      <x:c r="R1273" t="n">
        <x:v>24</x:v>
      </x:c>
      <x:c r="S1273" s="12" t="n">
        <x:f>E1273*Q1273</x:f>
        <x:v>0</x:v>
      </x:c>
      <x:c r="T1273" s="12" t="n">
        <x:f>ROUND(S1273*F1273+0.000000001,2)</x:f>
        <x:v>0</x:v>
      </x:c>
      <x:c r="U1273" s="12" t="n">
        <x:f>E1273*R1273</x:f>
        <x:v>3042.48</x:v>
      </x:c>
      <x:c r="V1273" t="str">
        <x:f>IF(AND(C1273="Active",Q1273=0),"Active Zero Sales","Not Zero Sales")</x:f>
        <x:v>Active Zero Sales</x:v>
      </x:c>
      <x:c r="W1273" s="12" t="n">
        <x:f>IF(V1273="Active Zero Sales",U1273,0)</x:f>
        <x:v>3042.48</x:v>
      </x:c>
      <x:c r="X1273" t="str">
        <x:f>IF(E1273&lt;25,"Low &lt; 25",IF(E1273&lt;100,"Medium 25-99",IF(E1273&lt;300,"High 100-299","Premium 300+")))</x:f>
        <x:v>High 100-299</x:v>
      </x:c>
      <x:c r="Y1273" t="n">
        <x:f>IF(C1273="Active",1,0)</x:f>
        <x:v>1</x:v>
      </x:c>
    </x:row>
    <x:row r="1274">
      <x:c r="A1274" t="str">
        <x:v>SKU01273</x:v>
      </x:c>
      <x:c r="B1274" t="str">
        <x:v>Sample Product 01273</x:v>
      </x:c>
      <x:c r="C1274" t="str">
        <x:v>Active</x:v>
      </x:c>
      <x:c r="D1274" t="str">
        <x:v>2026-05</x:v>
      </x:c>
      <x:c r="E1274" s="12" t="n">
        <x:v>10.25</x:v>
      </x:c>
      <x:c r="F1274" s="10" t="n">
        <x:v>0.384</x:v>
      </x:c>
      <x:c r="G1274" t="str">
        <x:v>OTC &amp; Wellness</x:v>
      </x:c>
      <x:c r="H1274" t="str">
        <x:v>Pain Relief</x:v>
      </x:c>
      <x:c r="I1274" t="str">
        <x:v>MFG004</x:v>
      </x:c>
      <x:c r="J1274" t="str">
        <x:v>Manufacturer 004</x:v>
      </x:c>
      <x:c r="K1274" t="str">
        <x:v>SUP004</x:v>
      </x:c>
      <x:c r="L1274" t="str">
        <x:v>Supplier 004</x:v>
      </x:c>
      <x:c r="M1274" t="str">
        <x:v>REG-999299</x:v>
      </x:c>
      <x:c r="N1274" t="str">
        <x:v>Generic Ingredient 107</x:v>
      </x:c>
      <x:c r="O1274" t="str">
        <x:v>General Sale</x:v>
      </x:c>
      <x:c r="P1274" t="n">
        <x:v>61</x:v>
      </x:c>
      <x:c r="Q1274" t="n">
        <x:v>23</x:v>
      </x:c>
      <x:c r="R1274" t="n">
        <x:v>13</x:v>
      </x:c>
      <x:c r="S1274" s="12" t="n">
        <x:f>E1274*Q1274</x:f>
        <x:v>235.75</x:v>
      </x:c>
      <x:c r="T1274" s="12" t="n">
        <x:f>ROUND(S1274*F1274+0.000000001,2)</x:f>
        <x:v>90.53</x:v>
      </x:c>
      <x:c r="U1274" s="12" t="n">
        <x:f>E1274*R1274</x:f>
        <x:v>133.25</x:v>
      </x:c>
      <x:c r="V1274" t="str">
        <x:f>IF(AND(C1274="Active",Q1274=0),"Active Zero Sales","Not Zero Sales")</x:f>
        <x:v>Not Zero Sales</x:v>
      </x:c>
      <x:c r="W1274" s="12" t="n">
        <x:f>IF(V1274="Active Zero Sales",U1274,0)</x:f>
        <x:v>0</x:v>
      </x:c>
      <x:c r="X1274" t="str">
        <x:f>IF(E1274&lt;25,"Low &lt; 25",IF(E1274&lt;100,"Medium 25-99",IF(E1274&lt;300,"High 100-299","Premium 300+")))</x:f>
        <x:v>Low &lt; 25</x:v>
      </x:c>
      <x:c r="Y1274" t="n">
        <x:f>IF(C1274="Active",1,0)</x:f>
        <x:v>1</x:v>
      </x:c>
    </x:row>
    <x:row r="1275">
      <x:c r="A1275" t="str">
        <x:v>SKU01274</x:v>
      </x:c>
      <x:c r="B1275" t="str">
        <x:v>Sample Product 01274</x:v>
      </x:c>
      <x:c r="C1275" t="str">
        <x:v>Active</x:v>
      </x:c>
      <x:c r="D1275" t="str">
        <x:v>2026-02</x:v>
      </x:c>
      <x:c r="E1275" s="12" t="n">
        <x:v>69.48</x:v>
      </x:c>
      <x:c r="F1275" s="10" t="n">
        <x:v>0.392</x:v>
      </x:c>
      <x:c r="G1275" t="str">
        <x:v>Personal Care</x:v>
      </x:c>
      <x:c r="H1275" t="str">
        <x:v>Skin Care</x:v>
      </x:c>
      <x:c r="I1275" t="str">
        <x:v>MFG013</x:v>
      </x:c>
      <x:c r="J1275" t="str">
        <x:v>Manufacturer 013</x:v>
      </x:c>
      <x:c r="K1275" t="str">
        <x:v>SUP026</x:v>
      </x:c>
      <x:c r="L1275" t="str">
        <x:v>Supplier 026</x:v>
      </x:c>
      <x:c r="M1275" t="str">
        <x:v>REG-381942</x:v>
      </x:c>
      <x:c r="N1275" t="str">
        <x:v>Generic Ingredient 016</x:v>
      </x:c>
      <x:c r="O1275" t="str">
        <x:v>General Sale</x:v>
      </x:c>
      <x:c r="P1275" t="n">
        <x:v>45</x:v>
      </x:c>
      <x:c r="Q1275" t="n">
        <x:v>21</x:v>
      </x:c>
      <x:c r="R1275" t="n">
        <x:v>3</x:v>
      </x:c>
      <x:c r="S1275" s="12" t="n">
        <x:f>E1275*Q1275</x:f>
        <x:v>1459.0800000000002</x:v>
      </x:c>
      <x:c r="T1275" s="12" t="n">
        <x:f>ROUND(S1275*F1275+0.000000001,2)</x:f>
        <x:v>571.96</x:v>
      </x:c>
      <x:c r="U1275" s="12" t="n">
        <x:f>E1275*R1275</x:f>
        <x:v>208.44</x:v>
      </x:c>
      <x:c r="V1275" t="str">
        <x:f>IF(AND(C1275="Active",Q1275=0),"Active Zero Sales","Not Zero Sales")</x:f>
        <x:v>Not Zero Sales</x:v>
      </x:c>
      <x:c r="W1275" s="12" t="n">
        <x:f>IF(V1275="Active Zero Sales",U1275,0)</x:f>
        <x:v>0</x:v>
      </x:c>
      <x:c r="X1275" t="str">
        <x:f>IF(E1275&lt;25,"Low &lt; 25",IF(E1275&lt;100,"Medium 25-99",IF(E1275&lt;300,"High 100-299","Premium 300+")))</x:f>
        <x:v>Medium 25-99</x:v>
      </x:c>
      <x:c r="Y1275" t="n">
        <x:f>IF(C1275="Active",1,0)</x:f>
        <x:v>1</x:v>
      </x:c>
    </x:row>
    <x:row r="1276">
      <x:c r="A1276" t="str">
        <x:v>SKU01275</x:v>
      </x:c>
      <x:c r="B1276" t="str">
        <x:v>Sample Product 01275</x:v>
      </x:c>
      <x:c r="C1276" t="str">
        <x:v>Active</x:v>
      </x:c>
      <x:c r="D1276" t="str">
        <x:v>2026-06</x:v>
      </x:c>
      <x:c r="E1276" s="12" t="n">
        <x:v>66.12</x:v>
      </x:c>
      <x:c r="F1276" s="10" t="n">
        <x:v>0.259</x:v>
      </x:c>
      <x:c r="G1276" t="str">
        <x:v>Medical Devices</x:v>
      </x:c>
      <x:c r="H1276" t="str">
        <x:v>Home Diagnostics</x:v>
      </x:c>
      <x:c r="I1276" t="str">
        <x:v>MFG004</x:v>
      </x:c>
      <x:c r="J1276" t="str">
        <x:v>Manufacturer 004</x:v>
      </x:c>
      <x:c r="K1276" t="str">
        <x:v>SUP003</x:v>
      </x:c>
      <x:c r="L1276" t="str">
        <x:v>Supplier 003</x:v>
      </x:c>
      <x:c r="M1276" t="str">
        <x:v>REG-165373</x:v>
      </x:c>
      <x:c r="N1276" t="str">
        <x:v>Generic Ingredient 061</x:v>
      </x:c>
      <x:c r="O1276" t="str">
        <x:v>General Sale</x:v>
      </x:c>
      <x:c r="P1276" t="n">
        <x:v>26</x:v>
      </x:c>
      <x:c r="Q1276" t="n">
        <x:v>7</x:v>
      </x:c>
      <x:c r="R1276" t="n">
        <x:v>0</x:v>
      </x:c>
      <x:c r="S1276" s="12" t="n">
        <x:f>E1276*Q1276</x:f>
        <x:v>462.84000000000003</x:v>
      </x:c>
      <x:c r="T1276" s="12" t="n">
        <x:f>ROUND(S1276*F1276+0.000000001,2)</x:f>
        <x:v>119.88</x:v>
      </x:c>
      <x:c r="U1276" s="12" t="n">
        <x:f>E1276*R1276</x:f>
        <x:v>0</x:v>
      </x:c>
      <x:c r="V1276" t="str">
        <x:f>IF(AND(C1276="Active",Q1276=0),"Active Zero Sales","Not Zero Sales")</x:f>
        <x:v>Not Zero Sales</x:v>
      </x:c>
      <x:c r="W1276" s="12" t="n">
        <x:f>IF(V1276="Active Zero Sales",U1276,0)</x:f>
        <x:v>0</x:v>
      </x:c>
      <x:c r="X1276" t="str">
        <x:f>IF(E1276&lt;25,"Low &lt; 25",IF(E1276&lt;100,"Medium 25-99",IF(E1276&lt;300,"High 100-299","Premium 300+")))</x:f>
        <x:v>Medium 25-99</x:v>
      </x:c>
      <x:c r="Y1276" t="n">
        <x:f>IF(C1276="Active",1,0)</x:f>
        <x:v>1</x:v>
      </x:c>
    </x:row>
    <x:row r="1277">
      <x:c r="A1277" t="str">
        <x:v>SKU01276</x:v>
      </x:c>
      <x:c r="B1277" t="str">
        <x:v>Sample Product 01276</x:v>
      </x:c>
      <x:c r="C1277" t="str">
        <x:v>Active</x:v>
      </x:c>
      <x:c r="D1277" t="str">
        <x:v>2026-01</x:v>
      </x:c>
      <x:c r="E1277" s="12" t="n">
        <x:v>625.37</x:v>
      </x:c>
      <x:c r="F1277" s="10" t="n">
        <x:v>0.244</x:v>
      </x:c>
      <x:c r="G1277" t="str">
        <x:v>Medical Devices</x:v>
      </x:c>
      <x:c r="H1277" t="str">
        <x:v>First Aid</x:v>
      </x:c>
      <x:c r="I1277" t="str">
        <x:v>MFG013</x:v>
      </x:c>
      <x:c r="J1277" t="str">
        <x:v>Manufacturer 013</x:v>
      </x:c>
      <x:c r="K1277" t="str">
        <x:v>SUP009</x:v>
      </x:c>
      <x:c r="L1277" t="str">
        <x:v>Supplier 009</x:v>
      </x:c>
      <x:c r="M1277" t="str">
        <x:v>REG-972309</x:v>
      </x:c>
      <x:c r="N1277" t="str">
        <x:v>Generic Ingredient 084</x:v>
      </x:c>
      <x:c r="O1277" t="str">
        <x:v>General Sale</x:v>
      </x:c>
      <x:c r="P1277" t="n">
        <x:v>106</x:v>
      </x:c>
      <x:c r="Q1277" t="n">
        <x:v>54</x:v>
      </x:c>
      <x:c r="R1277" t="n">
        <x:v>24</x:v>
      </x:c>
      <x:c r="S1277" s="12" t="n">
        <x:f>E1277*Q1277</x:f>
        <x:v>33769.98</x:v>
      </x:c>
      <x:c r="T1277" s="12" t="n">
        <x:f>ROUND(S1277*F1277+0.000000001,2)</x:f>
        <x:v>8239.88</x:v>
      </x:c>
      <x:c r="U1277" s="12" t="n">
        <x:f>E1277*R1277</x:f>
        <x:v>15008.880000000001</x:v>
      </x:c>
      <x:c r="V1277" t="str">
        <x:f>IF(AND(C1277="Active",Q1277=0),"Active Zero Sales","Not Zero Sales")</x:f>
        <x:v>Not Zero Sales</x:v>
      </x:c>
      <x:c r="W1277" s="12" t="n">
        <x:f>IF(V1277="Active Zero Sales",U1277,0)</x:f>
        <x:v>0</x:v>
      </x:c>
      <x:c r="X1277" t="str">
        <x:f>IF(E1277&lt;25,"Low &lt; 25",IF(E1277&lt;100,"Medium 25-99",IF(E1277&lt;300,"High 100-299","Premium 300+")))</x:f>
        <x:v>Premium 300+</x:v>
      </x:c>
      <x:c r="Y1277" t="n">
        <x:f>IF(C1277="Active",1,0)</x:f>
        <x:v>1</x:v>
      </x:c>
    </x:row>
    <x:row r="1278">
      <x:c r="A1278" t="str">
        <x:v>SKU01277</x:v>
      </x:c>
      <x:c r="B1278" t="str">
        <x:v>Sample Product 01277</x:v>
      </x:c>
      <x:c r="C1278" t="str">
        <x:v>Blocked</x:v>
      </x:c>
      <x:c r="D1278" t="str">
        <x:v>2026-04</x:v>
      </x:c>
      <x:c r="E1278" s="12" t="n">
        <x:v>5.83</x:v>
      </x:c>
      <x:c r="F1278" s="10" t="n">
        <x:v>0.306</x:v>
      </x:c>
      <x:c r="G1278" t="str">
        <x:v>Medical Devices</x:v>
      </x:c>
      <x:c r="H1278" t="str">
        <x:v>Monitoring Supplies</x:v>
      </x:c>
      <x:c r="I1278" t="str">
        <x:v>MFG007</x:v>
      </x:c>
      <x:c r="J1278" t="str">
        <x:v>Manufacturer 007</x:v>
      </x:c>
      <x:c r="K1278" t="str">
        <x:v>SUP014</x:v>
      </x:c>
      <x:c r="L1278" t="str">
        <x:v>Supplier 014</x:v>
      </x:c>
      <x:c r="M1278" t="str">
        <x:v>REG-597836</x:v>
      </x:c>
      <x:c r="N1278" t="str">
        <x:v>Generic Ingredient 061</x:v>
      </x:c>
      <x:c r="O1278" t="str">
        <x:v>General Sale</x:v>
      </x:c>
      <x:c r="P1278" t="n">
        <x:v>0</x:v>
      </x:c>
      <x:c r="Q1278" t="n">
        <x:v>0</x:v>
      </x:c>
      <x:c r="R1278" t="n">
        <x:v>0</x:v>
      </x:c>
      <x:c r="S1278" s="12" t="n">
        <x:f>E1278*Q1278</x:f>
        <x:v>0</x:v>
      </x:c>
      <x:c r="T1278" s="12" t="n">
        <x:f>ROUND(S1278*F1278+0.000000001,2)</x:f>
        <x:v>0</x:v>
      </x:c>
      <x:c r="U1278" s="12" t="n">
        <x:f>E1278*R1278</x:f>
        <x:v>0</x:v>
      </x:c>
      <x:c r="V1278" t="str">
        <x:f>IF(AND(C1278="Active",Q1278=0),"Active Zero Sales","Not Zero Sales")</x:f>
        <x:v>Not Zero Sales</x:v>
      </x:c>
      <x:c r="W1278" s="12" t="n">
        <x:f>IF(V1278="Active Zero Sales",U1278,0)</x:f>
        <x:v>0</x:v>
      </x:c>
      <x:c r="X1278" t="str">
        <x:f>IF(E1278&lt;25,"Low &lt; 25",IF(E1278&lt;100,"Medium 25-99",IF(E1278&lt;300,"High 100-299","Premium 300+")))</x:f>
        <x:v>Low &lt; 25</x:v>
      </x:c>
      <x:c r="Y1278" t="n">
        <x:f>IF(C1278="Active",1,0)</x:f>
        <x:v>0</x:v>
      </x:c>
    </x:row>
    <x:row r="1279">
      <x:c r="A1279" t="str">
        <x:v>SKU01278</x:v>
      </x:c>
      <x:c r="B1279" t="str">
        <x:v>Sample Product 01278</x:v>
      </x:c>
      <x:c r="C1279" t="str">
        <x:v>Blocked</x:v>
      </x:c>
      <x:c r="D1279" t="str">
        <x:v>2026-05</x:v>
      </x:c>
      <x:c r="E1279" s="12" t="n">
        <x:v>81.94</x:v>
      </x:c>
      <x:c r="F1279" s="10" t="n">
        <x:v>0.19</x:v>
      </x:c>
      <x:c r="G1279" t="str">
        <x:v>Nutrition</x:v>
      </x:c>
      <x:c r="H1279" t="str">
        <x:v>Healthy Snacks</x:v>
      </x:c>
      <x:c r="I1279" t="str">
        <x:v>MFG006</x:v>
      </x:c>
      <x:c r="J1279" t="str">
        <x:v>Manufacturer 006</x:v>
      </x:c>
      <x:c r="K1279" t="str">
        <x:v>SUP022</x:v>
      </x:c>
      <x:c r="L1279" t="str">
        <x:v>Supplier 022</x:v>
      </x:c>
      <x:c r="M1279" t="str">
        <x:v>REG-684344</x:v>
      </x:c>
      <x:c r="N1279" t="str">
        <x:v>Generic Ingredient 042</x:v>
      </x:c>
      <x:c r="O1279" t="str">
        <x:v>Pharmacy Only</x:v>
      </x:c>
      <x:c r="P1279" t="n">
        <x:v>28</x:v>
      </x:c>
      <x:c r="Q1279" t="n">
        <x:v>0</x:v>
      </x:c>
      <x:c r="R1279" t="n">
        <x:v>10</x:v>
      </x:c>
      <x:c r="S1279" s="12" t="n">
        <x:f>E1279*Q1279</x:f>
        <x:v>0</x:v>
      </x:c>
      <x:c r="T1279" s="12" t="n">
        <x:f>ROUND(S1279*F1279+0.000000001,2)</x:f>
        <x:v>0</x:v>
      </x:c>
      <x:c r="U1279" s="12" t="n">
        <x:f>E1279*R1279</x:f>
        <x:v>819.4</x:v>
      </x:c>
      <x:c r="V1279" t="str">
        <x:f>IF(AND(C1279="Active",Q1279=0),"Active Zero Sales","Not Zero Sales")</x:f>
        <x:v>Not Zero Sales</x:v>
      </x:c>
      <x:c r="W1279" s="12" t="n">
        <x:f>IF(V1279="Active Zero Sales",U1279,0)</x:f>
        <x:v>0</x:v>
      </x:c>
      <x:c r="X1279" t="str">
        <x:f>IF(E1279&lt;25,"Low &lt; 25",IF(E1279&lt;100,"Medium 25-99",IF(E1279&lt;300,"High 100-299","Premium 300+")))</x:f>
        <x:v>Medium 25-99</x:v>
      </x:c>
      <x:c r="Y1279" t="n">
        <x:f>IF(C1279="Active",1,0)</x:f>
        <x:v>0</x:v>
      </x:c>
    </x:row>
    <x:row r="1280">
      <x:c r="A1280" t="str">
        <x:v>SKU01279</x:v>
      </x:c>
      <x:c r="B1280" t="str">
        <x:v>Sample Product 01279</x:v>
      </x:c>
      <x:c r="C1280" t="str">
        <x:v>Active</x:v>
      </x:c>
      <x:c r="D1280" t="str">
        <x:v>2026-06</x:v>
      </x:c>
      <x:c r="E1280" s="12" t="n">
        <x:v>11.09</x:v>
      </x:c>
      <x:c r="F1280" s="10" t="n">
        <x:v>0.448</x:v>
      </x:c>
      <x:c r="G1280" t="str">
        <x:v>Medical Devices</x:v>
      </x:c>
      <x:c r="H1280" t="str">
        <x:v>Mobility Aids</x:v>
      </x:c>
      <x:c r="I1280" t="str">
        <x:v>MFG003</x:v>
      </x:c>
      <x:c r="J1280" t="str">
        <x:v>Manufacturer 003</x:v>
      </x:c>
      <x:c r="K1280" t="str">
        <x:v>SUP011</x:v>
      </x:c>
      <x:c r="L1280" t="str">
        <x:v>Supplier 011</x:v>
      </x:c>
      <x:c r="M1280" t="str">
        <x:v>REG-575596</x:v>
      </x:c>
      <x:c r="N1280" t="str">
        <x:v>Generic Ingredient 082</x:v>
      </x:c>
      <x:c r="O1280" t="str">
        <x:v>Pharmacy Only</x:v>
      </x:c>
      <x:c r="P1280" t="n">
        <x:v>58</x:v>
      </x:c>
      <x:c r="Q1280" t="n">
        <x:v>13</x:v>
      </x:c>
      <x:c r="R1280" t="n">
        <x:v>8</x:v>
      </x:c>
      <x:c r="S1280" s="12" t="n">
        <x:f>E1280*Q1280</x:f>
        <x:v>144.17</x:v>
      </x:c>
      <x:c r="T1280" s="12" t="n">
        <x:f>ROUND(S1280*F1280+0.000000001,2)</x:f>
        <x:v>64.59</x:v>
      </x:c>
      <x:c r="U1280" s="12" t="n">
        <x:f>E1280*R1280</x:f>
        <x:v>88.72</x:v>
      </x:c>
      <x:c r="V1280" t="str">
        <x:f>IF(AND(C1280="Active",Q1280=0),"Active Zero Sales","Not Zero Sales")</x:f>
        <x:v>Not Zero Sales</x:v>
      </x:c>
      <x:c r="W1280" s="12" t="n">
        <x:f>IF(V1280="Active Zero Sales",U1280,0)</x:f>
        <x:v>0</x:v>
      </x:c>
      <x:c r="X1280" t="str">
        <x:f>IF(E1280&lt;25,"Low &lt; 25",IF(E1280&lt;100,"Medium 25-99",IF(E1280&lt;300,"High 100-299","Premium 300+")))</x:f>
        <x:v>Low &lt; 25</x:v>
      </x:c>
      <x:c r="Y1280" t="n">
        <x:f>IF(C1280="Active",1,0)</x:f>
        <x:v>1</x:v>
      </x:c>
    </x:row>
    <x:row r="1281">
      <x:c r="A1281" t="str">
        <x:v>SKU01280</x:v>
      </x:c>
      <x:c r="B1281" t="str">
        <x:v>Sample Product 01280</x:v>
      </x:c>
      <x:c r="C1281" t="str">
        <x:v>Active</x:v>
      </x:c>
      <x:c r="D1281" t="str">
        <x:v>2026-01</x:v>
      </x:c>
      <x:c r="E1281" s="12" t="n">
        <x:v>63.46</x:v>
      </x:c>
      <x:c r="F1281" s="10" t="n">
        <x:v>0.375</x:v>
      </x:c>
      <x:c r="G1281" t="str">
        <x:v>General Merchandise</x:v>
      </x:c>
      <x:c r="H1281" t="str">
        <x:v>Travel Health</x:v>
      </x:c>
      <x:c r="I1281" t="str">
        <x:v>MFG011</x:v>
      </x:c>
      <x:c r="J1281" t="str">
        <x:v>Manufacturer 011</x:v>
      </x:c>
      <x:c r="K1281" t="str">
        <x:v>SUP019</x:v>
      </x:c>
      <x:c r="L1281" t="str">
        <x:v>Supplier 019</x:v>
      </x:c>
      <x:c r="M1281" t="str">
        <x:v>REG-914051</x:v>
      </x:c>
      <x:c r="N1281" t="str">
        <x:v>Generic Ingredient 039</x:v>
      </x:c>
      <x:c r="O1281" t="str">
        <x:v>General Sale</x:v>
      </x:c>
      <x:c r="P1281" t="n">
        <x:v>81</x:v>
      </x:c>
      <x:c r="Q1281" t="n">
        <x:v>46</x:v>
      </x:c>
      <x:c r="R1281" t="n">
        <x:v>18</x:v>
      </x:c>
      <x:c r="S1281" s="12" t="n">
        <x:f>E1281*Q1281</x:f>
        <x:v>2919.16</x:v>
      </x:c>
      <x:c r="T1281" s="12" t="n">
        <x:f>ROUND(S1281*F1281+0.000000001,2)</x:f>
        <x:v>1094.69</x:v>
      </x:c>
      <x:c r="U1281" s="12" t="n">
        <x:f>E1281*R1281</x:f>
        <x:v>1142.28</x:v>
      </x:c>
      <x:c r="V1281" t="str">
        <x:f>IF(AND(C1281="Active",Q1281=0),"Active Zero Sales","Not Zero Sales")</x:f>
        <x:v>Not Zero Sales</x:v>
      </x:c>
      <x:c r="W1281" s="12" t="n">
        <x:f>IF(V1281="Active Zero Sales",U1281,0)</x:f>
        <x:v>0</x:v>
      </x:c>
      <x:c r="X1281" t="str">
        <x:f>IF(E1281&lt;25,"Low &lt; 25",IF(E1281&lt;100,"Medium 25-99",IF(E1281&lt;300,"High 100-299","Premium 300+")))</x:f>
        <x:v>Medium 25-99</x:v>
      </x:c>
      <x:c r="Y1281" t="n">
        <x:f>IF(C1281="Active",1,0)</x:f>
        <x:v>1</x:v>
      </x:c>
    </x:row>
    <x:row r="1282">
      <x:c r="A1282" t="str">
        <x:v>SKU01281</x:v>
      </x:c>
      <x:c r="B1282" t="str">
        <x:v>Sample Product 01281</x:v>
      </x:c>
      <x:c r="C1282" t="str">
        <x:v>Blocked</x:v>
      </x:c>
      <x:c r="D1282" t="str">
        <x:v>2026-03</x:v>
      </x:c>
      <x:c r="E1282" s="12" t="n">
        <x:v>324.31</x:v>
      </x:c>
      <x:c r="F1282" s="10" t="n">
        <x:v>0.303</x:v>
      </x:c>
      <x:c r="G1282" t="str">
        <x:v>Nutrition</x:v>
      </x:c>
      <x:c r="H1282" t="str">
        <x:v>Hydration</x:v>
      </x:c>
      <x:c r="I1282" t="str">
        <x:v>MFG012</x:v>
      </x:c>
      <x:c r="J1282" t="str">
        <x:v>Manufacturer 012</x:v>
      </x:c>
      <x:c r="K1282" t="str">
        <x:v>SUP027</x:v>
      </x:c>
      <x:c r="L1282" t="str">
        <x:v>Supplier 027</x:v>
      </x:c>
      <x:c r="M1282" t="str">
        <x:v>REG-384125</x:v>
      </x:c>
      <x:c r="N1282" t="str">
        <x:v>Generic Ingredient 006</x:v>
      </x:c>
      <x:c r="O1282" t="str">
        <x:v>General Sale</x:v>
      </x:c>
      <x:c r="P1282" t="n">
        <x:v>26</x:v>
      </x:c>
      <x:c r="Q1282" t="n">
        <x:v>0</x:v>
      </x:c>
      <x:c r="R1282" t="n">
        <x:v>1</x:v>
      </x:c>
      <x:c r="S1282" s="12" t="n">
        <x:f>E1282*Q1282</x:f>
        <x:v>0</x:v>
      </x:c>
      <x:c r="T1282" s="12" t="n">
        <x:f>ROUND(S1282*F1282+0.000000001,2)</x:f>
        <x:v>0</x:v>
      </x:c>
      <x:c r="U1282" s="12" t="n">
        <x:f>E1282*R1282</x:f>
        <x:v>324.31</x:v>
      </x:c>
      <x:c r="V1282" t="str">
        <x:f>IF(AND(C1282="Active",Q1282=0),"Active Zero Sales","Not Zero Sales")</x:f>
        <x:v>Not Zero Sales</x:v>
      </x:c>
      <x:c r="W1282" s="12" t="n">
        <x:f>IF(V1282="Active Zero Sales",U1282,0)</x:f>
        <x:v>0</x:v>
      </x:c>
      <x:c r="X1282" t="str">
        <x:f>IF(E1282&lt;25,"Low &lt; 25",IF(E1282&lt;100,"Medium 25-99",IF(E1282&lt;300,"High 100-299","Premium 300+")))</x:f>
        <x:v>Premium 300+</x:v>
      </x:c>
      <x:c r="Y1282" t="n">
        <x:f>IF(C1282="Active",1,0)</x:f>
        <x:v>0</x:v>
      </x:c>
    </x:row>
    <x:row r="1283">
      <x:c r="A1283" t="str">
        <x:v>SKU01282</x:v>
      </x:c>
      <x:c r="B1283" t="str">
        <x:v>Sample Product 01282</x:v>
      </x:c>
      <x:c r="C1283" t="str">
        <x:v>Blocked</x:v>
      </x:c>
      <x:c r="D1283" t="str">
        <x:v>2026-04</x:v>
      </x:c>
      <x:c r="E1283" s="12" t="n">
        <x:v>409.37</x:v>
      </x:c>
      <x:c r="F1283" s="10" t="n">
        <x:v>0.34</x:v>
      </x:c>
      <x:c r="G1283" t="str">
        <x:v>Medical Devices</x:v>
      </x:c>
      <x:c r="H1283" t="str">
        <x:v>Home Diagnostics</x:v>
      </x:c>
      <x:c r="I1283" t="str">
        <x:v>MFG017</x:v>
      </x:c>
      <x:c r="J1283" t="str">
        <x:v>Manufacturer 017</x:v>
      </x:c>
      <x:c r="K1283" t="str">
        <x:v>SUP003</x:v>
      </x:c>
      <x:c r="L1283" t="str">
        <x:v>Supplier 003</x:v>
      </x:c>
      <x:c r="M1283" t="str">
        <x:v>REG-850541</x:v>
      </x:c>
      <x:c r="N1283" t="str">
        <x:v>Generic Ingredient 125</x:v>
      </x:c>
      <x:c r="O1283" t="str">
        <x:v>Pharmacy Only</x:v>
      </x:c>
      <x:c r="P1283" t="n">
        <x:v>42</x:v>
      </x:c>
      <x:c r="Q1283" t="n">
        <x:v>0</x:v>
      </x:c>
      <x:c r="R1283" t="n">
        <x:v>0</x:v>
      </x:c>
      <x:c r="S1283" s="12" t="n">
        <x:f>E1283*Q1283</x:f>
        <x:v>0</x:v>
      </x:c>
      <x:c r="T1283" s="12" t="n">
        <x:f>ROUND(S1283*F1283+0.000000001,2)</x:f>
        <x:v>0</x:v>
      </x:c>
      <x:c r="U1283" s="12" t="n">
        <x:f>E1283*R1283</x:f>
        <x:v>0</x:v>
      </x:c>
      <x:c r="V1283" t="str">
        <x:f>IF(AND(C1283="Active",Q1283=0),"Active Zero Sales","Not Zero Sales")</x:f>
        <x:v>Not Zero Sales</x:v>
      </x:c>
      <x:c r="W1283" s="12" t="n">
        <x:f>IF(V1283="Active Zero Sales",U1283,0)</x:f>
        <x:v>0</x:v>
      </x:c>
      <x:c r="X1283" t="str">
        <x:f>IF(E1283&lt;25,"Low &lt; 25",IF(E1283&lt;100,"Medium 25-99",IF(E1283&lt;300,"High 100-299","Premium 300+")))</x:f>
        <x:v>Premium 300+</x:v>
      </x:c>
      <x:c r="Y1283" t="n">
        <x:f>IF(C1283="Active",1,0)</x:f>
        <x:v>0</x:v>
      </x:c>
    </x:row>
    <x:row r="1284">
      <x:c r="A1284" t="str">
        <x:v>SKU01283</x:v>
      </x:c>
      <x:c r="B1284" t="str">
        <x:v>Sample Product 01283</x:v>
      </x:c>
      <x:c r="C1284" t="str">
        <x:v>Blocked</x:v>
      </x:c>
      <x:c r="D1284" t="str">
        <x:v>2026-01</x:v>
      </x:c>
      <x:c r="E1284" s="12" t="n">
        <x:v>281.36</x:v>
      </x:c>
      <x:c r="F1284" s="10" t="n">
        <x:v>0.177</x:v>
      </x:c>
      <x:c r="G1284" t="str">
        <x:v>General Merchandise</x:v>
      </x:c>
      <x:c r="H1284" t="str">
        <x:v>Accessories</x:v>
      </x:c>
      <x:c r="I1284" t="str">
        <x:v>MFG007</x:v>
      </x:c>
      <x:c r="J1284" t="str">
        <x:v>Manufacturer 007</x:v>
      </x:c>
      <x:c r="K1284" t="str">
        <x:v>SUP021</x:v>
      </x:c>
      <x:c r="L1284" t="str">
        <x:v>Supplier 021</x:v>
      </x:c>
      <x:c r="M1284" t="str">
        <x:v>REG-442518</x:v>
      </x:c>
      <x:c r="N1284" t="str">
        <x:v>Generic Ingredient 001</x:v>
      </x:c>
      <x:c r="O1284" t="str">
        <x:v>General Sale</x:v>
      </x:c>
      <x:c r="P1284" t="n">
        <x:v>19</x:v>
      </x:c>
      <x:c r="Q1284" t="n">
        <x:v>0</x:v>
      </x:c>
      <x:c r="R1284" t="n">
        <x:v>0</x:v>
      </x:c>
      <x:c r="S1284" s="12" t="n">
        <x:f>E1284*Q1284</x:f>
        <x:v>0</x:v>
      </x:c>
      <x:c r="T1284" s="12" t="n">
        <x:f>ROUND(S1284*F1284+0.000000001,2)</x:f>
        <x:v>0</x:v>
      </x:c>
      <x:c r="U1284" s="12" t="n">
        <x:f>E1284*R1284</x:f>
        <x:v>0</x:v>
      </x:c>
      <x:c r="V1284" t="str">
        <x:f>IF(AND(C1284="Active",Q1284=0),"Active Zero Sales","Not Zero Sales")</x:f>
        <x:v>Not Zero Sales</x:v>
      </x:c>
      <x:c r="W1284" s="12" t="n">
        <x:f>IF(V1284="Active Zero Sales",U1284,0)</x:f>
        <x:v>0</x:v>
      </x:c>
      <x:c r="X1284" t="str">
        <x:f>IF(E1284&lt;25,"Low &lt; 25",IF(E1284&lt;100,"Medium 25-99",IF(E1284&lt;300,"High 100-299","Premium 300+")))</x:f>
        <x:v>High 100-299</x:v>
      </x:c>
      <x:c r="Y1284" t="n">
        <x:f>IF(C1284="Active",1,0)</x:f>
        <x:v>0</x:v>
      </x:c>
    </x:row>
    <x:row r="1285">
      <x:c r="A1285" t="str">
        <x:v>SKU01284</x:v>
      </x:c>
      <x:c r="B1285" t="str">
        <x:v>Sample Product 01284</x:v>
      </x:c>
      <x:c r="C1285" t="str">
        <x:v>Active</x:v>
      </x:c>
      <x:c r="D1285" t="str">
        <x:v>2026-06</x:v>
      </x:c>
      <x:c r="E1285" s="12" t="n">
        <x:v>195.35</x:v>
      </x:c>
      <x:c r="F1285" s="10" t="n">
        <x:v>0.255</x:v>
      </x:c>
      <x:c r="G1285" t="str">
        <x:v>Nutrition</x:v>
      </x:c>
      <x:c r="H1285" t="str">
        <x:v>Hydration</x:v>
      </x:c>
      <x:c r="I1285" t="str">
        <x:v>MFG018</x:v>
      </x:c>
      <x:c r="J1285" t="str">
        <x:v>Manufacturer 018</x:v>
      </x:c>
      <x:c r="K1285" t="str">
        <x:v>SUP026</x:v>
      </x:c>
      <x:c r="L1285" t="str">
        <x:v>Supplier 026</x:v>
      </x:c>
      <x:c r="M1285" t="str">
        <x:v>REG-146989</x:v>
      </x:c>
      <x:c r="N1285" t="str">
        <x:v>Generic Ingredient 037</x:v>
      </x:c>
      <x:c r="O1285" t="str">
        <x:v>Pharmacy Only</x:v>
      </x:c>
      <x:c r="P1285" t="n">
        <x:v>39</x:v>
      </x:c>
      <x:c r="Q1285" t="n">
        <x:v>5</x:v>
      </x:c>
      <x:c r="R1285" t="n">
        <x:v>0</x:v>
      </x:c>
      <x:c r="S1285" s="12" t="n">
        <x:f>E1285*Q1285</x:f>
        <x:v>976.75</x:v>
      </x:c>
      <x:c r="T1285" s="12" t="n">
        <x:f>ROUND(S1285*F1285+0.000000001,2)</x:f>
        <x:v>249.07</x:v>
      </x:c>
      <x:c r="U1285" s="12" t="n">
        <x:f>E1285*R1285</x:f>
        <x:v>0</x:v>
      </x:c>
      <x:c r="V1285" t="str">
        <x:f>IF(AND(C1285="Active",Q1285=0),"Active Zero Sales","Not Zero Sales")</x:f>
        <x:v>Not Zero Sales</x:v>
      </x:c>
      <x:c r="W1285" s="12" t="n">
        <x:f>IF(V1285="Active Zero Sales",U1285,0)</x:f>
        <x:v>0</x:v>
      </x:c>
      <x:c r="X1285" t="str">
        <x:f>IF(E1285&lt;25,"Low &lt; 25",IF(E1285&lt;100,"Medium 25-99",IF(E1285&lt;300,"High 100-299","Premium 300+")))</x:f>
        <x:v>High 100-299</x:v>
      </x:c>
      <x:c r="Y1285" t="n">
        <x:f>IF(C1285="Active",1,0)</x:f>
        <x:v>1</x:v>
      </x:c>
    </x:row>
    <x:row r="1286">
      <x:c r="A1286" t="str">
        <x:v>SKU01285</x:v>
      </x:c>
      <x:c r="B1286" t="str">
        <x:v>Sample Product 01285</x:v>
      </x:c>
      <x:c r="C1286" t="str">
        <x:v>Blocked</x:v>
      </x:c>
      <x:c r="D1286" t="str">
        <x:v>2026-02</x:v>
      </x:c>
      <x:c r="E1286" s="12" t="n">
        <x:v>182.33</x:v>
      </x:c>
      <x:c r="F1286" s="10" t="n">
        <x:v>0.391</x:v>
      </x:c>
      <x:c r="G1286" t="str">
        <x:v>Personal Care</x:v>
      </x:c>
      <x:c r="H1286" t="str">
        <x:v>Oral Care</x:v>
      </x:c>
      <x:c r="I1286" t="str">
        <x:v>MFG003</x:v>
      </x:c>
      <x:c r="J1286" t="str">
        <x:v>Manufacturer 003</x:v>
      </x:c>
      <x:c r="K1286" t="str">
        <x:v>SUP015</x:v>
      </x:c>
      <x:c r="L1286" t="str">
        <x:v>Supplier 015</x:v>
      </x:c>
      <x:c r="M1286" t="str">
        <x:v>REG-563764</x:v>
      </x:c>
      <x:c r="N1286" t="str">
        <x:v>Generic Ingredient 052</x:v>
      </x:c>
      <x:c r="O1286" t="str">
        <x:v>Pharmacy Only</x:v>
      </x:c>
      <x:c r="P1286" t="n">
        <x:v>22</x:v>
      </x:c>
      <x:c r="Q1286" t="n">
        <x:v>0</x:v>
      </x:c>
      <x:c r="R1286" t="n">
        <x:v>9</x:v>
      </x:c>
      <x:c r="S1286" s="12" t="n">
        <x:f>E1286*Q1286</x:f>
        <x:v>0</x:v>
      </x:c>
      <x:c r="T1286" s="12" t="n">
        <x:f>ROUND(S1286*F1286+0.000000001,2)</x:f>
        <x:v>0</x:v>
      </x:c>
      <x:c r="U1286" s="12" t="n">
        <x:f>E1286*R1286</x:f>
        <x:v>1640.97</x:v>
      </x:c>
      <x:c r="V1286" t="str">
        <x:f>IF(AND(C1286="Active",Q1286=0),"Active Zero Sales","Not Zero Sales")</x:f>
        <x:v>Not Zero Sales</x:v>
      </x:c>
      <x:c r="W1286" s="12" t="n">
        <x:f>IF(V1286="Active Zero Sales",U1286,0)</x:f>
        <x:v>0</x:v>
      </x:c>
      <x:c r="X1286" t="str">
        <x:f>IF(E1286&lt;25,"Low &lt; 25",IF(E1286&lt;100,"Medium 25-99",IF(E1286&lt;300,"High 100-299","Premium 300+")))</x:f>
        <x:v>High 100-299</x:v>
      </x:c>
      <x:c r="Y1286" t="n">
        <x:f>IF(C1286="Active",1,0)</x:f>
        <x:v>0</x:v>
      </x:c>
    </x:row>
    <x:row r="1287">
      <x:c r="A1287" t="str">
        <x:v>SKU01286</x:v>
      </x:c>
      <x:c r="B1287" t="str">
        <x:v>Sample Product 01286</x:v>
      </x:c>
      <x:c r="C1287" t="str">
        <x:v>Active</x:v>
      </x:c>
      <x:c r="D1287" t="str">
        <x:v>2026-02</x:v>
      </x:c>
      <x:c r="E1287" s="12" t="n">
        <x:v>163.59</x:v>
      </x:c>
      <x:c r="F1287" s="10" t="n">
        <x:v>0.295</x:v>
      </x:c>
      <x:c r="G1287" t="str">
        <x:v>Nutrition</x:v>
      </x:c>
      <x:c r="H1287" t="str">
        <x:v>Hydration</x:v>
      </x:c>
      <x:c r="I1287" t="str">
        <x:v>MFG011</x:v>
      </x:c>
      <x:c r="J1287" t="str">
        <x:v>Manufacturer 011</x:v>
      </x:c>
      <x:c r="K1287" t="str">
        <x:v>SUP027</x:v>
      </x:c>
      <x:c r="L1287" t="str">
        <x:v>Supplier 027</x:v>
      </x:c>
      <x:c r="M1287" t="str">
        <x:v>REG-937340</x:v>
      </x:c>
      <x:c r="N1287" t="str">
        <x:v>Generic Ingredient 116</x:v>
      </x:c>
      <x:c r="O1287" t="str">
        <x:v>General Sale</x:v>
      </x:c>
      <x:c r="P1287" t="n">
        <x:v>56</x:v>
      </x:c>
      <x:c r="Q1287" t="n">
        <x:v>5</x:v>
      </x:c>
      <x:c r="R1287" t="n">
        <x:v>19</x:v>
      </x:c>
      <x:c r="S1287" s="12" t="n">
        <x:f>E1287*Q1287</x:f>
        <x:v>817.95</x:v>
      </x:c>
      <x:c r="T1287" s="12" t="n">
        <x:f>ROUND(S1287*F1287+0.000000001,2)</x:f>
        <x:v>241.3</x:v>
      </x:c>
      <x:c r="U1287" s="12" t="n">
        <x:f>E1287*R1287</x:f>
        <x:v>3108.21</x:v>
      </x:c>
      <x:c r="V1287" t="str">
        <x:f>IF(AND(C1287="Active",Q1287=0),"Active Zero Sales","Not Zero Sales")</x:f>
        <x:v>Not Zero Sales</x:v>
      </x:c>
      <x:c r="W1287" s="12" t="n">
        <x:f>IF(V1287="Active Zero Sales",U1287,0)</x:f>
        <x:v>0</x:v>
      </x:c>
      <x:c r="X1287" t="str">
        <x:f>IF(E1287&lt;25,"Low &lt; 25",IF(E1287&lt;100,"Medium 25-99",IF(E1287&lt;300,"High 100-299","Premium 300+")))</x:f>
        <x:v>High 100-299</x:v>
      </x:c>
      <x:c r="Y1287" t="n">
        <x:f>IF(C1287="Active",1,0)</x:f>
        <x:v>1</x:v>
      </x:c>
    </x:row>
    <x:row r="1288">
      <x:c r="A1288" t="str">
        <x:v>SKU01287</x:v>
      </x:c>
      <x:c r="B1288" t="str">
        <x:v>Sample Product 01287</x:v>
      </x:c>
      <x:c r="C1288" t="str">
        <x:v>Active</x:v>
      </x:c>
      <x:c r="D1288" t="str">
        <x:v>2026-06</x:v>
      </x:c>
      <x:c r="E1288" s="12" t="n">
        <x:v>112.49</x:v>
      </x:c>
      <x:c r="F1288" s="10" t="n">
        <x:v>0.417</x:v>
      </x:c>
      <x:c r="G1288" t="str">
        <x:v>Personal Care</x:v>
      </x:c>
      <x:c r="H1288" t="str">
        <x:v>Oral Care</x:v>
      </x:c>
      <x:c r="I1288" t="str">
        <x:v>MFG003</x:v>
      </x:c>
      <x:c r="J1288" t="str">
        <x:v>Manufacturer 003</x:v>
      </x:c>
      <x:c r="K1288" t="str">
        <x:v>SUP006</x:v>
      </x:c>
      <x:c r="L1288" t="str">
        <x:v>Supplier 006</x:v>
      </x:c>
      <x:c r="M1288" t="str">
        <x:v>REG-116655</x:v>
      </x:c>
      <x:c r="N1288" t="str">
        <x:v>Generic Ingredient 176</x:v>
      </x:c>
      <x:c r="O1288" t="str">
        <x:v>General Sale</x:v>
      </x:c>
      <x:c r="P1288" t="n">
        <x:v>75</x:v>
      </x:c>
      <x:c r="Q1288" t="n">
        <x:v>34</x:v>
      </x:c>
      <x:c r="R1288" t="n">
        <x:v>25</x:v>
      </x:c>
      <x:c r="S1288" s="12" t="n">
        <x:f>E1288*Q1288</x:f>
        <x:v>3824.66</x:v>
      </x:c>
      <x:c r="T1288" s="12" t="n">
        <x:f>ROUND(S1288*F1288+0.000000001,2)</x:f>
        <x:v>1594.88</x:v>
      </x:c>
      <x:c r="U1288" s="12" t="n">
        <x:f>E1288*R1288</x:f>
        <x:v>2812.25</x:v>
      </x:c>
      <x:c r="V1288" t="str">
        <x:f>IF(AND(C1288="Active",Q1288=0),"Active Zero Sales","Not Zero Sales")</x:f>
        <x:v>Not Zero Sales</x:v>
      </x:c>
      <x:c r="W1288" s="12" t="n">
        <x:f>IF(V1288="Active Zero Sales",U1288,0)</x:f>
        <x:v>0</x:v>
      </x:c>
      <x:c r="X1288" t="str">
        <x:f>IF(E1288&lt;25,"Low &lt; 25",IF(E1288&lt;100,"Medium 25-99",IF(E1288&lt;300,"High 100-299","Premium 300+")))</x:f>
        <x:v>High 100-299</x:v>
      </x:c>
      <x:c r="Y1288" t="n">
        <x:f>IF(C1288="Active",1,0)</x:f>
        <x:v>1</x:v>
      </x:c>
    </x:row>
    <x:row r="1289">
      <x:c r="A1289" t="str">
        <x:v>SKU01288</x:v>
      </x:c>
      <x:c r="B1289" t="str">
        <x:v>Sample Product 01288</x:v>
      </x:c>
      <x:c r="C1289" t="str">
        <x:v>Active</x:v>
      </x:c>
      <x:c r="D1289" t="str">
        <x:v>2026-03</x:v>
      </x:c>
      <x:c r="E1289" s="12" t="n">
        <x:v>78.93</x:v>
      </x:c>
      <x:c r="F1289" s="10" t="n">
        <x:v>0.413</x:v>
      </x:c>
      <x:c r="G1289" t="str">
        <x:v>Personal Care</x:v>
      </x:c>
      <x:c r="H1289" t="str">
        <x:v>Hygiene</x:v>
      </x:c>
      <x:c r="I1289" t="str">
        <x:v>MFG016</x:v>
      </x:c>
      <x:c r="J1289" t="str">
        <x:v>Manufacturer 016</x:v>
      </x:c>
      <x:c r="K1289" t="str">
        <x:v>SUP006</x:v>
      </x:c>
      <x:c r="L1289" t="str">
        <x:v>Supplier 006</x:v>
      </x:c>
      <x:c r="M1289" t="str">
        <x:v>REG-752889</x:v>
      </x:c>
      <x:c r="N1289" t="str">
        <x:v>Generic Ingredient 073</x:v>
      </x:c>
      <x:c r="O1289" t="str">
        <x:v>General Sale</x:v>
      </x:c>
      <x:c r="P1289" t="n">
        <x:v>99</x:v>
      </x:c>
      <x:c r="Q1289" t="n">
        <x:v>56</x:v>
      </x:c>
      <x:c r="R1289" t="n">
        <x:v>5</x:v>
      </x:c>
      <x:c r="S1289" s="12" t="n">
        <x:f>E1289*Q1289</x:f>
        <x:v>4420.08</x:v>
      </x:c>
      <x:c r="T1289" s="12" t="n">
        <x:f>ROUND(S1289*F1289+0.000000001,2)</x:f>
        <x:v>1825.49</x:v>
      </x:c>
      <x:c r="U1289" s="12" t="n">
        <x:f>E1289*R1289</x:f>
        <x:v>394.65000000000003</x:v>
      </x:c>
      <x:c r="V1289" t="str">
        <x:f>IF(AND(C1289="Active",Q1289=0),"Active Zero Sales","Not Zero Sales")</x:f>
        <x:v>Not Zero Sales</x:v>
      </x:c>
      <x:c r="W1289" s="12" t="n">
        <x:f>IF(V1289="Active Zero Sales",U1289,0)</x:f>
        <x:v>0</x:v>
      </x:c>
      <x:c r="X1289" t="str">
        <x:f>IF(E1289&lt;25,"Low &lt; 25",IF(E1289&lt;100,"Medium 25-99",IF(E1289&lt;300,"High 100-299","Premium 300+")))</x:f>
        <x:v>Medium 25-99</x:v>
      </x:c>
      <x:c r="Y1289" t="n">
        <x:f>IF(C1289="Active",1,0)</x:f>
        <x:v>1</x:v>
      </x:c>
    </x:row>
    <x:row r="1290">
      <x:c r="A1290" t="str">
        <x:v>SKU01289</x:v>
      </x:c>
      <x:c r="B1290" t="str">
        <x:v>Sample Product 01289</x:v>
      </x:c>
      <x:c r="C1290" t="str">
        <x:v>Active</x:v>
      </x:c>
      <x:c r="D1290" t="str">
        <x:v>2026-04</x:v>
      </x:c>
      <x:c r="E1290" s="12" t="n">
        <x:v>129.77</x:v>
      </x:c>
      <x:c r="F1290" s="10" t="n">
        <x:v>0.214</x:v>
      </x:c>
      <x:c r="G1290" t="str">
        <x:v>Nutrition</x:v>
      </x:c>
      <x:c r="H1290" t="str">
        <x:v>Sports Nutrition</x:v>
      </x:c>
      <x:c r="I1290" t="str">
        <x:v>MFG001</x:v>
      </x:c>
      <x:c r="J1290" t="str">
        <x:v>Manufacturer 001</x:v>
      </x:c>
      <x:c r="K1290" t="str">
        <x:v>SUP005</x:v>
      </x:c>
      <x:c r="L1290" t="str">
        <x:v>Supplier 005</x:v>
      </x:c>
      <x:c r="M1290" t="str">
        <x:v>REG-332312</x:v>
      </x:c>
      <x:c r="N1290" t="str">
        <x:v>Generic Ingredient 150</x:v>
      </x:c>
      <x:c r="O1290" t="str">
        <x:v>General Sale</x:v>
      </x:c>
      <x:c r="P1290" t="n">
        <x:v>58</x:v>
      </x:c>
      <x:c r="Q1290" t="n">
        <x:v>32</x:v>
      </x:c>
      <x:c r="R1290" t="n">
        <x:v>0</x:v>
      </x:c>
      <x:c r="S1290" s="12" t="n">
        <x:f>E1290*Q1290</x:f>
        <x:v>4152.64</x:v>
      </x:c>
      <x:c r="T1290" s="12" t="n">
        <x:f>ROUND(S1290*F1290+0.000000001,2)</x:f>
        <x:v>888.66</x:v>
      </x:c>
      <x:c r="U1290" s="12" t="n">
        <x:f>E1290*R1290</x:f>
        <x:v>0</x:v>
      </x:c>
      <x:c r="V1290" t="str">
        <x:f>IF(AND(C1290="Active",Q1290=0),"Active Zero Sales","Not Zero Sales")</x:f>
        <x:v>Not Zero Sales</x:v>
      </x:c>
      <x:c r="W1290" s="12" t="n">
        <x:f>IF(V1290="Active Zero Sales",U1290,0)</x:f>
        <x:v>0</x:v>
      </x:c>
      <x:c r="X1290" t="str">
        <x:f>IF(E1290&lt;25,"Low &lt; 25",IF(E1290&lt;100,"Medium 25-99",IF(E1290&lt;300,"High 100-299","Premium 300+")))</x:f>
        <x:v>High 100-299</x:v>
      </x:c>
      <x:c r="Y1290" t="n">
        <x:f>IF(C1290="Active",1,0)</x:f>
        <x:v>1</x:v>
      </x:c>
    </x:row>
    <x:row r="1291">
      <x:c r="A1291" t="str">
        <x:v>SKU01290</x:v>
      </x:c>
      <x:c r="B1291" t="str">
        <x:v>Sample Product 01290</x:v>
      </x:c>
      <x:c r="C1291" t="str">
        <x:v>Active</x:v>
      </x:c>
      <x:c r="D1291" t="str">
        <x:v>2026-05</x:v>
      </x:c>
      <x:c r="E1291" s="12" t="n">
        <x:v>19.48</x:v>
      </x:c>
      <x:c r="F1291" s="10" t="n">
        <x:v>0.167</x:v>
      </x:c>
      <x:c r="G1291" t="str">
        <x:v>General Merchandise</x:v>
      </x:c>
      <x:c r="H1291" t="str">
        <x:v>Accessories</x:v>
      </x:c>
      <x:c r="I1291" t="str">
        <x:v>MFG009</x:v>
      </x:c>
      <x:c r="J1291" t="str">
        <x:v>Manufacturer 009</x:v>
      </x:c>
      <x:c r="K1291" t="str">
        <x:v>SUP018</x:v>
      </x:c>
      <x:c r="L1291" t="str">
        <x:v>Supplier 018</x:v>
      </x:c>
      <x:c r="M1291" t="str">
        <x:v>REG-585258</x:v>
      </x:c>
      <x:c r="N1291" t="str">
        <x:v>Generic Ingredient 142</x:v>
      </x:c>
      <x:c r="O1291" t="str">
        <x:v>General Sale</x:v>
      </x:c>
      <x:c r="P1291" t="n">
        <x:v>75</x:v>
      </x:c>
      <x:c r="Q1291" t="n">
        <x:v>21</x:v>
      </x:c>
      <x:c r="R1291" t="n">
        <x:v>24</x:v>
      </x:c>
      <x:c r="S1291" s="12" t="n">
        <x:f>E1291*Q1291</x:f>
        <x:v>409.08</x:v>
      </x:c>
      <x:c r="T1291" s="12" t="n">
        <x:f>ROUND(S1291*F1291+0.000000001,2)</x:f>
        <x:v>68.32</x:v>
      </x:c>
      <x:c r="U1291" s="12" t="n">
        <x:f>E1291*R1291</x:f>
        <x:v>467.52</x:v>
      </x:c>
      <x:c r="V1291" t="str">
        <x:f>IF(AND(C1291="Active",Q1291=0),"Active Zero Sales","Not Zero Sales")</x:f>
        <x:v>Not Zero Sales</x:v>
      </x:c>
      <x:c r="W1291" s="12" t="n">
        <x:f>IF(V1291="Active Zero Sales",U1291,0)</x:f>
        <x:v>0</x:v>
      </x:c>
      <x:c r="X1291" t="str">
        <x:f>IF(E1291&lt;25,"Low &lt; 25",IF(E1291&lt;100,"Medium 25-99",IF(E1291&lt;300,"High 100-299","Premium 300+")))</x:f>
        <x:v>Low &lt; 25</x:v>
      </x:c>
      <x:c r="Y1291" t="n">
        <x:f>IF(C1291="Active",1,0)</x:f>
        <x:v>1</x:v>
      </x:c>
    </x:row>
    <x:row r="1292">
      <x:c r="A1292" t="str">
        <x:v>SKU01291</x:v>
      </x:c>
      <x:c r="B1292" t="str">
        <x:v>Sample Product 01291</x:v>
      </x:c>
      <x:c r="C1292" t="str">
        <x:v>Active</x:v>
      </x:c>
      <x:c r="D1292" t="str">
        <x:v>2026-04</x:v>
      </x:c>
      <x:c r="E1292" s="12" t="n">
        <x:v>66.69</x:v>
      </x:c>
      <x:c r="F1292" s="10" t="n">
        <x:v>0.312</x:v>
      </x:c>
      <x:c r="G1292" t="str">
        <x:v>Medical Devices</x:v>
      </x:c>
      <x:c r="H1292" t="str">
        <x:v>Home Diagnostics</x:v>
      </x:c>
      <x:c r="I1292" t="str">
        <x:v>MFG005</x:v>
      </x:c>
      <x:c r="J1292" t="str">
        <x:v>Manufacturer 005</x:v>
      </x:c>
      <x:c r="K1292" t="str">
        <x:v>SUP003</x:v>
      </x:c>
      <x:c r="L1292" t="str">
        <x:v>Supplier 003</x:v>
      </x:c>
      <x:c r="M1292" t="str">
        <x:v>REG-426255</x:v>
      </x:c>
      <x:c r="N1292" t="str">
        <x:v>Generic Ingredient 023</x:v>
      </x:c>
      <x:c r="O1292" t="str">
        <x:v>General Sale</x:v>
      </x:c>
      <x:c r="P1292" t="n">
        <x:v>73</x:v>
      </x:c>
      <x:c r="Q1292" t="n">
        <x:v>23</x:v>
      </x:c>
      <x:c r="R1292" t="n">
        <x:v>19</x:v>
      </x:c>
      <x:c r="S1292" s="12" t="n">
        <x:f>E1292*Q1292</x:f>
        <x:v>1533.87</x:v>
      </x:c>
      <x:c r="T1292" s="12" t="n">
        <x:f>ROUND(S1292*F1292+0.000000001,2)</x:f>
        <x:v>478.57</x:v>
      </x:c>
      <x:c r="U1292" s="12" t="n">
        <x:f>E1292*R1292</x:f>
        <x:v>1267.11</x:v>
      </x:c>
      <x:c r="V1292" t="str">
        <x:f>IF(AND(C1292="Active",Q1292=0),"Active Zero Sales","Not Zero Sales")</x:f>
        <x:v>Not Zero Sales</x:v>
      </x:c>
      <x:c r="W1292" s="12" t="n">
        <x:f>IF(V1292="Active Zero Sales",U1292,0)</x:f>
        <x:v>0</x:v>
      </x:c>
      <x:c r="X1292" t="str">
        <x:f>IF(E1292&lt;25,"Low &lt; 25",IF(E1292&lt;100,"Medium 25-99",IF(E1292&lt;300,"High 100-299","Premium 300+")))</x:f>
        <x:v>Medium 25-99</x:v>
      </x:c>
      <x:c r="Y1292" t="n">
        <x:f>IF(C1292="Active",1,0)</x:f>
        <x:v>1</x:v>
      </x:c>
    </x:row>
    <x:row r="1293">
      <x:c r="A1293" t="str">
        <x:v>SKU01292</x:v>
      </x:c>
      <x:c r="B1293" t="str">
        <x:v>Sample Product 01292</x:v>
      </x:c>
      <x:c r="C1293" t="str">
        <x:v>Active</x:v>
      </x:c>
      <x:c r="D1293" t="str">
        <x:v>2026-03</x:v>
      </x:c>
      <x:c r="E1293" s="12" t="n">
        <x:v>8.44</x:v>
      </x:c>
      <x:c r="F1293" s="10" t="n">
        <x:v>0.384</x:v>
      </x:c>
      <x:c r="G1293" t="str">
        <x:v>Personal Care</x:v>
      </x:c>
      <x:c r="H1293" t="str">
        <x:v>Oral Care</x:v>
      </x:c>
      <x:c r="I1293" t="str">
        <x:v>MFG012</x:v>
      </x:c>
      <x:c r="J1293" t="str">
        <x:v>Manufacturer 012</x:v>
      </x:c>
      <x:c r="K1293" t="str">
        <x:v>SUP030</x:v>
      </x:c>
      <x:c r="L1293" t="str">
        <x:v>Supplier 030</x:v>
      </x:c>
      <x:c r="M1293" t="str">
        <x:v>REG-197874</x:v>
      </x:c>
      <x:c r="N1293" t="str">
        <x:v>Generic Ingredient 021</x:v>
      </x:c>
      <x:c r="O1293" t="str">
        <x:v>Pharmacy Only</x:v>
      </x:c>
      <x:c r="P1293" t="n">
        <x:v>22</x:v>
      </x:c>
      <x:c r="Q1293" t="n">
        <x:v>26</x:v>
      </x:c>
      <x:c r="R1293" t="n">
        <x:v>3</x:v>
      </x:c>
      <x:c r="S1293" s="12" t="n">
        <x:f>E1293*Q1293</x:f>
        <x:v>219.44</x:v>
      </x:c>
      <x:c r="T1293" s="12" t="n">
        <x:f>ROUND(S1293*F1293+0.000000001,2)</x:f>
        <x:v>84.26</x:v>
      </x:c>
      <x:c r="U1293" s="12" t="n">
        <x:f>E1293*R1293</x:f>
        <x:v>25.32</x:v>
      </x:c>
      <x:c r="V1293" t="str">
        <x:f>IF(AND(C1293="Active",Q1293=0),"Active Zero Sales","Not Zero Sales")</x:f>
        <x:v>Not Zero Sales</x:v>
      </x:c>
      <x:c r="W1293" s="12" t="n">
        <x:f>IF(V1293="Active Zero Sales",U1293,0)</x:f>
        <x:v>0</x:v>
      </x:c>
      <x:c r="X1293" t="str">
        <x:f>IF(E1293&lt;25,"Low &lt; 25",IF(E1293&lt;100,"Medium 25-99",IF(E1293&lt;300,"High 100-299","Premium 300+")))</x:f>
        <x:v>Low &lt; 25</x:v>
      </x:c>
      <x:c r="Y1293" t="n">
        <x:f>IF(C1293="Active",1,0)</x:f>
        <x:v>1</x:v>
      </x:c>
    </x:row>
    <x:row r="1294">
      <x:c r="A1294" t="str">
        <x:v>SKU01293</x:v>
      </x:c>
      <x:c r="B1294" t="str">
        <x:v>Sample Product 01293</x:v>
      </x:c>
      <x:c r="C1294" t="str">
        <x:v>Active</x:v>
      </x:c>
      <x:c r="D1294" t="str">
        <x:v>2026-02</x:v>
      </x:c>
      <x:c r="E1294" s="12" t="n">
        <x:v>11.29</x:v>
      </x:c>
      <x:c r="F1294" s="10" t="n">
        <x:v>0.354</x:v>
      </x:c>
      <x:c r="G1294" t="str">
        <x:v>OTC &amp; Wellness</x:v>
      </x:c>
      <x:c r="H1294" t="str">
        <x:v>Cold &amp; Allergy</x:v>
      </x:c>
      <x:c r="I1294" t="str">
        <x:v>MFG006</x:v>
      </x:c>
      <x:c r="J1294" t="str">
        <x:v>Manufacturer 006</x:v>
      </x:c>
      <x:c r="K1294" t="str">
        <x:v>SUP013</x:v>
      </x:c>
      <x:c r="L1294" t="str">
        <x:v>Supplier 013</x:v>
      </x:c>
      <x:c r="M1294" t="str">
        <x:v>REG-741666</x:v>
      </x:c>
      <x:c r="N1294" t="str">
        <x:v>Generic Ingredient 145</x:v>
      </x:c>
      <x:c r="O1294" t="str">
        <x:v>General Sale</x:v>
      </x:c>
      <x:c r="P1294" t="n">
        <x:v>59</x:v>
      </x:c>
      <x:c r="Q1294" t="n">
        <x:v>0</x:v>
      </x:c>
      <x:c r="R1294" t="n">
        <x:v>57</x:v>
      </x:c>
      <x:c r="S1294" s="12" t="n">
        <x:f>E1294*Q1294</x:f>
        <x:v>0</x:v>
      </x:c>
      <x:c r="T1294" s="12" t="n">
        <x:f>ROUND(S1294*F1294+0.000000001,2)</x:f>
        <x:v>0</x:v>
      </x:c>
      <x:c r="U1294" s="12" t="n">
        <x:f>E1294*R1294</x:f>
        <x:v>643.53</x:v>
      </x:c>
      <x:c r="V1294" t="str">
        <x:f>IF(AND(C1294="Active",Q1294=0),"Active Zero Sales","Not Zero Sales")</x:f>
        <x:v>Active Zero Sales</x:v>
      </x:c>
      <x:c r="W1294" s="12" t="n">
        <x:f>IF(V1294="Active Zero Sales",U1294,0)</x:f>
        <x:v>643.53</x:v>
      </x:c>
      <x:c r="X1294" t="str">
        <x:f>IF(E1294&lt;25,"Low &lt; 25",IF(E1294&lt;100,"Medium 25-99",IF(E1294&lt;300,"High 100-299","Premium 300+")))</x:f>
        <x:v>Low &lt; 25</x:v>
      </x:c>
      <x:c r="Y1294" t="n">
        <x:f>IF(C1294="Active",1,0)</x:f>
        <x:v>1</x:v>
      </x:c>
    </x:row>
    <x:row r="1295">
      <x:c r="A1295" t="str">
        <x:v>SKU01294</x:v>
      </x:c>
      <x:c r="B1295" t="str">
        <x:v>Sample Product 01294</x:v>
      </x:c>
      <x:c r="C1295" t="str">
        <x:v>Active</x:v>
      </x:c>
      <x:c r="D1295" t="str">
        <x:v>2026-05</x:v>
      </x:c>
      <x:c r="E1295" s="12" t="n">
        <x:v>182.32</x:v>
      </x:c>
      <x:c r="F1295" s="10" t="n">
        <x:v>0.334</x:v>
      </x:c>
      <x:c r="G1295" t="str">
        <x:v>OTC &amp; Wellness</x:v>
      </x:c>
      <x:c r="H1295" t="str">
        <x:v>Cold &amp; Allergy</x:v>
      </x:c>
      <x:c r="I1295" t="str">
        <x:v>MFG020</x:v>
      </x:c>
      <x:c r="J1295" t="str">
        <x:v>Manufacturer 020</x:v>
      </x:c>
      <x:c r="K1295" t="str">
        <x:v>SUP007</x:v>
      </x:c>
      <x:c r="L1295" t="str">
        <x:v>Supplier 007</x:v>
      </x:c>
      <x:c r="M1295" t="str">
        <x:v>REG-221346</x:v>
      </x:c>
      <x:c r="N1295" t="str">
        <x:v>Generic Ingredient 070</x:v>
      </x:c>
      <x:c r="O1295" t="str">
        <x:v>General Sale</x:v>
      </x:c>
      <x:c r="P1295" t="n">
        <x:v>168</x:v>
      </x:c>
      <x:c r="Q1295" t="n">
        <x:v>98</x:v>
      </x:c>
      <x:c r="R1295" t="n">
        <x:v>42</x:v>
      </x:c>
      <x:c r="S1295" s="12" t="n">
        <x:f>E1295*Q1295</x:f>
        <x:v>17867.36</x:v>
      </x:c>
      <x:c r="T1295" s="12" t="n">
        <x:f>ROUND(S1295*F1295+0.000000001,2)</x:f>
        <x:v>5967.7</x:v>
      </x:c>
      <x:c r="U1295" s="12" t="n">
        <x:f>E1295*R1295</x:f>
        <x:v>7657.44</x:v>
      </x:c>
      <x:c r="V1295" t="str">
        <x:f>IF(AND(C1295="Active",Q1295=0),"Active Zero Sales","Not Zero Sales")</x:f>
        <x:v>Not Zero Sales</x:v>
      </x:c>
      <x:c r="W1295" s="12" t="n">
        <x:f>IF(V1295="Active Zero Sales",U1295,0)</x:f>
        <x:v>0</x:v>
      </x:c>
      <x:c r="X1295" t="str">
        <x:f>IF(E1295&lt;25,"Low &lt; 25",IF(E1295&lt;100,"Medium 25-99",IF(E1295&lt;300,"High 100-299","Premium 300+")))</x:f>
        <x:v>High 100-299</x:v>
      </x:c>
      <x:c r="Y1295" t="n">
        <x:f>IF(C1295="Active",1,0)</x:f>
        <x:v>1</x:v>
      </x:c>
    </x:row>
    <x:row r="1296">
      <x:c r="A1296" t="str">
        <x:v>SKU01295</x:v>
      </x:c>
      <x:c r="B1296" t="str">
        <x:v>Sample Product 01295</x:v>
      </x:c>
      <x:c r="C1296" t="str">
        <x:v>Active</x:v>
      </x:c>
      <x:c r="D1296" t="str">
        <x:v>2026-06</x:v>
      </x:c>
      <x:c r="E1296" s="12" t="n">
        <x:v>6.64</x:v>
      </x:c>
      <x:c r="F1296" s="10" t="n">
        <x:v>0.259</x:v>
      </x:c>
      <x:c r="G1296" t="str">
        <x:v>Personal Care</x:v>
      </x:c>
      <x:c r="H1296" t="str">
        <x:v>Oral Care</x:v>
      </x:c>
      <x:c r="I1296" t="str">
        <x:v>MFG016</x:v>
      </x:c>
      <x:c r="J1296" t="str">
        <x:v>Manufacturer 016</x:v>
      </x:c>
      <x:c r="K1296" t="str">
        <x:v>SUP001</x:v>
      </x:c>
      <x:c r="L1296" t="str">
        <x:v>Supplier 001</x:v>
      </x:c>
      <x:c r="M1296" t="str">
        <x:v>REG-221761</x:v>
      </x:c>
      <x:c r="N1296" t="str">
        <x:v>Generic Ingredient 125</x:v>
      </x:c>
      <x:c r="O1296" t="str">
        <x:v>Pharmacy Only</x:v>
      </x:c>
      <x:c r="P1296" t="n">
        <x:v>44</x:v>
      </x:c>
      <x:c r="Q1296" t="n">
        <x:v>30</x:v>
      </x:c>
      <x:c r="R1296" t="n">
        <x:v>17</x:v>
      </x:c>
      <x:c r="S1296" s="12" t="n">
        <x:f>E1296*Q1296</x:f>
        <x:v>199.2</x:v>
      </x:c>
      <x:c r="T1296" s="12" t="n">
        <x:f>ROUND(S1296*F1296+0.000000001,2)</x:f>
        <x:v>51.59</x:v>
      </x:c>
      <x:c r="U1296" s="12" t="n">
        <x:f>E1296*R1296</x:f>
        <x:v>112.88</x:v>
      </x:c>
      <x:c r="V1296" t="str">
        <x:f>IF(AND(C1296="Active",Q1296=0),"Active Zero Sales","Not Zero Sales")</x:f>
        <x:v>Not Zero Sales</x:v>
      </x:c>
      <x:c r="W1296" s="12" t="n">
        <x:f>IF(V1296="Active Zero Sales",U1296,0)</x:f>
        <x:v>0</x:v>
      </x:c>
      <x:c r="X1296" t="str">
        <x:f>IF(E1296&lt;25,"Low &lt; 25",IF(E1296&lt;100,"Medium 25-99",IF(E1296&lt;300,"High 100-299","Premium 300+")))</x:f>
        <x:v>Low &lt; 25</x:v>
      </x:c>
      <x:c r="Y1296" t="n">
        <x:f>IF(C1296="Active",1,0)</x:f>
        <x:v>1</x:v>
      </x:c>
    </x:row>
    <x:row r="1297">
      <x:c r="A1297" t="str">
        <x:v>SKU01296</x:v>
      </x:c>
      <x:c r="B1297" t="str">
        <x:v>Sample Product 01296</x:v>
      </x:c>
      <x:c r="C1297" t="str">
        <x:v>Active</x:v>
      </x:c>
      <x:c r="D1297" t="str">
        <x:v>2026-01</x:v>
      </x:c>
      <x:c r="E1297" s="12" t="n">
        <x:v>13.24</x:v>
      </x:c>
      <x:c r="F1297" s="10" t="n">
        <x:v>0.25</x:v>
      </x:c>
      <x:c r="G1297" t="str">
        <x:v>General Merchandise</x:v>
      </x:c>
      <x:c r="H1297" t="str">
        <x:v>Seasonal Care</x:v>
      </x:c>
      <x:c r="I1297" t="str">
        <x:v>MFG002</x:v>
      </x:c>
      <x:c r="J1297" t="str">
        <x:v>Manufacturer 002</x:v>
      </x:c>
      <x:c r="K1297" t="str">
        <x:v>SUP015</x:v>
      </x:c>
      <x:c r="L1297" t="str">
        <x:v>Supplier 015</x:v>
      </x:c>
      <x:c r="M1297" t="str">
        <x:v>REG-511880</x:v>
      </x:c>
      <x:c r="N1297" t="str">
        <x:v>Generic Ingredient 059</x:v>
      </x:c>
      <x:c r="O1297" t="str">
        <x:v>General Sale</x:v>
      </x:c>
      <x:c r="P1297" t="n">
        <x:v>58</x:v>
      </x:c>
      <x:c r="Q1297" t="n">
        <x:v>18</x:v>
      </x:c>
      <x:c r="R1297" t="n">
        <x:v>29</x:v>
      </x:c>
      <x:c r="S1297" s="12" t="n">
        <x:f>E1297*Q1297</x:f>
        <x:v>238.32</x:v>
      </x:c>
      <x:c r="T1297" s="12" t="n">
        <x:f>ROUND(S1297*F1297+0.000000001,2)</x:f>
        <x:v>59.58</x:v>
      </x:c>
      <x:c r="U1297" s="12" t="n">
        <x:f>E1297*R1297</x:f>
        <x:v>383.96</x:v>
      </x:c>
      <x:c r="V1297" t="str">
        <x:f>IF(AND(C1297="Active",Q1297=0),"Active Zero Sales","Not Zero Sales")</x:f>
        <x:v>Not Zero Sales</x:v>
      </x:c>
      <x:c r="W1297" s="12" t="n">
        <x:f>IF(V1297="Active Zero Sales",U1297,0)</x:f>
        <x:v>0</x:v>
      </x:c>
      <x:c r="X1297" t="str">
        <x:f>IF(E1297&lt;25,"Low &lt; 25",IF(E1297&lt;100,"Medium 25-99",IF(E1297&lt;300,"High 100-299","Premium 300+")))</x:f>
        <x:v>Low &lt; 25</x:v>
      </x:c>
      <x:c r="Y1297" t="n">
        <x:f>IF(C1297="Active",1,0)</x:f>
        <x:v>1</x:v>
      </x:c>
    </x:row>
    <x:row r="1298">
      <x:c r="A1298" t="str">
        <x:v>SKU01297</x:v>
      </x:c>
      <x:c r="B1298" t="str">
        <x:v>Sample Product 01297</x:v>
      </x:c>
      <x:c r="C1298" t="str">
        <x:v>Active</x:v>
      </x:c>
      <x:c r="D1298" t="str">
        <x:v>2026-03</x:v>
      </x:c>
      <x:c r="E1298" s="12" t="n">
        <x:v>14.43</x:v>
      </x:c>
      <x:c r="F1298" s="10" t="n">
        <x:v>0.292</x:v>
      </x:c>
      <x:c r="G1298" t="str">
        <x:v>General Merchandise</x:v>
      </x:c>
      <x:c r="H1298" t="str">
        <x:v>Seasonal Care</x:v>
      </x:c>
      <x:c r="I1298" t="str">
        <x:v>MFG007</x:v>
      </x:c>
      <x:c r="J1298" t="str">
        <x:v>Manufacturer 007</x:v>
      </x:c>
      <x:c r="K1298" t="str">
        <x:v>SUP021</x:v>
      </x:c>
      <x:c r="L1298" t="str">
        <x:v>Supplier 021</x:v>
      </x:c>
      <x:c r="M1298" t="str">
        <x:v>REG-214602</x:v>
      </x:c>
      <x:c r="N1298" t="str">
        <x:v>Generic Ingredient 015</x:v>
      </x:c>
      <x:c r="O1298" t="str">
        <x:v>General Sale</x:v>
      </x:c>
      <x:c r="P1298" t="n">
        <x:v>142</x:v>
      </x:c>
      <x:c r="Q1298" t="n">
        <x:v>104</x:v>
      </x:c>
      <x:c r="R1298" t="n">
        <x:v>40</x:v>
      </x:c>
      <x:c r="S1298" s="12" t="n">
        <x:f>E1298*Q1298</x:f>
        <x:v>1500.72</x:v>
      </x:c>
      <x:c r="T1298" s="12" t="n">
        <x:f>ROUND(S1298*F1298+0.000000001,2)</x:f>
        <x:v>438.21</x:v>
      </x:c>
      <x:c r="U1298" s="12" t="n">
        <x:f>E1298*R1298</x:f>
        <x:v>577.2</x:v>
      </x:c>
      <x:c r="V1298" t="str">
        <x:f>IF(AND(C1298="Active",Q1298=0),"Active Zero Sales","Not Zero Sales")</x:f>
        <x:v>Not Zero Sales</x:v>
      </x:c>
      <x:c r="W1298" s="12" t="n">
        <x:f>IF(V1298="Active Zero Sales",U1298,0)</x:f>
        <x:v>0</x:v>
      </x:c>
      <x:c r="X1298" t="str">
        <x:f>IF(E1298&lt;25,"Low &lt; 25",IF(E1298&lt;100,"Medium 25-99",IF(E1298&lt;300,"High 100-299","Premium 300+")))</x:f>
        <x:v>Low &lt; 25</x:v>
      </x:c>
      <x:c r="Y1298" t="n">
        <x:f>IF(C1298="Active",1,0)</x:f>
        <x:v>1</x:v>
      </x:c>
    </x:row>
    <x:row r="1299">
      <x:c r="A1299" t="str">
        <x:v>SKU01298</x:v>
      </x:c>
      <x:c r="B1299" t="str">
        <x:v>Sample Product 01298</x:v>
      </x:c>
      <x:c r="C1299" t="str">
        <x:v>Active</x:v>
      </x:c>
      <x:c r="D1299" t="str">
        <x:v>2026-05</x:v>
      </x:c>
      <x:c r="E1299" s="12" t="n">
        <x:v>154.81</x:v>
      </x:c>
      <x:c r="F1299" s="10" t="n">
        <x:v>0.387</x:v>
      </x:c>
      <x:c r="G1299" t="str">
        <x:v>Medical Devices</x:v>
      </x:c>
      <x:c r="H1299" t="str">
        <x:v>Home Diagnostics</x:v>
      </x:c>
      <x:c r="I1299" t="str">
        <x:v>MFG008</x:v>
      </x:c>
      <x:c r="J1299" t="str">
        <x:v>Manufacturer 008</x:v>
      </x:c>
      <x:c r="K1299" t="str">
        <x:v>SUP003</x:v>
      </x:c>
      <x:c r="L1299" t="str">
        <x:v>Supplier 003</x:v>
      </x:c>
      <x:c r="M1299" t="str">
        <x:v>REG-137968</x:v>
      </x:c>
      <x:c r="N1299" t="str">
        <x:v>Generic Ingredient 025</x:v>
      </x:c>
      <x:c r="O1299" t="str">
        <x:v>General Sale</x:v>
      </x:c>
      <x:c r="P1299" t="n">
        <x:v>112</x:v>
      </x:c>
      <x:c r="Q1299" t="n">
        <x:v>52</x:v>
      </x:c>
      <x:c r="R1299" t="n">
        <x:v>21</x:v>
      </x:c>
      <x:c r="S1299" s="12" t="n">
        <x:f>E1299*Q1299</x:f>
        <x:v>8050.12</x:v>
      </x:c>
      <x:c r="T1299" s="12" t="n">
        <x:f>ROUND(S1299*F1299+0.000000001,2)</x:f>
        <x:v>3115.4</x:v>
      </x:c>
      <x:c r="U1299" s="12" t="n">
        <x:f>E1299*R1299</x:f>
        <x:v>3251.01</x:v>
      </x:c>
      <x:c r="V1299" t="str">
        <x:f>IF(AND(C1299="Active",Q1299=0),"Active Zero Sales","Not Zero Sales")</x:f>
        <x:v>Not Zero Sales</x:v>
      </x:c>
      <x:c r="W1299" s="12" t="n">
        <x:f>IF(V1299="Active Zero Sales",U1299,0)</x:f>
        <x:v>0</x:v>
      </x:c>
      <x:c r="X1299" t="str">
        <x:f>IF(E1299&lt;25,"Low &lt; 25",IF(E1299&lt;100,"Medium 25-99",IF(E1299&lt;300,"High 100-299","Premium 300+")))</x:f>
        <x:v>High 100-299</x:v>
      </x:c>
      <x:c r="Y1299" t="n">
        <x:f>IF(C1299="Active",1,0)</x:f>
        <x:v>1</x:v>
      </x:c>
    </x:row>
    <x:row r="1300">
      <x:c r="A1300" t="str">
        <x:v>SKU01299</x:v>
      </x:c>
      <x:c r="B1300" t="str">
        <x:v>Sample Product 01299</x:v>
      </x:c>
      <x:c r="C1300" t="str">
        <x:v>Active</x:v>
      </x:c>
      <x:c r="D1300" t="str">
        <x:v>2026-06</x:v>
      </x:c>
      <x:c r="E1300" s="12" t="n">
        <x:v>263.77</x:v>
      </x:c>
      <x:c r="F1300" s="10" t="n">
        <x:v>0.249</x:v>
      </x:c>
      <x:c r="G1300" t="str">
        <x:v>General Merchandise</x:v>
      </x:c>
      <x:c r="H1300" t="str">
        <x:v>Accessories</x:v>
      </x:c>
      <x:c r="I1300" t="str">
        <x:v>MFG020</x:v>
      </x:c>
      <x:c r="J1300" t="str">
        <x:v>Manufacturer 020</x:v>
      </x:c>
      <x:c r="K1300" t="str">
        <x:v>SUP004</x:v>
      </x:c>
      <x:c r="L1300" t="str">
        <x:v>Supplier 004</x:v>
      </x:c>
      <x:c r="M1300" t="str">
        <x:v>REG-338158</x:v>
      </x:c>
      <x:c r="N1300" t="str">
        <x:v>Generic Ingredient 013</x:v>
      </x:c>
      <x:c r="O1300" t="str">
        <x:v>Restricted Sale</x:v>
      </x:c>
      <x:c r="P1300" t="n">
        <x:v>62</x:v>
      </x:c>
      <x:c r="Q1300" t="n">
        <x:v>0</x:v>
      </x:c>
      <x:c r="R1300" t="n">
        <x:v>32</x:v>
      </x:c>
      <x:c r="S1300" s="12" t="n">
        <x:f>E1300*Q1300</x:f>
        <x:v>0</x:v>
      </x:c>
      <x:c r="T1300" s="12" t="n">
        <x:f>ROUND(S1300*F1300+0.000000001,2)</x:f>
        <x:v>0</x:v>
      </x:c>
      <x:c r="U1300" s="12" t="n">
        <x:f>E1300*R1300</x:f>
        <x:v>8440.64</x:v>
      </x:c>
      <x:c r="V1300" t="str">
        <x:f>IF(AND(C1300="Active",Q1300=0),"Active Zero Sales","Not Zero Sales")</x:f>
        <x:v>Active Zero Sales</x:v>
      </x:c>
      <x:c r="W1300" s="12" t="n">
        <x:f>IF(V1300="Active Zero Sales",U1300,0)</x:f>
        <x:v>8440.64</x:v>
      </x:c>
      <x:c r="X1300" t="str">
        <x:f>IF(E1300&lt;25,"Low &lt; 25",IF(E1300&lt;100,"Medium 25-99",IF(E1300&lt;300,"High 100-299","Premium 300+")))</x:f>
        <x:v>High 100-299</x:v>
      </x:c>
      <x:c r="Y1300" t="n">
        <x:f>IF(C1300="Active",1,0)</x:f>
        <x:v>1</x:v>
      </x:c>
    </x:row>
    <x:row r="1301">
      <x:c r="A1301" t="str">
        <x:v>SKU01300</x:v>
      </x:c>
      <x:c r="B1301" t="str">
        <x:v>Sample Product 01300</x:v>
      </x:c>
      <x:c r="C1301" t="str">
        <x:v>Active</x:v>
      </x:c>
      <x:c r="D1301" t="str">
        <x:v>2026-05</x:v>
      </x:c>
      <x:c r="E1301" s="12" t="n">
        <x:v>6.5</x:v>
      </x:c>
      <x:c r="F1301" s="10" t="n">
        <x:v>0.266</x:v>
      </x:c>
      <x:c r="G1301" t="str">
        <x:v>Nutrition</x:v>
      </x:c>
      <x:c r="H1301" t="str">
        <x:v>Adult Nutrition</x:v>
      </x:c>
      <x:c r="I1301" t="str">
        <x:v>MFG001</x:v>
      </x:c>
      <x:c r="J1301" t="str">
        <x:v>Manufacturer 001</x:v>
      </x:c>
      <x:c r="K1301" t="str">
        <x:v>SUP004</x:v>
      </x:c>
      <x:c r="L1301" t="str">
        <x:v>Supplier 004</x:v>
      </x:c>
      <x:c r="M1301" t="str">
        <x:v>REG-796759</x:v>
      </x:c>
      <x:c r="N1301" t="str">
        <x:v>Generic Ingredient 059</x:v>
      </x:c>
      <x:c r="O1301" t="str">
        <x:v>General Sale</x:v>
      </x:c>
      <x:c r="P1301" t="n">
        <x:v>55</x:v>
      </x:c>
      <x:c r="Q1301" t="n">
        <x:v>0</x:v>
      </x:c>
      <x:c r="R1301" t="n">
        <x:v>57</x:v>
      </x:c>
      <x:c r="S1301" s="12" t="n">
        <x:f>E1301*Q1301</x:f>
        <x:v>0</x:v>
      </x:c>
      <x:c r="T1301" s="12" t="n">
        <x:f>ROUND(S1301*F1301+0.000000001,2)</x:f>
        <x:v>0</x:v>
      </x:c>
      <x:c r="U1301" s="12" t="n">
        <x:f>E1301*R1301</x:f>
        <x:v>370.5</x:v>
      </x:c>
      <x:c r="V1301" t="str">
        <x:f>IF(AND(C1301="Active",Q1301=0),"Active Zero Sales","Not Zero Sales")</x:f>
        <x:v>Active Zero Sales</x:v>
      </x:c>
      <x:c r="W1301" s="12" t="n">
        <x:f>IF(V1301="Active Zero Sales",U1301,0)</x:f>
        <x:v>370.5</x:v>
      </x:c>
      <x:c r="X1301" t="str">
        <x:f>IF(E1301&lt;25,"Low &lt; 25",IF(E1301&lt;100,"Medium 25-99",IF(E1301&lt;300,"High 100-299","Premium 300+")))</x:f>
        <x:v>Low &lt; 25</x:v>
      </x:c>
      <x:c r="Y1301" t="n">
        <x:f>IF(C1301="Active",1,0)</x:f>
        <x:v>1</x:v>
      </x:c>
    </x:row>
    <x:row r="1302">
      <x:c r="A1302" t="str">
        <x:v>SKU01301</x:v>
      </x:c>
      <x:c r="B1302" t="str">
        <x:v>Sample Product 01301</x:v>
      </x:c>
      <x:c r="C1302" t="str">
        <x:v>Active</x:v>
      </x:c>
      <x:c r="D1302" t="str">
        <x:v>2026-06</x:v>
      </x:c>
      <x:c r="E1302" s="12" t="n">
        <x:v>14.18</x:v>
      </x:c>
      <x:c r="F1302" s="10" t="n">
        <x:v>0.149</x:v>
      </x:c>
      <x:c r="G1302" t="str">
        <x:v>OTC &amp; Wellness</x:v>
      </x:c>
      <x:c r="H1302" t="str">
        <x:v>Digestive Care</x:v>
      </x:c>
      <x:c r="I1302" t="str">
        <x:v>MFG011</x:v>
      </x:c>
      <x:c r="J1302" t="str">
        <x:v>Manufacturer 011</x:v>
      </x:c>
      <x:c r="K1302" t="str">
        <x:v>SUP012</x:v>
      </x:c>
      <x:c r="L1302" t="str">
        <x:v>Supplier 012</x:v>
      </x:c>
      <x:c r="M1302" t="str">
        <x:v>REG-264457</x:v>
      </x:c>
      <x:c r="N1302" t="str">
        <x:v>Generic Ingredient 062</x:v>
      </x:c>
      <x:c r="O1302" t="str">
        <x:v>Restricted Sale</x:v>
      </x:c>
      <x:c r="P1302" t="n">
        <x:v>47</x:v>
      </x:c>
      <x:c r="Q1302" t="n">
        <x:v>27</x:v>
      </x:c>
      <x:c r="R1302" t="n">
        <x:v>0</x:v>
      </x:c>
      <x:c r="S1302" s="12" t="n">
        <x:f>E1302*Q1302</x:f>
        <x:v>382.86</x:v>
      </x:c>
      <x:c r="T1302" s="12" t="n">
        <x:f>ROUND(S1302*F1302+0.000000001,2)</x:f>
        <x:v>57.05</x:v>
      </x:c>
      <x:c r="U1302" s="12" t="n">
        <x:f>E1302*R1302</x:f>
        <x:v>0</x:v>
      </x:c>
      <x:c r="V1302" t="str">
        <x:f>IF(AND(C1302="Active",Q1302=0),"Active Zero Sales","Not Zero Sales")</x:f>
        <x:v>Not Zero Sales</x:v>
      </x:c>
      <x:c r="W1302" s="12" t="n">
        <x:f>IF(V1302="Active Zero Sales",U1302,0)</x:f>
        <x:v>0</x:v>
      </x:c>
      <x:c r="X1302" t="str">
        <x:f>IF(E1302&lt;25,"Low &lt; 25",IF(E1302&lt;100,"Medium 25-99",IF(E1302&lt;300,"High 100-299","Premium 300+")))</x:f>
        <x:v>Low &lt; 25</x:v>
      </x:c>
      <x:c r="Y1302" t="n">
        <x:f>IF(C1302="Active",1,0)</x:f>
        <x:v>1</x:v>
      </x:c>
    </x:row>
    <x:row r="1303">
      <x:c r="A1303" t="str">
        <x:v>SKU01302</x:v>
      </x:c>
      <x:c r="B1303" t="str">
        <x:v>Sample Product 01302</x:v>
      </x:c>
      <x:c r="C1303" t="str">
        <x:v>Active</x:v>
      </x:c>
      <x:c r="D1303" t="str">
        <x:v>2026-01</x:v>
      </x:c>
      <x:c r="E1303" s="12" t="n">
        <x:v>21.28</x:v>
      </x:c>
      <x:c r="F1303" s="10" t="n">
        <x:v>0.477</x:v>
      </x:c>
      <x:c r="G1303" t="str">
        <x:v>Personal Care</x:v>
      </x:c>
      <x:c r="H1303" t="str">
        <x:v>Skin Care</x:v>
      </x:c>
      <x:c r="I1303" t="str">
        <x:v>MFG009</x:v>
      </x:c>
      <x:c r="J1303" t="str">
        <x:v>Manufacturer 009</x:v>
      </x:c>
      <x:c r="K1303" t="str">
        <x:v>SUP012</x:v>
      </x:c>
      <x:c r="L1303" t="str">
        <x:v>Supplier 012</x:v>
      </x:c>
      <x:c r="M1303" t="str">
        <x:v>REG-902160</x:v>
      </x:c>
      <x:c r="N1303" t="str">
        <x:v>Generic Ingredient 150</x:v>
      </x:c>
      <x:c r="O1303" t="str">
        <x:v>Pharmacy Only</x:v>
      </x:c>
      <x:c r="P1303" t="n">
        <x:v>46</x:v>
      </x:c>
      <x:c r="Q1303" t="n">
        <x:v>0</x:v>
      </x:c>
      <x:c r="R1303" t="n">
        <x:v>0</x:v>
      </x:c>
      <x:c r="S1303" s="12" t="n">
        <x:f>E1303*Q1303</x:f>
        <x:v>0</x:v>
      </x:c>
      <x:c r="T1303" s="12" t="n">
        <x:f>ROUND(S1303*F1303+0.000000001,2)</x:f>
        <x:v>0</x:v>
      </x:c>
      <x:c r="U1303" s="12" t="n">
        <x:f>E1303*R1303</x:f>
        <x:v>0</x:v>
      </x:c>
      <x:c r="V1303" t="str">
        <x:f>IF(AND(C1303="Active",Q1303=0),"Active Zero Sales","Not Zero Sales")</x:f>
        <x:v>Active Zero Sales</x:v>
      </x:c>
      <x:c r="W1303" s="12" t="n">
        <x:f>IF(V1303="Active Zero Sales",U1303,0)</x:f>
        <x:v>0</x:v>
      </x:c>
      <x:c r="X1303" t="str">
        <x:f>IF(E1303&lt;25,"Low &lt; 25",IF(E1303&lt;100,"Medium 25-99",IF(E1303&lt;300,"High 100-299","Premium 300+")))</x:f>
        <x:v>Low &lt; 25</x:v>
      </x:c>
      <x:c r="Y1303" t="n">
        <x:f>IF(C1303="Active",1,0)</x:f>
        <x:v>1</x:v>
      </x:c>
    </x:row>
    <x:row r="1304">
      <x:c r="A1304" t="str">
        <x:v>SKU01303</x:v>
      </x:c>
      <x:c r="B1304" t="str">
        <x:v>Sample Product 01303</x:v>
      </x:c>
      <x:c r="C1304" t="str">
        <x:v>Active</x:v>
      </x:c>
      <x:c r="D1304" t="str">
        <x:v>2026-02</x:v>
      </x:c>
      <x:c r="E1304" s="12" t="n">
        <x:v>295.42</x:v>
      </x:c>
      <x:c r="F1304" s="10" t="n">
        <x:v>0.258</x:v>
      </x:c>
      <x:c r="G1304" t="str">
        <x:v>OTC &amp; Wellness</x:v>
      </x:c>
      <x:c r="H1304" t="str">
        <x:v>Pain Relief</x:v>
      </x:c>
      <x:c r="I1304" t="str">
        <x:v>MFG016</x:v>
      </x:c>
      <x:c r="J1304" t="str">
        <x:v>Manufacturer 016</x:v>
      </x:c>
      <x:c r="K1304" t="str">
        <x:v>SUP017</x:v>
      </x:c>
      <x:c r="L1304" t="str">
        <x:v>Supplier 017</x:v>
      </x:c>
      <x:c r="M1304" t="str">
        <x:v>REG-409544</x:v>
      </x:c>
      <x:c r="N1304" t="str">
        <x:v>Generic Ingredient 100</x:v>
      </x:c>
      <x:c r="O1304" t="str">
        <x:v>Pharmacy Only</x:v>
      </x:c>
      <x:c r="P1304" t="n">
        <x:v>103</x:v>
      </x:c>
      <x:c r="Q1304" t="n">
        <x:v>59</x:v>
      </x:c>
      <x:c r="R1304" t="n">
        <x:v>15</x:v>
      </x:c>
      <x:c r="S1304" s="12" t="n">
        <x:f>E1304*Q1304</x:f>
        <x:v>17429.780000000002</x:v>
      </x:c>
      <x:c r="T1304" s="12" t="n">
        <x:f>ROUND(S1304*F1304+0.000000001,2)</x:f>
        <x:v>4496.88</x:v>
      </x:c>
      <x:c r="U1304" s="12" t="n">
        <x:f>E1304*R1304</x:f>
        <x:v>4431.3</x:v>
      </x:c>
      <x:c r="V1304" t="str">
        <x:f>IF(AND(C1304="Active",Q1304=0),"Active Zero Sales","Not Zero Sales")</x:f>
        <x:v>Not Zero Sales</x:v>
      </x:c>
      <x:c r="W1304" s="12" t="n">
        <x:f>IF(V1304="Active Zero Sales",U1304,0)</x:f>
        <x:v>0</x:v>
      </x:c>
      <x:c r="X1304" t="str">
        <x:f>IF(E1304&lt;25,"Low &lt; 25",IF(E1304&lt;100,"Medium 25-99",IF(E1304&lt;300,"High 100-299","Premium 300+")))</x:f>
        <x:v>High 100-299</x:v>
      </x:c>
      <x:c r="Y1304" t="n">
        <x:f>IF(C1304="Active",1,0)</x:f>
        <x:v>1</x:v>
      </x:c>
    </x:row>
    <x:row r="1305">
      <x:c r="A1305" t="str">
        <x:v>SKU01304</x:v>
      </x:c>
      <x:c r="B1305" t="str">
        <x:v>Sample Product 01304</x:v>
      </x:c>
      <x:c r="C1305" t="str">
        <x:v>Active</x:v>
      </x:c>
      <x:c r="D1305" t="str">
        <x:v>2026-05</x:v>
      </x:c>
      <x:c r="E1305" s="12" t="n">
        <x:v>238.06</x:v>
      </x:c>
      <x:c r="F1305" s="10" t="n">
        <x:v>0.159</x:v>
      </x:c>
      <x:c r="G1305" t="str">
        <x:v>Nutrition</x:v>
      </x:c>
      <x:c r="H1305" t="str">
        <x:v>Sports Nutrition</x:v>
      </x:c>
      <x:c r="I1305" t="str">
        <x:v>MFG016</x:v>
      </x:c>
      <x:c r="J1305" t="str">
        <x:v>Manufacturer 016</x:v>
      </x:c>
      <x:c r="K1305" t="str">
        <x:v>SUP009</x:v>
      </x:c>
      <x:c r="L1305" t="str">
        <x:v>Supplier 009</x:v>
      </x:c>
      <x:c r="M1305" t="str">
        <x:v>REG-868585</x:v>
      </x:c>
      <x:c r="N1305" t="str">
        <x:v>Generic Ingredient 149</x:v>
      </x:c>
      <x:c r="O1305" t="str">
        <x:v>General Sale</x:v>
      </x:c>
      <x:c r="P1305" t="n">
        <x:v>75</x:v>
      </x:c>
      <x:c r="Q1305" t="n">
        <x:v>14</x:v>
      </x:c>
      <x:c r="R1305" t="n">
        <x:v>26</x:v>
      </x:c>
      <x:c r="S1305" s="12" t="n">
        <x:f>E1305*Q1305</x:f>
        <x:v>3332.84</x:v>
      </x:c>
      <x:c r="T1305" s="12" t="n">
        <x:f>ROUND(S1305*F1305+0.000000001,2)</x:f>
        <x:v>529.92</x:v>
      </x:c>
      <x:c r="U1305" s="12" t="n">
        <x:f>E1305*R1305</x:f>
        <x:v>6189.56</x:v>
      </x:c>
      <x:c r="V1305" t="str">
        <x:f>IF(AND(C1305="Active",Q1305=0),"Active Zero Sales","Not Zero Sales")</x:f>
        <x:v>Not Zero Sales</x:v>
      </x:c>
      <x:c r="W1305" s="12" t="n">
        <x:f>IF(V1305="Active Zero Sales",U1305,0)</x:f>
        <x:v>0</x:v>
      </x:c>
      <x:c r="X1305" t="str">
        <x:f>IF(E1305&lt;25,"Low &lt; 25",IF(E1305&lt;100,"Medium 25-99",IF(E1305&lt;300,"High 100-299","Premium 300+")))</x:f>
        <x:v>High 100-299</x:v>
      </x:c>
      <x:c r="Y1305" t="n">
        <x:f>IF(C1305="Active",1,0)</x:f>
        <x:v>1</x:v>
      </x:c>
    </x:row>
    <x:row r="1306">
      <x:c r="A1306" t="str">
        <x:v>SKU01305</x:v>
      </x:c>
      <x:c r="B1306" t="str">
        <x:v>Sample Product 01305</x:v>
      </x:c>
      <x:c r="C1306" t="str">
        <x:v>Active</x:v>
      </x:c>
      <x:c r="D1306" t="str">
        <x:v>2026-05</x:v>
      </x:c>
      <x:c r="E1306" s="12" t="n">
        <x:v>274.73</x:v>
      </x:c>
      <x:c r="F1306" s="10" t="n">
        <x:v>0.32</x:v>
      </x:c>
      <x:c r="G1306" t="str">
        <x:v>Nutrition</x:v>
      </x:c>
      <x:c r="H1306" t="str">
        <x:v>Hydration</x:v>
      </x:c>
      <x:c r="I1306" t="str">
        <x:v>MFG008</x:v>
      </x:c>
      <x:c r="J1306" t="str">
        <x:v>Manufacturer 008</x:v>
      </x:c>
      <x:c r="K1306" t="str">
        <x:v>SUP012</x:v>
      </x:c>
      <x:c r="L1306" t="str">
        <x:v>Supplier 012</x:v>
      </x:c>
      <x:c r="M1306" t="str">
        <x:v>REG-990533</x:v>
      </x:c>
      <x:c r="N1306" t="str">
        <x:v>Generic Ingredient 053</x:v>
      </x:c>
      <x:c r="O1306" t="str">
        <x:v>General Sale</x:v>
      </x:c>
      <x:c r="P1306" t="n">
        <x:v>73</x:v>
      </x:c>
      <x:c r="Q1306" t="n">
        <x:v>17</x:v>
      </x:c>
      <x:c r="R1306" t="n">
        <x:v>20</x:v>
      </x:c>
      <x:c r="S1306" s="12" t="n">
        <x:f>E1306*Q1306</x:f>
        <x:v>4670.41</x:v>
      </x:c>
      <x:c r="T1306" s="12" t="n">
        <x:f>ROUND(S1306*F1306+0.000000001,2)</x:f>
        <x:v>1494.53</x:v>
      </x:c>
      <x:c r="U1306" s="12" t="n">
        <x:f>E1306*R1306</x:f>
        <x:v>5494.6</x:v>
      </x:c>
      <x:c r="V1306" t="str">
        <x:f>IF(AND(C1306="Active",Q1306=0),"Active Zero Sales","Not Zero Sales")</x:f>
        <x:v>Not Zero Sales</x:v>
      </x:c>
      <x:c r="W1306" s="12" t="n">
        <x:f>IF(V1306="Active Zero Sales",U1306,0)</x:f>
        <x:v>0</x:v>
      </x:c>
      <x:c r="X1306" t="str">
        <x:f>IF(E1306&lt;25,"Low &lt; 25",IF(E1306&lt;100,"Medium 25-99",IF(E1306&lt;300,"High 100-299","Premium 300+")))</x:f>
        <x:v>High 100-299</x:v>
      </x:c>
      <x:c r="Y1306" t="n">
        <x:f>IF(C1306="Active",1,0)</x:f>
        <x:v>1</x:v>
      </x:c>
    </x:row>
    <x:row r="1307">
      <x:c r="A1307" t="str">
        <x:v>SKU01306</x:v>
      </x:c>
      <x:c r="B1307" t="str">
        <x:v>Sample Product 01306</x:v>
      </x:c>
      <x:c r="C1307" t="str">
        <x:v>Active</x:v>
      </x:c>
      <x:c r="D1307" t="str">
        <x:v>2026-01</x:v>
      </x:c>
      <x:c r="E1307" s="12" t="n">
        <x:v>37.15</x:v>
      </x:c>
      <x:c r="F1307" s="10" t="n">
        <x:v>0.473</x:v>
      </x:c>
      <x:c r="G1307" t="str">
        <x:v>Personal Care</x:v>
      </x:c>
      <x:c r="H1307" t="str">
        <x:v>Hygiene</x:v>
      </x:c>
      <x:c r="I1307" t="str">
        <x:v>MFG009</x:v>
      </x:c>
      <x:c r="J1307" t="str">
        <x:v>Manufacturer 009</x:v>
      </x:c>
      <x:c r="K1307" t="str">
        <x:v>SUP009</x:v>
      </x:c>
      <x:c r="L1307" t="str">
        <x:v>Supplier 009</x:v>
      </x:c>
      <x:c r="M1307" t="str">
        <x:v>REG-708726</x:v>
      </x:c>
      <x:c r="N1307" t="str">
        <x:v>Generic Ingredient 068</x:v>
      </x:c>
      <x:c r="O1307" t="str">
        <x:v>General Sale</x:v>
      </x:c>
      <x:c r="P1307" t="n">
        <x:v>13</x:v>
      </x:c>
      <x:c r="Q1307" t="n">
        <x:v>0</x:v>
      </x:c>
      <x:c r="R1307" t="n">
        <x:v>2</x:v>
      </x:c>
      <x:c r="S1307" s="12" t="n">
        <x:f>E1307*Q1307</x:f>
        <x:v>0</x:v>
      </x:c>
      <x:c r="T1307" s="12" t="n">
        <x:f>ROUND(S1307*F1307+0.000000001,2)</x:f>
        <x:v>0</x:v>
      </x:c>
      <x:c r="U1307" s="12" t="n">
        <x:f>E1307*R1307</x:f>
        <x:v>74.3</x:v>
      </x:c>
      <x:c r="V1307" t="str">
        <x:f>IF(AND(C1307="Active",Q1307=0),"Active Zero Sales","Not Zero Sales")</x:f>
        <x:v>Active Zero Sales</x:v>
      </x:c>
      <x:c r="W1307" s="12" t="n">
        <x:f>IF(V1307="Active Zero Sales",U1307,0)</x:f>
        <x:v>74.3</x:v>
      </x:c>
      <x:c r="X1307" t="str">
        <x:f>IF(E1307&lt;25,"Low &lt; 25",IF(E1307&lt;100,"Medium 25-99",IF(E1307&lt;300,"High 100-299","Premium 300+")))</x:f>
        <x:v>Medium 25-99</x:v>
      </x:c>
      <x:c r="Y1307" t="n">
        <x:f>IF(C1307="Active",1,0)</x:f>
        <x:v>1</x:v>
      </x:c>
    </x:row>
    <x:row r="1308">
      <x:c r="A1308" t="str">
        <x:v>SKU01307</x:v>
      </x:c>
      <x:c r="B1308" t="str">
        <x:v>Sample Product 01307</x:v>
      </x:c>
      <x:c r="C1308" t="str">
        <x:v>Active</x:v>
      </x:c>
      <x:c r="D1308" t="str">
        <x:v>2026-05</x:v>
      </x:c>
      <x:c r="E1308" s="12" t="n">
        <x:v>38.81</x:v>
      </x:c>
      <x:c r="F1308" s="10" t="n">
        <x:v>0.255</x:v>
      </x:c>
      <x:c r="G1308" t="str">
        <x:v>Nutrition</x:v>
      </x:c>
      <x:c r="H1308" t="str">
        <x:v>Hydration</x:v>
      </x:c>
      <x:c r="I1308" t="str">
        <x:v>MFG009</x:v>
      </x:c>
      <x:c r="J1308" t="str">
        <x:v>Manufacturer 009</x:v>
      </x:c>
      <x:c r="K1308" t="str">
        <x:v>SUP012</x:v>
      </x:c>
      <x:c r="L1308" t="str">
        <x:v>Supplier 012</x:v>
      </x:c>
      <x:c r="M1308" t="str">
        <x:v>REG-462440</x:v>
      </x:c>
      <x:c r="N1308" t="str">
        <x:v>Generic Ingredient 124</x:v>
      </x:c>
      <x:c r="O1308" t="str">
        <x:v>General Sale</x:v>
      </x:c>
      <x:c r="P1308" t="n">
        <x:v>70</x:v>
      </x:c>
      <x:c r="Q1308" t="n">
        <x:v>9</x:v>
      </x:c>
      <x:c r="R1308" t="n">
        <x:v>12</x:v>
      </x:c>
      <x:c r="S1308" s="12" t="n">
        <x:f>E1308*Q1308</x:f>
        <x:v>349.29</x:v>
      </x:c>
      <x:c r="T1308" s="12" t="n">
        <x:f>ROUND(S1308*F1308+0.000000001,2)</x:f>
        <x:v>89.07</x:v>
      </x:c>
      <x:c r="U1308" s="12" t="n">
        <x:f>E1308*R1308</x:f>
        <x:v>465.72</x:v>
      </x:c>
      <x:c r="V1308" t="str">
        <x:f>IF(AND(C1308="Active",Q1308=0),"Active Zero Sales","Not Zero Sales")</x:f>
        <x:v>Not Zero Sales</x:v>
      </x:c>
      <x:c r="W1308" s="12" t="n">
        <x:f>IF(V1308="Active Zero Sales",U1308,0)</x:f>
        <x:v>0</x:v>
      </x:c>
      <x:c r="X1308" t="str">
        <x:f>IF(E1308&lt;25,"Low &lt; 25",IF(E1308&lt;100,"Medium 25-99",IF(E1308&lt;300,"High 100-299","Premium 300+")))</x:f>
        <x:v>Medium 25-99</x:v>
      </x:c>
      <x:c r="Y1308" t="n">
        <x:f>IF(C1308="Active",1,0)</x:f>
        <x:v>1</x:v>
      </x:c>
    </x:row>
    <x:row r="1309">
      <x:c r="A1309" t="str">
        <x:v>SKU01308</x:v>
      </x:c>
      <x:c r="B1309" t="str">
        <x:v>Sample Product 01308</x:v>
      </x:c>
      <x:c r="C1309" t="str">
        <x:v>Active</x:v>
      </x:c>
      <x:c r="D1309" t="str">
        <x:v>2026-05</x:v>
      </x:c>
      <x:c r="E1309" s="12" t="n">
        <x:v>20.23</x:v>
      </x:c>
      <x:c r="F1309" s="10" t="n">
        <x:v>0.295</x:v>
      </x:c>
      <x:c r="G1309" t="str">
        <x:v>Medical Devices</x:v>
      </x:c>
      <x:c r="H1309" t="str">
        <x:v>First Aid</x:v>
      </x:c>
      <x:c r="I1309" t="str">
        <x:v>MFG002</x:v>
      </x:c>
      <x:c r="J1309" t="str">
        <x:v>Manufacturer 002</x:v>
      </x:c>
      <x:c r="K1309" t="str">
        <x:v>SUP030</x:v>
      </x:c>
      <x:c r="L1309" t="str">
        <x:v>Supplier 030</x:v>
      </x:c>
      <x:c r="M1309" t="str">
        <x:v>REG-221658</x:v>
      </x:c>
      <x:c r="N1309" t="str">
        <x:v>Generic Ingredient 174</x:v>
      </x:c>
      <x:c r="O1309" t="str">
        <x:v>Pharmacy Only</x:v>
      </x:c>
      <x:c r="P1309" t="n">
        <x:v>24</x:v>
      </x:c>
      <x:c r="Q1309" t="n">
        <x:v>10</x:v>
      </x:c>
      <x:c r="R1309" t="n">
        <x:v>20</x:v>
      </x:c>
      <x:c r="S1309" s="12" t="n">
        <x:f>E1309*Q1309</x:f>
        <x:v>202.3</x:v>
      </x:c>
      <x:c r="T1309" s="12" t="n">
        <x:f>ROUND(S1309*F1309+0.000000001,2)</x:f>
        <x:v>59.68</x:v>
      </x:c>
      <x:c r="U1309" s="12" t="n">
        <x:f>E1309*R1309</x:f>
        <x:v>404.6</x:v>
      </x:c>
      <x:c r="V1309" t="str">
        <x:f>IF(AND(C1309="Active",Q1309=0),"Active Zero Sales","Not Zero Sales")</x:f>
        <x:v>Not Zero Sales</x:v>
      </x:c>
      <x:c r="W1309" s="12" t="n">
        <x:f>IF(V1309="Active Zero Sales",U1309,0)</x:f>
        <x:v>0</x:v>
      </x:c>
      <x:c r="X1309" t="str">
        <x:f>IF(E1309&lt;25,"Low &lt; 25",IF(E1309&lt;100,"Medium 25-99",IF(E1309&lt;300,"High 100-299","Premium 300+")))</x:f>
        <x:v>Low &lt; 25</x:v>
      </x:c>
      <x:c r="Y1309" t="n">
        <x:f>IF(C1309="Active",1,0)</x:f>
        <x:v>1</x:v>
      </x:c>
    </x:row>
    <x:row r="1310">
      <x:c r="A1310" t="str">
        <x:v>SKU01309</x:v>
      </x:c>
      <x:c r="B1310" t="str">
        <x:v>Sample Product 01309</x:v>
      </x:c>
      <x:c r="C1310" t="str">
        <x:v>Active</x:v>
      </x:c>
      <x:c r="D1310" t="str">
        <x:v>2026-03</x:v>
      </x:c>
      <x:c r="E1310" s="12" t="n">
        <x:v>40.9</x:v>
      </x:c>
      <x:c r="F1310" s="10" t="n">
        <x:v>0.338</x:v>
      </x:c>
      <x:c r="G1310" t="str">
        <x:v>General Merchandise</x:v>
      </x:c>
      <x:c r="H1310" t="str">
        <x:v>Baby Essentials</x:v>
      </x:c>
      <x:c r="I1310" t="str">
        <x:v>MFG015</x:v>
      </x:c>
      <x:c r="J1310" t="str">
        <x:v>Manufacturer 015</x:v>
      </x:c>
      <x:c r="K1310" t="str">
        <x:v>SUP022</x:v>
      </x:c>
      <x:c r="L1310" t="str">
        <x:v>Supplier 022</x:v>
      </x:c>
      <x:c r="M1310" t="str">
        <x:v>REG-698407</x:v>
      </x:c>
      <x:c r="N1310" t="str">
        <x:v>Generic Ingredient 164</x:v>
      </x:c>
      <x:c r="O1310" t="str">
        <x:v>General Sale</x:v>
      </x:c>
      <x:c r="P1310" t="n">
        <x:v>63</x:v>
      </x:c>
      <x:c r="Q1310" t="n">
        <x:v>34</x:v>
      </x:c>
      <x:c r="R1310" t="n">
        <x:v>25</x:v>
      </x:c>
      <x:c r="S1310" s="12" t="n">
        <x:f>E1310*Q1310</x:f>
        <x:v>1390.6</x:v>
      </x:c>
      <x:c r="T1310" s="12" t="n">
        <x:f>ROUND(S1310*F1310+0.000000001,2)</x:f>
        <x:v>470.02</x:v>
      </x:c>
      <x:c r="U1310" s="12" t="n">
        <x:f>E1310*R1310</x:f>
        <x:v>1022.5</x:v>
      </x:c>
      <x:c r="V1310" t="str">
        <x:f>IF(AND(C1310="Active",Q1310=0),"Active Zero Sales","Not Zero Sales")</x:f>
        <x:v>Not Zero Sales</x:v>
      </x:c>
      <x:c r="W1310" s="12" t="n">
        <x:f>IF(V1310="Active Zero Sales",U1310,0)</x:f>
        <x:v>0</x:v>
      </x:c>
      <x:c r="X1310" t="str">
        <x:f>IF(E1310&lt;25,"Low &lt; 25",IF(E1310&lt;100,"Medium 25-99",IF(E1310&lt;300,"High 100-299","Premium 300+")))</x:f>
        <x:v>Medium 25-99</x:v>
      </x:c>
      <x:c r="Y1310" t="n">
        <x:f>IF(C1310="Active",1,0)</x:f>
        <x:v>1</x:v>
      </x:c>
    </x:row>
    <x:row r="1311">
      <x:c r="A1311" t="str">
        <x:v>SKU01310</x:v>
      </x:c>
      <x:c r="B1311" t="str">
        <x:v>Sample Product 01310</x:v>
      </x:c>
      <x:c r="C1311" t="str">
        <x:v>Active</x:v>
      </x:c>
      <x:c r="D1311" t="str">
        <x:v>2026-02</x:v>
      </x:c>
      <x:c r="E1311" s="12" t="n">
        <x:v>12.67</x:v>
      </x:c>
      <x:c r="F1311" s="10" t="n">
        <x:v>0.304</x:v>
      </x:c>
      <x:c r="G1311" t="str">
        <x:v>OTC &amp; Wellness</x:v>
      </x:c>
      <x:c r="H1311" t="str">
        <x:v>Cold &amp; Allergy</x:v>
      </x:c>
      <x:c r="I1311" t="str">
        <x:v>MFG003</x:v>
      </x:c>
      <x:c r="J1311" t="str">
        <x:v>Manufacturer 003</x:v>
      </x:c>
      <x:c r="K1311" t="str">
        <x:v>SUP009</x:v>
      </x:c>
      <x:c r="L1311" t="str">
        <x:v>Supplier 009</x:v>
      </x:c>
      <x:c r="M1311" t="str">
        <x:v>REG-491821</x:v>
      </x:c>
      <x:c r="N1311" t="str">
        <x:v>Generic Ingredient 070</x:v>
      </x:c>
      <x:c r="O1311" t="str">
        <x:v>General Sale</x:v>
      </x:c>
      <x:c r="P1311" t="n">
        <x:v>26</x:v>
      </x:c>
      <x:c r="Q1311" t="n">
        <x:v>30</x:v>
      </x:c>
      <x:c r="R1311" t="n">
        <x:v>6</x:v>
      </x:c>
      <x:c r="S1311" s="12" t="n">
        <x:f>E1311*Q1311</x:f>
        <x:v>380.1</x:v>
      </x:c>
      <x:c r="T1311" s="12" t="n">
        <x:f>ROUND(S1311*F1311+0.000000001,2)</x:f>
        <x:v>115.55</x:v>
      </x:c>
      <x:c r="U1311" s="12" t="n">
        <x:f>E1311*R1311</x:f>
        <x:v>76.02</x:v>
      </x:c>
      <x:c r="V1311" t="str">
        <x:f>IF(AND(C1311="Active",Q1311=0),"Active Zero Sales","Not Zero Sales")</x:f>
        <x:v>Not Zero Sales</x:v>
      </x:c>
      <x:c r="W1311" s="12" t="n">
        <x:f>IF(V1311="Active Zero Sales",U1311,0)</x:f>
        <x:v>0</x:v>
      </x:c>
      <x:c r="X1311" t="str">
        <x:f>IF(E1311&lt;25,"Low &lt; 25",IF(E1311&lt;100,"Medium 25-99",IF(E1311&lt;300,"High 100-299","Premium 300+")))</x:f>
        <x:v>Low &lt; 25</x:v>
      </x:c>
      <x:c r="Y1311" t="n">
        <x:f>IF(C1311="Active",1,0)</x:f>
        <x:v>1</x:v>
      </x:c>
    </x:row>
    <x:row r="1312">
      <x:c r="A1312" t="str">
        <x:v>SKU01311</x:v>
      </x:c>
      <x:c r="B1312" t="str">
        <x:v>Sample Product 01311</x:v>
      </x:c>
      <x:c r="C1312" t="str">
        <x:v>Active</x:v>
      </x:c>
      <x:c r="D1312" t="str">
        <x:v>2026-06</x:v>
      </x:c>
      <x:c r="E1312" s="12" t="n">
        <x:v>5.4</x:v>
      </x:c>
      <x:c r="F1312" s="10" t="n">
        <x:v>0.192</x:v>
      </x:c>
      <x:c r="G1312" t="str">
        <x:v>General Merchandise</x:v>
      </x:c>
      <x:c r="H1312" t="str">
        <x:v>Seasonal Care</x:v>
      </x:c>
      <x:c r="I1312" t="str">
        <x:v>MFG011</x:v>
      </x:c>
      <x:c r="J1312" t="str">
        <x:v>Manufacturer 011</x:v>
      </x:c>
      <x:c r="K1312" t="str">
        <x:v>SUP020</x:v>
      </x:c>
      <x:c r="L1312" t="str">
        <x:v>Supplier 020</x:v>
      </x:c>
      <x:c r="M1312" t="str">
        <x:v>REG-256789</x:v>
      </x:c>
      <x:c r="N1312" t="str">
        <x:v>Generic Ingredient 147</x:v>
      </x:c>
      <x:c r="O1312" t="str">
        <x:v>General Sale</x:v>
      </x:c>
      <x:c r="P1312" t="n">
        <x:v>75</x:v>
      </x:c>
      <x:c r="Q1312" t="n">
        <x:v>21</x:v>
      </x:c>
      <x:c r="R1312" t="n">
        <x:v>17</x:v>
      </x:c>
      <x:c r="S1312" s="12" t="n">
        <x:f>E1312*Q1312</x:f>
        <x:v>113.4</x:v>
      </x:c>
      <x:c r="T1312" s="12" t="n">
        <x:f>ROUND(S1312*F1312+0.000000001,2)</x:f>
        <x:v>21.77</x:v>
      </x:c>
      <x:c r="U1312" s="12" t="n">
        <x:f>E1312*R1312</x:f>
        <x:v>91.80000000000001</x:v>
      </x:c>
      <x:c r="V1312" t="str">
        <x:f>IF(AND(C1312="Active",Q1312=0),"Active Zero Sales","Not Zero Sales")</x:f>
        <x:v>Not Zero Sales</x:v>
      </x:c>
      <x:c r="W1312" s="12" t="n">
        <x:f>IF(V1312="Active Zero Sales",U1312,0)</x:f>
        <x:v>0</x:v>
      </x:c>
      <x:c r="X1312" t="str">
        <x:f>IF(E1312&lt;25,"Low &lt; 25",IF(E1312&lt;100,"Medium 25-99",IF(E1312&lt;300,"High 100-299","Premium 300+")))</x:f>
        <x:v>Low &lt; 25</x:v>
      </x:c>
      <x:c r="Y1312" t="n">
        <x:f>IF(C1312="Active",1,0)</x:f>
        <x:v>1</x:v>
      </x:c>
    </x:row>
    <x:row r="1313">
      <x:c r="A1313" t="str">
        <x:v>SKU01312</x:v>
      </x:c>
      <x:c r="B1313" t="str">
        <x:v>Sample Product 01312</x:v>
      </x:c>
      <x:c r="C1313" t="str">
        <x:v>Active</x:v>
      </x:c>
      <x:c r="D1313" t="str">
        <x:v>2026-06</x:v>
      </x:c>
      <x:c r="E1313" s="12" t="n">
        <x:v>294.41</x:v>
      </x:c>
      <x:c r="F1313" s="10" t="n">
        <x:v>0.353</x:v>
      </x:c>
      <x:c r="G1313" t="str">
        <x:v>General Merchandise</x:v>
      </x:c>
      <x:c r="H1313" t="str">
        <x:v>Seasonal Care</x:v>
      </x:c>
      <x:c r="I1313" t="str">
        <x:v>MFG020</x:v>
      </x:c>
      <x:c r="J1313" t="str">
        <x:v>Manufacturer 020</x:v>
      </x:c>
      <x:c r="K1313" t="str">
        <x:v>SUP028</x:v>
      </x:c>
      <x:c r="L1313" t="str">
        <x:v>Supplier 028</x:v>
      </x:c>
      <x:c r="M1313" t="str">
        <x:v>REG-144170</x:v>
      </x:c>
      <x:c r="N1313" t="str">
        <x:v>Generic Ingredient 048</x:v>
      </x:c>
      <x:c r="O1313" t="str">
        <x:v>General Sale</x:v>
      </x:c>
      <x:c r="P1313" t="n">
        <x:v>164</x:v>
      </x:c>
      <x:c r="Q1313" t="n">
        <x:v>130</x:v>
      </x:c>
      <x:c r="R1313" t="n">
        <x:v>40</x:v>
      </x:c>
      <x:c r="S1313" s="12" t="n">
        <x:f>E1313*Q1313</x:f>
        <x:v>38273.3</x:v>
      </x:c>
      <x:c r="T1313" s="12" t="n">
        <x:f>ROUND(S1313*F1313+0.000000001,2)</x:f>
        <x:v>13510.47</x:v>
      </x:c>
      <x:c r="U1313" s="12" t="n">
        <x:f>E1313*R1313</x:f>
        <x:v>11776.400000000001</x:v>
      </x:c>
      <x:c r="V1313" t="str">
        <x:f>IF(AND(C1313="Active",Q1313=0),"Active Zero Sales","Not Zero Sales")</x:f>
        <x:v>Not Zero Sales</x:v>
      </x:c>
      <x:c r="W1313" s="12" t="n">
        <x:f>IF(V1313="Active Zero Sales",U1313,0)</x:f>
        <x:v>0</x:v>
      </x:c>
      <x:c r="X1313" t="str">
        <x:f>IF(E1313&lt;25,"Low &lt; 25",IF(E1313&lt;100,"Medium 25-99",IF(E1313&lt;300,"High 100-299","Premium 300+")))</x:f>
        <x:v>High 100-299</x:v>
      </x:c>
      <x:c r="Y1313" t="n">
        <x:f>IF(C1313="Active",1,0)</x:f>
        <x:v>1</x:v>
      </x:c>
    </x:row>
    <x:row r="1314">
      <x:c r="A1314" t="str">
        <x:v>SKU01313</x:v>
      </x:c>
      <x:c r="B1314" t="str">
        <x:v>Sample Product 01313</x:v>
      </x:c>
      <x:c r="C1314" t="str">
        <x:v>Active</x:v>
      </x:c>
      <x:c r="D1314" t="str">
        <x:v>2026-03</x:v>
      </x:c>
      <x:c r="E1314" s="12" t="n">
        <x:v>190.93</x:v>
      </x:c>
      <x:c r="F1314" s="10" t="n">
        <x:v>0.257</x:v>
      </x:c>
      <x:c r="G1314" t="str">
        <x:v>Nutrition</x:v>
      </x:c>
      <x:c r="H1314" t="str">
        <x:v>Hydration</x:v>
      </x:c>
      <x:c r="I1314" t="str">
        <x:v>MFG017</x:v>
      </x:c>
      <x:c r="J1314" t="str">
        <x:v>Manufacturer 017</x:v>
      </x:c>
      <x:c r="K1314" t="str">
        <x:v>SUP006</x:v>
      </x:c>
      <x:c r="L1314" t="str">
        <x:v>Supplier 006</x:v>
      </x:c>
      <x:c r="M1314" t="str">
        <x:v>REG-412804</x:v>
      </x:c>
      <x:c r="N1314" t="str">
        <x:v>Generic Ingredient 159</x:v>
      </x:c>
      <x:c r="O1314" t="str">
        <x:v>General Sale</x:v>
      </x:c>
      <x:c r="P1314" t="n">
        <x:v>90</x:v>
      </x:c>
      <x:c r="Q1314" t="n">
        <x:v>41</x:v>
      </x:c>
      <x:c r="R1314" t="n">
        <x:v>21</x:v>
      </x:c>
      <x:c r="S1314" s="12" t="n">
        <x:f>E1314*Q1314</x:f>
        <x:v>7828.13</x:v>
      </x:c>
      <x:c r="T1314" s="12" t="n">
        <x:f>ROUND(S1314*F1314+0.000000001,2)</x:f>
        <x:v>2011.83</x:v>
      </x:c>
      <x:c r="U1314" s="12" t="n">
        <x:f>E1314*R1314</x:f>
        <x:v>4009.53</x:v>
      </x:c>
      <x:c r="V1314" t="str">
        <x:f>IF(AND(C1314="Active",Q1314=0),"Active Zero Sales","Not Zero Sales")</x:f>
        <x:v>Not Zero Sales</x:v>
      </x:c>
      <x:c r="W1314" s="12" t="n">
        <x:f>IF(V1314="Active Zero Sales",U1314,0)</x:f>
        <x:v>0</x:v>
      </x:c>
      <x:c r="X1314" t="str">
        <x:f>IF(E1314&lt;25,"Low &lt; 25",IF(E1314&lt;100,"Medium 25-99",IF(E1314&lt;300,"High 100-299","Premium 300+")))</x:f>
        <x:v>High 100-299</x:v>
      </x:c>
      <x:c r="Y1314" t="n">
        <x:f>IF(C1314="Active",1,0)</x:f>
        <x:v>1</x:v>
      </x:c>
    </x:row>
    <x:row r="1315">
      <x:c r="A1315" t="str">
        <x:v>SKU01314</x:v>
      </x:c>
      <x:c r="B1315" t="str">
        <x:v>Sample Product 01314</x:v>
      </x:c>
      <x:c r="C1315" t="str">
        <x:v>Active</x:v>
      </x:c>
      <x:c r="D1315" t="str">
        <x:v>2026-05</x:v>
      </x:c>
      <x:c r="E1315" s="12" t="n">
        <x:v>76.41</x:v>
      </x:c>
      <x:c r="F1315" s="10" t="n">
        <x:v>0.431</x:v>
      </x:c>
      <x:c r="G1315" t="str">
        <x:v>General Merchandise</x:v>
      </x:c>
      <x:c r="H1315" t="str">
        <x:v>Travel Health</x:v>
      </x:c>
      <x:c r="I1315" t="str">
        <x:v>MFG013</x:v>
      </x:c>
      <x:c r="J1315" t="str">
        <x:v>Manufacturer 013</x:v>
      </x:c>
      <x:c r="K1315" t="str">
        <x:v>SUP019</x:v>
      </x:c>
      <x:c r="L1315" t="str">
        <x:v>Supplier 019</x:v>
      </x:c>
      <x:c r="M1315" t="str">
        <x:v>REG-736168</x:v>
      </x:c>
      <x:c r="N1315" t="str">
        <x:v>Generic Ingredient 099</x:v>
      </x:c>
      <x:c r="O1315" t="str">
        <x:v>Pharmacy Only</x:v>
      </x:c>
      <x:c r="P1315" t="n">
        <x:v>40</x:v>
      </x:c>
      <x:c r="Q1315" t="n">
        <x:v>20</x:v>
      </x:c>
      <x:c r="R1315" t="n">
        <x:v>0</x:v>
      </x:c>
      <x:c r="S1315" s="12" t="n">
        <x:f>E1315*Q1315</x:f>
        <x:v>1528.1999999999998</x:v>
      </x:c>
      <x:c r="T1315" s="12" t="n">
        <x:f>ROUND(S1315*F1315+0.000000001,2)</x:f>
        <x:v>658.65</x:v>
      </x:c>
      <x:c r="U1315" s="12" t="n">
        <x:f>E1315*R1315</x:f>
        <x:v>0</x:v>
      </x:c>
      <x:c r="V1315" t="str">
        <x:f>IF(AND(C1315="Active",Q1315=0),"Active Zero Sales","Not Zero Sales")</x:f>
        <x:v>Not Zero Sales</x:v>
      </x:c>
      <x:c r="W1315" s="12" t="n">
        <x:f>IF(V1315="Active Zero Sales",U1315,0)</x:f>
        <x:v>0</x:v>
      </x:c>
      <x:c r="X1315" t="str">
        <x:f>IF(E1315&lt;25,"Low &lt; 25",IF(E1315&lt;100,"Medium 25-99",IF(E1315&lt;300,"High 100-299","Premium 300+")))</x:f>
        <x:v>Medium 25-99</x:v>
      </x:c>
      <x:c r="Y1315" t="n">
        <x:f>IF(C1315="Active",1,0)</x:f>
        <x:v>1</x:v>
      </x:c>
    </x:row>
    <x:row r="1316">
      <x:c r="A1316" t="str">
        <x:v>SKU01315</x:v>
      </x:c>
      <x:c r="B1316" t="str">
        <x:v>Sample Product 01315</x:v>
      </x:c>
      <x:c r="C1316" t="str">
        <x:v>Active</x:v>
      </x:c>
      <x:c r="D1316" t="str">
        <x:v>2026-02</x:v>
      </x:c>
      <x:c r="E1316" s="12" t="n">
        <x:v>108.64</x:v>
      </x:c>
      <x:c r="F1316" s="10" t="n">
        <x:v>0.317</x:v>
      </x:c>
      <x:c r="G1316" t="str">
        <x:v>Medical Devices</x:v>
      </x:c>
      <x:c r="H1316" t="str">
        <x:v>Home Diagnostics</x:v>
      </x:c>
      <x:c r="I1316" t="str">
        <x:v>MFG006</x:v>
      </x:c>
      <x:c r="J1316" t="str">
        <x:v>Manufacturer 006</x:v>
      </x:c>
      <x:c r="K1316" t="str">
        <x:v>SUP003</x:v>
      </x:c>
      <x:c r="L1316" t="str">
        <x:v>Supplier 003</x:v>
      </x:c>
      <x:c r="M1316" t="str">
        <x:v>REG-773376</x:v>
      </x:c>
      <x:c r="N1316" t="str">
        <x:v>Generic Ingredient 023</x:v>
      </x:c>
      <x:c r="O1316" t="str">
        <x:v>General Sale</x:v>
      </x:c>
      <x:c r="P1316" t="n">
        <x:v>14</x:v>
      </x:c>
      <x:c r="Q1316" t="n">
        <x:v>14</x:v>
      </x:c>
      <x:c r="R1316" t="n">
        <x:v>0</x:v>
      </x:c>
      <x:c r="S1316" s="12" t="n">
        <x:f>E1316*Q1316</x:f>
        <x:v>1520.96</x:v>
      </x:c>
      <x:c r="T1316" s="12" t="n">
        <x:f>ROUND(S1316*F1316+0.000000001,2)</x:f>
        <x:v>482.14</x:v>
      </x:c>
      <x:c r="U1316" s="12" t="n">
        <x:f>E1316*R1316</x:f>
        <x:v>0</x:v>
      </x:c>
      <x:c r="V1316" t="str">
        <x:f>IF(AND(C1316="Active",Q1316=0),"Active Zero Sales","Not Zero Sales")</x:f>
        <x:v>Not Zero Sales</x:v>
      </x:c>
      <x:c r="W1316" s="12" t="n">
        <x:f>IF(V1316="Active Zero Sales",U1316,0)</x:f>
        <x:v>0</x:v>
      </x:c>
      <x:c r="X1316" t="str">
        <x:f>IF(E1316&lt;25,"Low &lt; 25",IF(E1316&lt;100,"Medium 25-99",IF(E1316&lt;300,"High 100-299","Premium 300+")))</x:f>
        <x:v>High 100-299</x:v>
      </x:c>
      <x:c r="Y1316" t="n">
        <x:f>IF(C1316="Active",1,0)</x:f>
        <x:v>1</x:v>
      </x:c>
    </x:row>
    <x:row r="1317">
      <x:c r="A1317" t="str">
        <x:v>SKU01316</x:v>
      </x:c>
      <x:c r="B1317" t="str">
        <x:v>Sample Product 01316</x:v>
      </x:c>
      <x:c r="C1317" t="str">
        <x:v>Active</x:v>
      </x:c>
      <x:c r="D1317" t="str">
        <x:v>2026-04</x:v>
      </x:c>
      <x:c r="E1317" s="12" t="n">
        <x:v>17.6</x:v>
      </x:c>
      <x:c r="F1317" s="10" t="n">
        <x:v>0.264</x:v>
      </x:c>
      <x:c r="G1317" t="str">
        <x:v>OTC &amp; Wellness</x:v>
      </x:c>
      <x:c r="H1317" t="str">
        <x:v>Cold &amp; Allergy</x:v>
      </x:c>
      <x:c r="I1317" t="str">
        <x:v>MFG012</x:v>
      </x:c>
      <x:c r="J1317" t="str">
        <x:v>Manufacturer 012</x:v>
      </x:c>
      <x:c r="K1317" t="str">
        <x:v>SUP003</x:v>
      </x:c>
      <x:c r="L1317" t="str">
        <x:v>Supplier 003</x:v>
      </x:c>
      <x:c r="M1317" t="str">
        <x:v>REG-823191</x:v>
      </x:c>
      <x:c r="N1317" t="str">
        <x:v>Generic Ingredient 036</x:v>
      </x:c>
      <x:c r="O1317" t="str">
        <x:v>General Sale</x:v>
      </x:c>
      <x:c r="P1317" t="n">
        <x:v>59</x:v>
      </x:c>
      <x:c r="Q1317" t="n">
        <x:v>13</x:v>
      </x:c>
      <x:c r="R1317" t="n">
        <x:v>10</x:v>
      </x:c>
      <x:c r="S1317" s="12" t="n">
        <x:f>E1317*Q1317</x:f>
        <x:v>228.8</x:v>
      </x:c>
      <x:c r="T1317" s="12" t="n">
        <x:f>ROUND(S1317*F1317+0.000000001,2)</x:f>
        <x:v>60.4</x:v>
      </x:c>
      <x:c r="U1317" s="12" t="n">
        <x:f>E1317*R1317</x:f>
        <x:v>176</x:v>
      </x:c>
      <x:c r="V1317" t="str">
        <x:f>IF(AND(C1317="Active",Q1317=0),"Active Zero Sales","Not Zero Sales")</x:f>
        <x:v>Not Zero Sales</x:v>
      </x:c>
      <x:c r="W1317" s="12" t="n">
        <x:f>IF(V1317="Active Zero Sales",U1317,0)</x:f>
        <x:v>0</x:v>
      </x:c>
      <x:c r="X1317" t="str">
        <x:f>IF(E1317&lt;25,"Low &lt; 25",IF(E1317&lt;100,"Medium 25-99",IF(E1317&lt;300,"High 100-299","Premium 300+")))</x:f>
        <x:v>Low &lt; 25</x:v>
      </x:c>
      <x:c r="Y1317" t="n">
        <x:f>IF(C1317="Active",1,0)</x:f>
        <x:v>1</x:v>
      </x:c>
    </x:row>
    <x:row r="1318">
      <x:c r="A1318" t="str">
        <x:v>SKU01317</x:v>
      </x:c>
      <x:c r="B1318" t="str">
        <x:v>Sample Product 01317</x:v>
      </x:c>
      <x:c r="C1318" t="str">
        <x:v>Blocked</x:v>
      </x:c>
      <x:c r="D1318" t="str">
        <x:v>2026-02</x:v>
      </x:c>
      <x:c r="E1318" s="12" t="n">
        <x:v>81.68</x:v>
      </x:c>
      <x:c r="F1318" s="10" t="n">
        <x:v>0.295</x:v>
      </x:c>
      <x:c r="G1318" t="str">
        <x:v>Medical Devices</x:v>
      </x:c>
      <x:c r="H1318" t="str">
        <x:v>Home Diagnostics</x:v>
      </x:c>
      <x:c r="I1318" t="str">
        <x:v>MFG007</x:v>
      </x:c>
      <x:c r="J1318" t="str">
        <x:v>Manufacturer 007</x:v>
      </x:c>
      <x:c r="K1318" t="str">
        <x:v>SUP003</x:v>
      </x:c>
      <x:c r="L1318" t="str">
        <x:v>Supplier 003</x:v>
      </x:c>
      <x:c r="M1318" t="str">
        <x:v>REG-923811</x:v>
      </x:c>
      <x:c r="N1318" t="str">
        <x:v>Generic Ingredient 057</x:v>
      </x:c>
      <x:c r="O1318" t="str">
        <x:v>General Sale</x:v>
      </x:c>
      <x:c r="P1318" t="n">
        <x:v>15</x:v>
      </x:c>
      <x:c r="Q1318" t="n">
        <x:v>7</x:v>
      </x:c>
      <x:c r="R1318" t="n">
        <x:v>12</x:v>
      </x:c>
      <x:c r="S1318" s="12" t="n">
        <x:f>E1318*Q1318</x:f>
        <x:v>571.76</x:v>
      </x:c>
      <x:c r="T1318" s="12" t="n">
        <x:f>ROUND(S1318*F1318+0.000000001,2)</x:f>
        <x:v>168.67</x:v>
      </x:c>
      <x:c r="U1318" s="12" t="n">
        <x:f>E1318*R1318</x:f>
        <x:v>980.1600000000001</x:v>
      </x:c>
      <x:c r="V1318" t="str">
        <x:f>IF(AND(C1318="Active",Q1318=0),"Active Zero Sales","Not Zero Sales")</x:f>
        <x:v>Not Zero Sales</x:v>
      </x:c>
      <x:c r="W1318" s="12" t="n">
        <x:f>IF(V1318="Active Zero Sales",U1318,0)</x:f>
        <x:v>0</x:v>
      </x:c>
      <x:c r="X1318" t="str">
        <x:f>IF(E1318&lt;25,"Low &lt; 25",IF(E1318&lt;100,"Medium 25-99",IF(E1318&lt;300,"High 100-299","Premium 300+")))</x:f>
        <x:v>Medium 25-99</x:v>
      </x:c>
      <x:c r="Y1318" t="n">
        <x:f>IF(C1318="Active",1,0)</x:f>
        <x:v>0</x:v>
      </x:c>
    </x:row>
    <x:row r="1319">
      <x:c r="A1319" t="str">
        <x:v>SKU01318</x:v>
      </x:c>
      <x:c r="B1319" t="str">
        <x:v>Sample Product 01318</x:v>
      </x:c>
      <x:c r="C1319" t="str">
        <x:v>Blocked</x:v>
      </x:c>
      <x:c r="D1319" t="str">
        <x:v>2026-04</x:v>
      </x:c>
      <x:c r="E1319" s="12" t="n">
        <x:v>27</x:v>
      </x:c>
      <x:c r="F1319" s="10" t="n">
        <x:v>0.378</x:v>
      </x:c>
      <x:c r="G1319" t="str">
        <x:v>Personal Care</x:v>
      </x:c>
      <x:c r="H1319" t="str">
        <x:v>Hair Care</x:v>
      </x:c>
      <x:c r="I1319" t="str">
        <x:v>MFG014</x:v>
      </x:c>
      <x:c r="J1319" t="str">
        <x:v>Manufacturer 014</x:v>
      </x:c>
      <x:c r="K1319" t="str">
        <x:v>SUP020</x:v>
      </x:c>
      <x:c r="L1319" t="str">
        <x:v>Supplier 020</x:v>
      </x:c>
      <x:c r="M1319" t="str">
        <x:v>REG-126906</x:v>
      </x:c>
      <x:c r="N1319" t="str">
        <x:v>Generic Ingredient 047</x:v>
      </x:c>
      <x:c r="O1319" t="str">
        <x:v>General Sale</x:v>
      </x:c>
      <x:c r="P1319" t="n">
        <x:v>47</x:v>
      </x:c>
      <x:c r="Q1319" t="n">
        <x:v>0</x:v>
      </x:c>
      <x:c r="R1319" t="n">
        <x:v>0</x:v>
      </x:c>
      <x:c r="S1319" s="12" t="n">
        <x:f>E1319*Q1319</x:f>
        <x:v>0</x:v>
      </x:c>
      <x:c r="T1319" s="12" t="n">
        <x:f>ROUND(S1319*F1319+0.000000001,2)</x:f>
        <x:v>0</x:v>
      </x:c>
      <x:c r="U1319" s="12" t="n">
        <x:f>E1319*R1319</x:f>
        <x:v>0</x:v>
      </x:c>
      <x:c r="V1319" t="str">
        <x:f>IF(AND(C1319="Active",Q1319=0),"Active Zero Sales","Not Zero Sales")</x:f>
        <x:v>Not Zero Sales</x:v>
      </x:c>
      <x:c r="W1319" s="12" t="n">
        <x:f>IF(V1319="Active Zero Sales",U1319,0)</x:f>
        <x:v>0</x:v>
      </x:c>
      <x:c r="X1319" t="str">
        <x:f>IF(E1319&lt;25,"Low &lt; 25",IF(E1319&lt;100,"Medium 25-99",IF(E1319&lt;300,"High 100-299","Premium 300+")))</x:f>
        <x:v>Medium 25-99</x:v>
      </x:c>
      <x:c r="Y1319" t="n">
        <x:f>IF(C1319="Active",1,0)</x:f>
        <x:v>0</x:v>
      </x:c>
    </x:row>
    <x:row r="1320">
      <x:c r="A1320" t="str">
        <x:v>SKU01319</x:v>
      </x:c>
      <x:c r="B1320" t="str">
        <x:v>Sample Product 01319</x:v>
      </x:c>
      <x:c r="C1320" t="str">
        <x:v>Active</x:v>
      </x:c>
      <x:c r="D1320" t="str">
        <x:v>2026-04</x:v>
      </x:c>
      <x:c r="E1320" s="12" t="n">
        <x:v>82.66</x:v>
      </x:c>
      <x:c r="F1320" s="10" t="n">
        <x:v>0.245</x:v>
      </x:c>
      <x:c r="G1320" t="str">
        <x:v>Nutrition</x:v>
      </x:c>
      <x:c r="H1320" t="str">
        <x:v>Sports Nutrition</x:v>
      </x:c>
      <x:c r="I1320" t="str">
        <x:v>MFG012</x:v>
      </x:c>
      <x:c r="J1320" t="str">
        <x:v>Manufacturer 012</x:v>
      </x:c>
      <x:c r="K1320" t="str">
        <x:v>SUP007</x:v>
      </x:c>
      <x:c r="L1320" t="str">
        <x:v>Supplier 007</x:v>
      </x:c>
      <x:c r="M1320" t="str">
        <x:v>REG-553820</x:v>
      </x:c>
      <x:c r="N1320" t="str">
        <x:v>Generic Ingredient 089</x:v>
      </x:c>
      <x:c r="O1320" t="str">
        <x:v>General Sale</x:v>
      </x:c>
      <x:c r="P1320" t="n">
        <x:v>43</x:v>
      </x:c>
      <x:c r="Q1320" t="n">
        <x:v>16</x:v>
      </x:c>
      <x:c r="R1320" t="n">
        <x:v>0</x:v>
      </x:c>
      <x:c r="S1320" s="12" t="n">
        <x:f>E1320*Q1320</x:f>
        <x:v>1322.56</x:v>
      </x:c>
      <x:c r="T1320" s="12" t="n">
        <x:f>ROUND(S1320*F1320+0.000000001,2)</x:f>
        <x:v>324.03</x:v>
      </x:c>
      <x:c r="U1320" s="12" t="n">
        <x:f>E1320*R1320</x:f>
        <x:v>0</x:v>
      </x:c>
      <x:c r="V1320" t="str">
        <x:f>IF(AND(C1320="Active",Q1320=0),"Active Zero Sales","Not Zero Sales")</x:f>
        <x:v>Not Zero Sales</x:v>
      </x:c>
      <x:c r="W1320" s="12" t="n">
        <x:f>IF(V1320="Active Zero Sales",U1320,0)</x:f>
        <x:v>0</x:v>
      </x:c>
      <x:c r="X1320" t="str">
        <x:f>IF(E1320&lt;25,"Low &lt; 25",IF(E1320&lt;100,"Medium 25-99",IF(E1320&lt;300,"High 100-299","Premium 300+")))</x:f>
        <x:v>Medium 25-99</x:v>
      </x:c>
      <x:c r="Y1320" t="n">
        <x:f>IF(C1320="Active",1,0)</x:f>
        <x:v>1</x:v>
      </x:c>
    </x:row>
    <x:row r="1321">
      <x:c r="A1321" t="str">
        <x:v>SKU01320</x:v>
      </x:c>
      <x:c r="B1321" t="str">
        <x:v>Sample Product 01320</x:v>
      </x:c>
      <x:c r="C1321" t="str">
        <x:v>Active</x:v>
      </x:c>
      <x:c r="D1321" t="str">
        <x:v>2026-05</x:v>
      </x:c>
      <x:c r="E1321" s="12" t="n">
        <x:v>54.62</x:v>
      </x:c>
      <x:c r="F1321" s="10" t="n">
        <x:v>0.283</x:v>
      </x:c>
      <x:c r="G1321" t="str">
        <x:v>General Merchandise</x:v>
      </x:c>
      <x:c r="H1321" t="str">
        <x:v>Baby Essentials</x:v>
      </x:c>
      <x:c r="I1321" t="str">
        <x:v>MFG010</x:v>
      </x:c>
      <x:c r="J1321" t="str">
        <x:v>Manufacturer 010</x:v>
      </x:c>
      <x:c r="K1321" t="str">
        <x:v>SUP002</x:v>
      </x:c>
      <x:c r="L1321" t="str">
        <x:v>Supplier 002</x:v>
      </x:c>
      <x:c r="M1321" t="str">
        <x:v>REG-311664</x:v>
      </x:c>
      <x:c r="N1321" t="str">
        <x:v>Generic Ingredient 176</x:v>
      </x:c>
      <x:c r="O1321" t="str">
        <x:v>General Sale</x:v>
      </x:c>
      <x:c r="P1321" t="n">
        <x:v>92</x:v>
      </x:c>
      <x:c r="Q1321" t="n">
        <x:v>0</x:v>
      </x:c>
      <x:c r="R1321" t="n">
        <x:v>50</x:v>
      </x:c>
      <x:c r="S1321" s="12" t="n">
        <x:f>E1321*Q1321</x:f>
        <x:v>0</x:v>
      </x:c>
      <x:c r="T1321" s="12" t="n">
        <x:f>ROUND(S1321*F1321+0.000000001,2)</x:f>
        <x:v>0</x:v>
      </x:c>
      <x:c r="U1321" s="12" t="n">
        <x:f>E1321*R1321</x:f>
        <x:v>2731</x:v>
      </x:c>
      <x:c r="V1321" t="str">
        <x:f>IF(AND(C1321="Active",Q1321=0),"Active Zero Sales","Not Zero Sales")</x:f>
        <x:v>Active Zero Sales</x:v>
      </x:c>
      <x:c r="W1321" s="12" t="n">
        <x:f>IF(V1321="Active Zero Sales",U1321,0)</x:f>
        <x:v>2731</x:v>
      </x:c>
      <x:c r="X1321" t="str">
        <x:f>IF(E1321&lt;25,"Low &lt; 25",IF(E1321&lt;100,"Medium 25-99",IF(E1321&lt;300,"High 100-299","Premium 300+")))</x:f>
        <x:v>Medium 25-99</x:v>
      </x:c>
      <x:c r="Y1321" t="n">
        <x:f>IF(C1321="Active",1,0)</x:f>
        <x:v>1</x:v>
      </x:c>
    </x:row>
    <x:row r="1322">
      <x:c r="A1322" t="str">
        <x:v>SKU01321</x:v>
      </x:c>
      <x:c r="B1322" t="str">
        <x:v>Sample Product 01321</x:v>
      </x:c>
      <x:c r="C1322" t="str">
        <x:v>Active</x:v>
      </x:c>
      <x:c r="D1322" t="str">
        <x:v>2026-01</x:v>
      </x:c>
      <x:c r="E1322" s="12" t="n">
        <x:v>149.44</x:v>
      </x:c>
      <x:c r="F1322" s="10" t="n">
        <x:v>0.337</x:v>
      </x:c>
      <x:c r="G1322" t="str">
        <x:v>General Merchandise</x:v>
      </x:c>
      <x:c r="H1322" t="str">
        <x:v>Travel Health</x:v>
      </x:c>
      <x:c r="I1322" t="str">
        <x:v>MFG017</x:v>
      </x:c>
      <x:c r="J1322" t="str">
        <x:v>Manufacturer 017</x:v>
      </x:c>
      <x:c r="K1322" t="str">
        <x:v>SUP019</x:v>
      </x:c>
      <x:c r="L1322" t="str">
        <x:v>Supplier 019</x:v>
      </x:c>
      <x:c r="M1322" t="str">
        <x:v>REG-590962</x:v>
      </x:c>
      <x:c r="N1322" t="str">
        <x:v>Generic Ingredient 063</x:v>
      </x:c>
      <x:c r="O1322" t="str">
        <x:v>General Sale</x:v>
      </x:c>
      <x:c r="P1322" t="n">
        <x:v>21</x:v>
      </x:c>
      <x:c r="Q1322" t="n">
        <x:v>14</x:v>
      </x:c>
      <x:c r="R1322" t="n">
        <x:v>1</x:v>
      </x:c>
      <x:c r="S1322" s="12" t="n">
        <x:f>E1322*Q1322</x:f>
        <x:v>2092.16</x:v>
      </x:c>
      <x:c r="T1322" s="12" t="n">
        <x:f>ROUND(S1322*F1322+0.000000001,2)</x:f>
        <x:v>705.06</x:v>
      </x:c>
      <x:c r="U1322" s="12" t="n">
        <x:f>E1322*R1322</x:f>
        <x:v>149.44</x:v>
      </x:c>
      <x:c r="V1322" t="str">
        <x:f>IF(AND(C1322="Active",Q1322=0),"Active Zero Sales","Not Zero Sales")</x:f>
        <x:v>Not Zero Sales</x:v>
      </x:c>
      <x:c r="W1322" s="12" t="n">
        <x:f>IF(V1322="Active Zero Sales",U1322,0)</x:f>
        <x:v>0</x:v>
      </x:c>
      <x:c r="X1322" t="str">
        <x:f>IF(E1322&lt;25,"Low &lt; 25",IF(E1322&lt;100,"Medium 25-99",IF(E1322&lt;300,"High 100-299","Premium 300+")))</x:f>
        <x:v>High 100-299</x:v>
      </x:c>
      <x:c r="Y1322" t="n">
        <x:f>IF(C1322="Active",1,0)</x:f>
        <x:v>1</x:v>
      </x:c>
    </x:row>
    <x:row r="1323">
      <x:c r="A1323" t="str">
        <x:v>SKU01322</x:v>
      </x:c>
      <x:c r="B1323" t="str">
        <x:v>Sample Product 01322</x:v>
      </x:c>
      <x:c r="C1323" t="str">
        <x:v>Active</x:v>
      </x:c>
      <x:c r="D1323" t="str">
        <x:v>2026-02</x:v>
      </x:c>
      <x:c r="E1323" s="12" t="n">
        <x:v>189.72</x:v>
      </x:c>
      <x:c r="F1323" s="10" t="n">
        <x:v>0.157</x:v>
      </x:c>
      <x:c r="G1323" t="str">
        <x:v>General Merchandise</x:v>
      </x:c>
      <x:c r="H1323" t="str">
        <x:v>Travel Health</x:v>
      </x:c>
      <x:c r="I1323" t="str">
        <x:v>MFG006</x:v>
      </x:c>
      <x:c r="J1323" t="str">
        <x:v>Manufacturer 006</x:v>
      </x:c>
      <x:c r="K1323" t="str">
        <x:v>SUP019</x:v>
      </x:c>
      <x:c r="L1323" t="str">
        <x:v>Supplier 019</x:v>
      </x:c>
      <x:c r="M1323" t="str">
        <x:v>REG-243752</x:v>
      </x:c>
      <x:c r="N1323" t="str">
        <x:v>Generic Ingredient 097</x:v>
      </x:c>
      <x:c r="O1323" t="str">
        <x:v>General Sale</x:v>
      </x:c>
      <x:c r="P1323" t="n">
        <x:v>48</x:v>
      </x:c>
      <x:c r="Q1323" t="n">
        <x:v>10</x:v>
      </x:c>
      <x:c r="R1323" t="n">
        <x:v>11</x:v>
      </x:c>
      <x:c r="S1323" s="12" t="n">
        <x:f>E1323*Q1323</x:f>
        <x:v>1897.2</x:v>
      </x:c>
      <x:c r="T1323" s="12" t="n">
        <x:f>ROUND(S1323*F1323+0.000000001,2)</x:f>
        <x:v>297.86</x:v>
      </x:c>
      <x:c r="U1323" s="12" t="n">
        <x:f>E1323*R1323</x:f>
        <x:v>2086.92</x:v>
      </x:c>
      <x:c r="V1323" t="str">
        <x:f>IF(AND(C1323="Active",Q1323=0),"Active Zero Sales","Not Zero Sales")</x:f>
        <x:v>Not Zero Sales</x:v>
      </x:c>
      <x:c r="W1323" s="12" t="n">
        <x:f>IF(V1323="Active Zero Sales",U1323,0)</x:f>
        <x:v>0</x:v>
      </x:c>
      <x:c r="X1323" t="str">
        <x:f>IF(E1323&lt;25,"Low &lt; 25",IF(E1323&lt;100,"Medium 25-99",IF(E1323&lt;300,"High 100-299","Premium 300+")))</x:f>
        <x:v>High 100-299</x:v>
      </x:c>
      <x:c r="Y1323" t="n">
        <x:f>IF(C1323="Active",1,0)</x:f>
        <x:v>1</x:v>
      </x:c>
    </x:row>
    <x:row r="1324">
      <x:c r="A1324" t="str">
        <x:v>SKU01323</x:v>
      </x:c>
      <x:c r="B1324" t="str">
        <x:v>Sample Product 01323</x:v>
      </x:c>
      <x:c r="C1324" t="str">
        <x:v>Active</x:v>
      </x:c>
      <x:c r="D1324" t="str">
        <x:v>2026-06</x:v>
      </x:c>
      <x:c r="E1324" s="12" t="n">
        <x:v>40.1</x:v>
      </x:c>
      <x:c r="F1324" s="10" t="n">
        <x:v>0.22</x:v>
      </x:c>
      <x:c r="G1324" t="str">
        <x:v>OTC &amp; Wellness</x:v>
      </x:c>
      <x:c r="H1324" t="str">
        <x:v>Cold &amp; Allergy</x:v>
      </x:c>
      <x:c r="I1324" t="str">
        <x:v>MFG004</x:v>
      </x:c>
      <x:c r="J1324" t="str">
        <x:v>Manufacturer 004</x:v>
      </x:c>
      <x:c r="K1324" t="str">
        <x:v>SUP003</x:v>
      </x:c>
      <x:c r="L1324" t="str">
        <x:v>Supplier 003</x:v>
      </x:c>
      <x:c r="M1324" t="str">
        <x:v>REG-276808</x:v>
      </x:c>
      <x:c r="N1324" t="str">
        <x:v>Generic Ingredient 093</x:v>
      </x:c>
      <x:c r="O1324" t="str">
        <x:v>Pharmacy Only</x:v>
      </x:c>
      <x:c r="P1324" t="n">
        <x:v>88</x:v>
      </x:c>
      <x:c r="Q1324" t="n">
        <x:v>33</x:v>
      </x:c>
      <x:c r="R1324" t="n">
        <x:v>9</x:v>
      </x:c>
      <x:c r="S1324" s="12" t="n">
        <x:f>E1324*Q1324</x:f>
        <x:v>1323.3</x:v>
      </x:c>
      <x:c r="T1324" s="12" t="n">
        <x:f>ROUND(S1324*F1324+0.000000001,2)</x:f>
        <x:v>291.13</x:v>
      </x:c>
      <x:c r="U1324" s="12" t="n">
        <x:f>E1324*R1324</x:f>
        <x:v>360.90000000000003</x:v>
      </x:c>
      <x:c r="V1324" t="str">
        <x:f>IF(AND(C1324="Active",Q1324=0),"Active Zero Sales","Not Zero Sales")</x:f>
        <x:v>Not Zero Sales</x:v>
      </x:c>
      <x:c r="W1324" s="12" t="n">
        <x:f>IF(V1324="Active Zero Sales",U1324,0)</x:f>
        <x:v>0</x:v>
      </x:c>
      <x:c r="X1324" t="str">
        <x:f>IF(E1324&lt;25,"Low &lt; 25",IF(E1324&lt;100,"Medium 25-99",IF(E1324&lt;300,"High 100-299","Premium 300+")))</x:f>
        <x:v>Medium 25-99</x:v>
      </x:c>
      <x:c r="Y1324" t="n">
        <x:f>IF(C1324="Active",1,0)</x:f>
        <x:v>1</x:v>
      </x:c>
    </x:row>
    <x:row r="1325">
      <x:c r="A1325" t="str">
        <x:v>SKU01324</x:v>
      </x:c>
      <x:c r="B1325" t="str">
        <x:v>Sample Product 01324</x:v>
      </x:c>
      <x:c r="C1325" t="str">
        <x:v>Blocked</x:v>
      </x:c>
      <x:c r="D1325" t="str">
        <x:v>2026-05</x:v>
      </x:c>
      <x:c r="E1325" s="12" t="n">
        <x:v>19.95</x:v>
      </x:c>
      <x:c r="F1325" s="10" t="n">
        <x:v>0.398</x:v>
      </x:c>
      <x:c r="G1325" t="str">
        <x:v>Personal Care</x:v>
      </x:c>
      <x:c r="H1325" t="str">
        <x:v>Skin Care</x:v>
      </x:c>
      <x:c r="I1325" t="str">
        <x:v>MFG013</x:v>
      </x:c>
      <x:c r="J1325" t="str">
        <x:v>Manufacturer 013</x:v>
      </x:c>
      <x:c r="K1325" t="str">
        <x:v>SUP013</x:v>
      </x:c>
      <x:c r="L1325" t="str">
        <x:v>Supplier 013</x:v>
      </x:c>
      <x:c r="M1325" t="str">
        <x:v>REG-448511</x:v>
      </x:c>
      <x:c r="N1325" t="str">
        <x:v>Generic Ingredient 164</x:v>
      </x:c>
      <x:c r="O1325" t="str">
        <x:v>General Sale</x:v>
      </x:c>
      <x:c r="P1325" t="n">
        <x:v>27</x:v>
      </x:c>
      <x:c r="Q1325" t="n">
        <x:v>0</x:v>
      </x:c>
      <x:c r="R1325" t="n">
        <x:v>0</x:v>
      </x:c>
      <x:c r="S1325" s="12" t="n">
        <x:f>E1325*Q1325</x:f>
        <x:v>0</x:v>
      </x:c>
      <x:c r="T1325" s="12" t="n">
        <x:f>ROUND(S1325*F1325+0.000000001,2)</x:f>
        <x:v>0</x:v>
      </x:c>
      <x:c r="U1325" s="12" t="n">
        <x:f>E1325*R1325</x:f>
        <x:v>0</x:v>
      </x:c>
      <x:c r="V1325" t="str">
        <x:f>IF(AND(C1325="Active",Q1325=0),"Active Zero Sales","Not Zero Sales")</x:f>
        <x:v>Not Zero Sales</x:v>
      </x:c>
      <x:c r="W1325" s="12" t="n">
        <x:f>IF(V1325="Active Zero Sales",U1325,0)</x:f>
        <x:v>0</x:v>
      </x:c>
      <x:c r="X1325" t="str">
        <x:f>IF(E1325&lt;25,"Low &lt; 25",IF(E1325&lt;100,"Medium 25-99",IF(E1325&lt;300,"High 100-299","Premium 300+")))</x:f>
        <x:v>Low &lt; 25</x:v>
      </x:c>
      <x:c r="Y1325" t="n">
        <x:f>IF(C1325="Active",1,0)</x:f>
        <x:v>0</x:v>
      </x:c>
    </x:row>
    <x:row r="1326">
      <x:c r="A1326" t="str">
        <x:v>SKU01325</x:v>
      </x:c>
      <x:c r="B1326" t="str">
        <x:v>Sample Product 01325</x:v>
      </x:c>
      <x:c r="C1326" t="str">
        <x:v>Active</x:v>
      </x:c>
      <x:c r="D1326" t="str">
        <x:v>2026-03</x:v>
      </x:c>
      <x:c r="E1326" s="12" t="n">
        <x:v>37.74</x:v>
      </x:c>
      <x:c r="F1326" s="10" t="n">
        <x:v>0.275</x:v>
      </x:c>
      <x:c r="G1326" t="str">
        <x:v>OTC &amp; Wellness</x:v>
      </x:c>
      <x:c r="H1326" t="str">
        <x:v>Digestive Care</x:v>
      </x:c>
      <x:c r="I1326" t="str">
        <x:v>MFG007</x:v>
      </x:c>
      <x:c r="J1326" t="str">
        <x:v>Manufacturer 007</x:v>
      </x:c>
      <x:c r="K1326" t="str">
        <x:v>SUP014</x:v>
      </x:c>
      <x:c r="L1326" t="str">
        <x:v>Supplier 014</x:v>
      </x:c>
      <x:c r="M1326" t="str">
        <x:v>REG-569498</x:v>
      </x:c>
      <x:c r="N1326" t="str">
        <x:v>Generic Ingredient 071</x:v>
      </x:c>
      <x:c r="O1326" t="str">
        <x:v>General Sale</x:v>
      </x:c>
      <x:c r="P1326" t="n">
        <x:v>29</x:v>
      </x:c>
      <x:c r="Q1326" t="n">
        <x:v>10</x:v>
      </x:c>
      <x:c r="R1326" t="n">
        <x:v>8</x:v>
      </x:c>
      <x:c r="S1326" s="12" t="n">
        <x:f>E1326*Q1326</x:f>
        <x:v>377.40000000000003</x:v>
      </x:c>
      <x:c r="T1326" s="12" t="n">
        <x:f>ROUND(S1326*F1326+0.000000001,2)</x:f>
        <x:v>103.79</x:v>
      </x:c>
      <x:c r="U1326" s="12" t="n">
        <x:f>E1326*R1326</x:f>
        <x:v>301.92</x:v>
      </x:c>
      <x:c r="V1326" t="str">
        <x:f>IF(AND(C1326="Active",Q1326=0),"Active Zero Sales","Not Zero Sales")</x:f>
        <x:v>Not Zero Sales</x:v>
      </x:c>
      <x:c r="W1326" s="12" t="n">
        <x:f>IF(V1326="Active Zero Sales",U1326,0)</x:f>
        <x:v>0</x:v>
      </x:c>
      <x:c r="X1326" t="str">
        <x:f>IF(E1326&lt;25,"Low &lt; 25",IF(E1326&lt;100,"Medium 25-99",IF(E1326&lt;300,"High 100-299","Premium 300+")))</x:f>
        <x:v>Medium 25-99</x:v>
      </x:c>
      <x:c r="Y1326" t="n">
        <x:f>IF(C1326="Active",1,0)</x:f>
        <x:v>1</x:v>
      </x:c>
    </x:row>
    <x:row r="1327">
      <x:c r="A1327" t="str">
        <x:v>SKU01326</x:v>
      </x:c>
      <x:c r="B1327" t="str">
        <x:v>Sample Product 01326</x:v>
      </x:c>
      <x:c r="C1327" t="str">
        <x:v>Active</x:v>
      </x:c>
      <x:c r="D1327" t="str">
        <x:v>2026-04</x:v>
      </x:c>
      <x:c r="E1327" s="12" t="n">
        <x:v>40.18</x:v>
      </x:c>
      <x:c r="F1327" s="10" t="n">
        <x:v>0.493</x:v>
      </x:c>
      <x:c r="G1327" t="str">
        <x:v>Personal Care</x:v>
      </x:c>
      <x:c r="H1327" t="str">
        <x:v>Hair Care</x:v>
      </x:c>
      <x:c r="I1327" t="str">
        <x:v>MFG013</x:v>
      </x:c>
      <x:c r="J1327" t="str">
        <x:v>Manufacturer 013</x:v>
      </x:c>
      <x:c r="K1327" t="str">
        <x:v>SUP027</x:v>
      </x:c>
      <x:c r="L1327" t="str">
        <x:v>Supplier 027</x:v>
      </x:c>
      <x:c r="M1327" t="str">
        <x:v>REG-263420</x:v>
      </x:c>
      <x:c r="N1327" t="str">
        <x:v>Generic Ingredient 113</x:v>
      </x:c>
      <x:c r="O1327" t="str">
        <x:v>General Sale</x:v>
      </x:c>
      <x:c r="P1327" t="n">
        <x:v>23</x:v>
      </x:c>
      <x:c r="Q1327" t="n">
        <x:v>7</x:v>
      </x:c>
      <x:c r="R1327" t="n">
        <x:v>6</x:v>
      </x:c>
      <x:c r="S1327" s="12" t="n">
        <x:f>E1327*Q1327</x:f>
        <x:v>281.26</x:v>
      </x:c>
      <x:c r="T1327" s="12" t="n">
        <x:f>ROUND(S1327*F1327+0.000000001,2)</x:f>
        <x:v>138.66</x:v>
      </x:c>
      <x:c r="U1327" s="12" t="n">
        <x:f>E1327*R1327</x:f>
        <x:v>241.07999999999998</x:v>
      </x:c>
      <x:c r="V1327" t="str">
        <x:f>IF(AND(C1327="Active",Q1327=0),"Active Zero Sales","Not Zero Sales")</x:f>
        <x:v>Not Zero Sales</x:v>
      </x:c>
      <x:c r="W1327" s="12" t="n">
        <x:f>IF(V1327="Active Zero Sales",U1327,0)</x:f>
        <x:v>0</x:v>
      </x:c>
      <x:c r="X1327" t="str">
        <x:f>IF(E1327&lt;25,"Low &lt; 25",IF(E1327&lt;100,"Medium 25-99",IF(E1327&lt;300,"High 100-299","Premium 300+")))</x:f>
        <x:v>Medium 25-99</x:v>
      </x:c>
      <x:c r="Y1327" t="n">
        <x:f>IF(C1327="Active",1,0)</x:f>
        <x:v>1</x:v>
      </x:c>
    </x:row>
    <x:row r="1328">
      <x:c r="A1328" t="str">
        <x:v>SKU01327</x:v>
      </x:c>
      <x:c r="B1328" t="str">
        <x:v>Sample Product 01327</x:v>
      </x:c>
      <x:c r="C1328" t="str">
        <x:v>Active</x:v>
      </x:c>
      <x:c r="D1328" t="str">
        <x:v>2026-06</x:v>
      </x:c>
      <x:c r="E1328" s="12" t="n">
        <x:v>598.06</x:v>
      </x:c>
      <x:c r="F1328" s="10" t="n">
        <x:v>0.214</x:v>
      </x:c>
      <x:c r="G1328" t="str">
        <x:v>Medical Devices</x:v>
      </x:c>
      <x:c r="H1328" t="str">
        <x:v>Home Diagnostics</x:v>
      </x:c>
      <x:c r="I1328" t="str">
        <x:v>MFG014</x:v>
      </x:c>
      <x:c r="J1328" t="str">
        <x:v>Manufacturer 014</x:v>
      </x:c>
      <x:c r="K1328" t="str">
        <x:v>SUP003</x:v>
      </x:c>
      <x:c r="L1328" t="str">
        <x:v>Supplier 003</x:v>
      </x:c>
      <x:c r="M1328" t="str">
        <x:v>REG-570914</x:v>
      </x:c>
      <x:c r="N1328" t="str">
        <x:v>Generic Ingredient 070</x:v>
      </x:c>
      <x:c r="O1328" t="str">
        <x:v>Pharmacy Only</x:v>
      </x:c>
      <x:c r="P1328" t="n">
        <x:v>84</x:v>
      </x:c>
      <x:c r="Q1328" t="n">
        <x:v>56</x:v>
      </x:c>
      <x:c r="R1328" t="n">
        <x:v>33</x:v>
      </x:c>
      <x:c r="S1328" s="12" t="n">
        <x:f>E1328*Q1328</x:f>
        <x:v>33491.36</x:v>
      </x:c>
      <x:c r="T1328" s="12" t="n">
        <x:f>ROUND(S1328*F1328+0.000000001,2)</x:f>
        <x:v>7167.15</x:v>
      </x:c>
      <x:c r="U1328" s="12" t="n">
        <x:f>E1328*R1328</x:f>
        <x:v>19735.98</x:v>
      </x:c>
      <x:c r="V1328" t="str">
        <x:f>IF(AND(C1328="Active",Q1328=0),"Active Zero Sales","Not Zero Sales")</x:f>
        <x:v>Not Zero Sales</x:v>
      </x:c>
      <x:c r="W1328" s="12" t="n">
        <x:f>IF(V1328="Active Zero Sales",U1328,0)</x:f>
        <x:v>0</x:v>
      </x:c>
      <x:c r="X1328" t="str">
        <x:f>IF(E1328&lt;25,"Low &lt; 25",IF(E1328&lt;100,"Medium 25-99",IF(E1328&lt;300,"High 100-299","Premium 300+")))</x:f>
        <x:v>Premium 300+</x:v>
      </x:c>
      <x:c r="Y1328" t="n">
        <x:f>IF(C1328="Active",1,0)</x:f>
        <x:v>1</x:v>
      </x:c>
    </x:row>
    <x:row r="1329">
      <x:c r="A1329" t="str">
        <x:v>SKU01328</x:v>
      </x:c>
      <x:c r="B1329" t="str">
        <x:v>Sample Product 01328</x:v>
      </x:c>
      <x:c r="C1329" t="str">
        <x:v>Active</x:v>
      </x:c>
      <x:c r="D1329" t="str">
        <x:v>2026-04</x:v>
      </x:c>
      <x:c r="E1329" s="12" t="n">
        <x:v>55.77</x:v>
      </x:c>
      <x:c r="F1329" s="10" t="n">
        <x:v>0.293</x:v>
      </x:c>
      <x:c r="G1329" t="str">
        <x:v>Personal Care</x:v>
      </x:c>
      <x:c r="H1329" t="str">
        <x:v>Hair Care</x:v>
      </x:c>
      <x:c r="I1329" t="str">
        <x:v>MFG009</x:v>
      </x:c>
      <x:c r="J1329" t="str">
        <x:v>Manufacturer 009</x:v>
      </x:c>
      <x:c r="K1329" t="str">
        <x:v>SUP018</x:v>
      </x:c>
      <x:c r="L1329" t="str">
        <x:v>Supplier 018</x:v>
      </x:c>
      <x:c r="M1329" t="str">
        <x:v>REG-629246</x:v>
      </x:c>
      <x:c r="N1329" t="str">
        <x:v>Generic Ingredient 104</x:v>
      </x:c>
      <x:c r="O1329" t="str">
        <x:v>General Sale</x:v>
      </x:c>
      <x:c r="P1329" t="n">
        <x:v>206</x:v>
      </x:c>
      <x:c r="Q1329" t="n">
        <x:v>118</x:v>
      </x:c>
      <x:c r="R1329" t="n">
        <x:v>68</x:v>
      </x:c>
      <x:c r="S1329" s="12" t="n">
        <x:f>E1329*Q1329</x:f>
        <x:v>6580.860000000001</x:v>
      </x:c>
      <x:c r="T1329" s="12" t="n">
        <x:f>ROUND(S1329*F1329+0.000000001,2)</x:f>
        <x:v>1928.19</x:v>
      </x:c>
      <x:c r="U1329" s="12" t="n">
        <x:f>E1329*R1329</x:f>
        <x:v>3792.36</x:v>
      </x:c>
      <x:c r="V1329" t="str">
        <x:f>IF(AND(C1329="Active",Q1329=0),"Active Zero Sales","Not Zero Sales")</x:f>
        <x:v>Not Zero Sales</x:v>
      </x:c>
      <x:c r="W1329" s="12" t="n">
        <x:f>IF(V1329="Active Zero Sales",U1329,0)</x:f>
        <x:v>0</x:v>
      </x:c>
      <x:c r="X1329" t="str">
        <x:f>IF(E1329&lt;25,"Low &lt; 25",IF(E1329&lt;100,"Medium 25-99",IF(E1329&lt;300,"High 100-299","Premium 300+")))</x:f>
        <x:v>Medium 25-99</x:v>
      </x:c>
      <x:c r="Y1329" t="n">
        <x:f>IF(C1329="Active",1,0)</x:f>
        <x:v>1</x:v>
      </x:c>
    </x:row>
    <x:row r="1330">
      <x:c r="A1330" t="str">
        <x:v>SKU01329</x:v>
      </x:c>
      <x:c r="B1330" t="str">
        <x:v>Sample Product 01329</x:v>
      </x:c>
      <x:c r="C1330" t="str">
        <x:v>Active</x:v>
      </x:c>
      <x:c r="D1330" t="str">
        <x:v>2026-01</x:v>
      </x:c>
      <x:c r="E1330" s="12" t="n">
        <x:v>6.74</x:v>
      </x:c>
      <x:c r="F1330" s="10" t="n">
        <x:v>0.325</x:v>
      </x:c>
      <x:c r="G1330" t="str">
        <x:v>Personal Care</x:v>
      </x:c>
      <x:c r="H1330" t="str">
        <x:v>Hygiene</x:v>
      </x:c>
      <x:c r="I1330" t="str">
        <x:v>MFG003</x:v>
      </x:c>
      <x:c r="J1330" t="str">
        <x:v>Manufacturer 003</x:v>
      </x:c>
      <x:c r="K1330" t="str">
        <x:v>SUP022</x:v>
      </x:c>
      <x:c r="L1330" t="str">
        <x:v>Supplier 022</x:v>
      </x:c>
      <x:c r="M1330" t="str">
        <x:v>REG-204100</x:v>
      </x:c>
      <x:c r="N1330" t="str">
        <x:v>Generic Ingredient 096</x:v>
      </x:c>
      <x:c r="O1330" t="str">
        <x:v>General Sale</x:v>
      </x:c>
      <x:c r="P1330" t="n">
        <x:v>77</x:v>
      </x:c>
      <x:c r="Q1330" t="n">
        <x:v>22</x:v>
      </x:c>
      <x:c r="R1330" t="n">
        <x:v>11</x:v>
      </x:c>
      <x:c r="S1330" s="12" t="n">
        <x:f>E1330*Q1330</x:f>
        <x:v>148.28</x:v>
      </x:c>
      <x:c r="T1330" s="12" t="n">
        <x:f>ROUND(S1330*F1330+0.000000001,2)</x:f>
        <x:v>48.19</x:v>
      </x:c>
      <x:c r="U1330" s="12" t="n">
        <x:f>E1330*R1330</x:f>
        <x:v>74.14</x:v>
      </x:c>
      <x:c r="V1330" t="str">
        <x:f>IF(AND(C1330="Active",Q1330=0),"Active Zero Sales","Not Zero Sales")</x:f>
        <x:v>Not Zero Sales</x:v>
      </x:c>
      <x:c r="W1330" s="12" t="n">
        <x:f>IF(V1330="Active Zero Sales",U1330,0)</x:f>
        <x:v>0</x:v>
      </x:c>
      <x:c r="X1330" t="str">
        <x:f>IF(E1330&lt;25,"Low &lt; 25",IF(E1330&lt;100,"Medium 25-99",IF(E1330&lt;300,"High 100-299","Premium 300+")))</x:f>
        <x:v>Low &lt; 25</x:v>
      </x:c>
      <x:c r="Y1330" t="n">
        <x:f>IF(C1330="Active",1,0)</x:f>
        <x:v>1</x:v>
      </x:c>
    </x:row>
    <x:row r="1331">
      <x:c r="A1331" t="str">
        <x:v>SKU01330</x:v>
      </x:c>
      <x:c r="B1331" t="str">
        <x:v>Sample Product 01330</x:v>
      </x:c>
      <x:c r="C1331" t="str">
        <x:v>Blocked</x:v>
      </x:c>
      <x:c r="D1331" t="str">
        <x:v>2026-01</x:v>
      </x:c>
      <x:c r="E1331" s="12" t="n">
        <x:v>73.72</x:v>
      </x:c>
      <x:c r="F1331" s="10" t="n">
        <x:v>0.351</x:v>
      </x:c>
      <x:c r="G1331" t="str">
        <x:v>Personal Care</x:v>
      </x:c>
      <x:c r="H1331" t="str">
        <x:v>Oral Care</x:v>
      </x:c>
      <x:c r="I1331" t="str">
        <x:v>MFG015</x:v>
      </x:c>
      <x:c r="J1331" t="str">
        <x:v>Manufacturer 015</x:v>
      </x:c>
      <x:c r="K1331" t="str">
        <x:v>SUP015</x:v>
      </x:c>
      <x:c r="L1331" t="str">
        <x:v>Supplier 015</x:v>
      </x:c>
      <x:c r="M1331" t="str">
        <x:v>REG-581014</x:v>
      </x:c>
      <x:c r="N1331" t="str">
        <x:v>Generic Ingredient 131</x:v>
      </x:c>
      <x:c r="O1331" t="str">
        <x:v>General Sale</x:v>
      </x:c>
      <x:c r="P1331" t="n">
        <x:v>71</x:v>
      </x:c>
      <x:c r="Q1331" t="n">
        <x:v>28</x:v>
      </x:c>
      <x:c r="R1331" t="n">
        <x:v>0</x:v>
      </x:c>
      <x:c r="S1331" s="12" t="n">
        <x:f>E1331*Q1331</x:f>
        <x:v>2064.16</x:v>
      </x:c>
      <x:c r="T1331" s="12" t="n">
        <x:f>ROUND(S1331*F1331+0.000000001,2)</x:f>
        <x:v>724.52</x:v>
      </x:c>
      <x:c r="U1331" s="12" t="n">
        <x:f>E1331*R1331</x:f>
        <x:v>0</x:v>
      </x:c>
      <x:c r="V1331" t="str">
        <x:f>IF(AND(C1331="Active",Q1331=0),"Active Zero Sales","Not Zero Sales")</x:f>
        <x:v>Not Zero Sales</x:v>
      </x:c>
      <x:c r="W1331" s="12" t="n">
        <x:f>IF(V1331="Active Zero Sales",U1331,0)</x:f>
        <x:v>0</x:v>
      </x:c>
      <x:c r="X1331" t="str">
        <x:f>IF(E1331&lt;25,"Low &lt; 25",IF(E1331&lt;100,"Medium 25-99",IF(E1331&lt;300,"High 100-299","Premium 300+")))</x:f>
        <x:v>Medium 25-99</x:v>
      </x:c>
      <x:c r="Y1331" t="n">
        <x:f>IF(C1331="Active",1,0)</x:f>
        <x:v>0</x:v>
      </x:c>
    </x:row>
    <x:row r="1332">
      <x:c r="A1332" t="str">
        <x:v>SKU01331</x:v>
      </x:c>
      <x:c r="B1332" t="str">
        <x:v>Sample Product 01331</x:v>
      </x:c>
      <x:c r="C1332" t="str">
        <x:v>Blocked</x:v>
      </x:c>
      <x:c r="D1332" t="str">
        <x:v>2026-02</x:v>
      </x:c>
      <x:c r="E1332" s="12" t="n">
        <x:v>14.88</x:v>
      </x:c>
      <x:c r="F1332" s="10" t="n">
        <x:v>0.351</x:v>
      </x:c>
      <x:c r="G1332" t="str">
        <x:v>Nutrition</x:v>
      </x:c>
      <x:c r="H1332" t="str">
        <x:v>Healthy Snacks</x:v>
      </x:c>
      <x:c r="I1332" t="str">
        <x:v>MFG008</x:v>
      </x:c>
      <x:c r="J1332" t="str">
        <x:v>Manufacturer 008</x:v>
      </x:c>
      <x:c r="K1332" t="str">
        <x:v>SUP002</x:v>
      </x:c>
      <x:c r="L1332" t="str">
        <x:v>Supplier 002</x:v>
      </x:c>
      <x:c r="M1332" t="str">
        <x:v>REG-741972</x:v>
      </x:c>
      <x:c r="N1332" t="str">
        <x:v>Generic Ingredient 098</x:v>
      </x:c>
      <x:c r="O1332" t="str">
        <x:v>General Sale</x:v>
      </x:c>
      <x:c r="P1332" t="n">
        <x:v>41</x:v>
      </x:c>
      <x:c r="Q1332" t="n">
        <x:v>0</x:v>
      </x:c>
      <x:c r="R1332" t="n">
        <x:v>0</x:v>
      </x:c>
      <x:c r="S1332" s="12" t="n">
        <x:f>E1332*Q1332</x:f>
        <x:v>0</x:v>
      </x:c>
      <x:c r="T1332" s="12" t="n">
        <x:f>ROUND(S1332*F1332+0.000000001,2)</x:f>
        <x:v>0</x:v>
      </x:c>
      <x:c r="U1332" s="12" t="n">
        <x:f>E1332*R1332</x:f>
        <x:v>0</x:v>
      </x:c>
      <x:c r="V1332" t="str">
        <x:f>IF(AND(C1332="Active",Q1332=0),"Active Zero Sales","Not Zero Sales")</x:f>
        <x:v>Not Zero Sales</x:v>
      </x:c>
      <x:c r="W1332" s="12" t="n">
        <x:f>IF(V1332="Active Zero Sales",U1332,0)</x:f>
        <x:v>0</x:v>
      </x:c>
      <x:c r="X1332" t="str">
        <x:f>IF(E1332&lt;25,"Low &lt; 25",IF(E1332&lt;100,"Medium 25-99",IF(E1332&lt;300,"High 100-299","Premium 300+")))</x:f>
        <x:v>Low &lt; 25</x:v>
      </x:c>
      <x:c r="Y1332" t="n">
        <x:f>IF(C1332="Active",1,0)</x:f>
        <x:v>0</x:v>
      </x:c>
    </x:row>
    <x:row r="1333">
      <x:c r="A1333" t="str">
        <x:v>SKU01332</x:v>
      </x:c>
      <x:c r="B1333" t="str">
        <x:v>Sample Product 01332</x:v>
      </x:c>
      <x:c r="C1333" t="str">
        <x:v>Active</x:v>
      </x:c>
      <x:c r="D1333" t="str">
        <x:v>2026-06</x:v>
      </x:c>
      <x:c r="E1333" s="12" t="n">
        <x:v>31.73</x:v>
      </x:c>
      <x:c r="F1333" s="10" t="n">
        <x:v>0.43</x:v>
      </x:c>
      <x:c r="G1333" t="str">
        <x:v>OTC &amp; Wellness</x:v>
      </x:c>
      <x:c r="H1333" t="str">
        <x:v>Vitamins</x:v>
      </x:c>
      <x:c r="I1333" t="str">
        <x:v>MFG001</x:v>
      </x:c>
      <x:c r="J1333" t="str">
        <x:v>Manufacturer 001</x:v>
      </x:c>
      <x:c r="K1333" t="str">
        <x:v>SUP028</x:v>
      </x:c>
      <x:c r="L1333" t="str">
        <x:v>Supplier 028</x:v>
      </x:c>
      <x:c r="M1333" t="str">
        <x:v>REG-892016</x:v>
      </x:c>
      <x:c r="N1333" t="str">
        <x:v>Generic Ingredient 046</x:v>
      </x:c>
      <x:c r="O1333" t="str">
        <x:v>General Sale</x:v>
      </x:c>
      <x:c r="P1333" t="n">
        <x:v>37</x:v>
      </x:c>
      <x:c r="Q1333" t="n">
        <x:v>32</x:v>
      </x:c>
      <x:c r="R1333" t="n">
        <x:v>0</x:v>
      </x:c>
      <x:c r="S1333" s="12" t="n">
        <x:f>E1333*Q1333</x:f>
        <x:v>1015.36</x:v>
      </x:c>
      <x:c r="T1333" s="12" t="n">
        <x:f>ROUND(S1333*F1333+0.000000001,2)</x:f>
        <x:v>436.6</x:v>
      </x:c>
      <x:c r="U1333" s="12" t="n">
        <x:f>E1333*R1333</x:f>
        <x:v>0</x:v>
      </x:c>
      <x:c r="V1333" t="str">
        <x:f>IF(AND(C1333="Active",Q1333=0),"Active Zero Sales","Not Zero Sales")</x:f>
        <x:v>Not Zero Sales</x:v>
      </x:c>
      <x:c r="W1333" s="12" t="n">
        <x:f>IF(V1333="Active Zero Sales",U1333,0)</x:f>
        <x:v>0</x:v>
      </x:c>
      <x:c r="X1333" t="str">
        <x:f>IF(E1333&lt;25,"Low &lt; 25",IF(E1333&lt;100,"Medium 25-99",IF(E1333&lt;300,"High 100-299","Premium 300+")))</x:f>
        <x:v>Medium 25-99</x:v>
      </x:c>
      <x:c r="Y1333" t="n">
        <x:f>IF(C1333="Active",1,0)</x:f>
        <x:v>1</x:v>
      </x:c>
    </x:row>
    <x:row r="1334">
      <x:c r="A1334" t="str">
        <x:v>SKU01333</x:v>
      </x:c>
      <x:c r="B1334" t="str">
        <x:v>Sample Product 01333</x:v>
      </x:c>
      <x:c r="C1334" t="str">
        <x:v>Active</x:v>
      </x:c>
      <x:c r="D1334" t="str">
        <x:v>2026-03</x:v>
      </x:c>
      <x:c r="E1334" s="12" t="n">
        <x:v>109.56</x:v>
      </x:c>
      <x:c r="F1334" s="10" t="n">
        <x:v>0.309</x:v>
      </x:c>
      <x:c r="G1334" t="str">
        <x:v>OTC &amp; Wellness</x:v>
      </x:c>
      <x:c r="H1334" t="str">
        <x:v>Vitamins</x:v>
      </x:c>
      <x:c r="I1334" t="str">
        <x:v>MFG002</x:v>
      </x:c>
      <x:c r="J1334" t="str">
        <x:v>Manufacturer 002</x:v>
      </x:c>
      <x:c r="K1334" t="str">
        <x:v>SUP008</x:v>
      </x:c>
      <x:c r="L1334" t="str">
        <x:v>Supplier 008</x:v>
      </x:c>
      <x:c r="M1334" t="str">
        <x:v>REG-991402</x:v>
      </x:c>
      <x:c r="N1334" t="str">
        <x:v>Generic Ingredient 167</x:v>
      </x:c>
      <x:c r="O1334" t="str">
        <x:v>General Sale</x:v>
      </x:c>
      <x:c r="P1334" t="n">
        <x:v>94</x:v>
      </x:c>
      <x:c r="Q1334" t="n">
        <x:v>32</x:v>
      </x:c>
      <x:c r="R1334" t="n">
        <x:v>20</x:v>
      </x:c>
      <x:c r="S1334" s="12" t="n">
        <x:f>E1334*Q1334</x:f>
        <x:v>3505.92</x:v>
      </x:c>
      <x:c r="T1334" s="12" t="n">
        <x:f>ROUND(S1334*F1334+0.000000001,2)</x:f>
        <x:v>1083.33</x:v>
      </x:c>
      <x:c r="U1334" s="12" t="n">
        <x:f>E1334*R1334</x:f>
        <x:v>2191.2</x:v>
      </x:c>
      <x:c r="V1334" t="str">
        <x:f>IF(AND(C1334="Active",Q1334=0),"Active Zero Sales","Not Zero Sales")</x:f>
        <x:v>Not Zero Sales</x:v>
      </x:c>
      <x:c r="W1334" s="12" t="n">
        <x:f>IF(V1334="Active Zero Sales",U1334,0)</x:f>
        <x:v>0</x:v>
      </x:c>
      <x:c r="X1334" t="str">
        <x:f>IF(E1334&lt;25,"Low &lt; 25",IF(E1334&lt;100,"Medium 25-99",IF(E1334&lt;300,"High 100-299","Premium 300+")))</x:f>
        <x:v>High 100-299</x:v>
      </x:c>
      <x:c r="Y1334" t="n">
        <x:f>IF(C1334="Active",1,0)</x:f>
        <x:v>1</x:v>
      </x:c>
    </x:row>
    <x:row r="1335">
      <x:c r="A1335" t="str">
        <x:v>SKU01334</x:v>
      </x:c>
      <x:c r="B1335" t="str">
        <x:v>Sample Product 01334</x:v>
      </x:c>
      <x:c r="C1335" t="str">
        <x:v>Active</x:v>
      </x:c>
      <x:c r="D1335" t="str">
        <x:v>2026-02</x:v>
      </x:c>
      <x:c r="E1335" s="12" t="n">
        <x:v>89.86</x:v>
      </x:c>
      <x:c r="F1335" s="10" t="n">
        <x:v>0.347</x:v>
      </x:c>
      <x:c r="G1335" t="str">
        <x:v>Medical Devices</x:v>
      </x:c>
      <x:c r="H1335" t="str">
        <x:v>Monitoring Supplies</x:v>
      </x:c>
      <x:c r="I1335" t="str">
        <x:v>MFG018</x:v>
      </x:c>
      <x:c r="J1335" t="str">
        <x:v>Manufacturer 018</x:v>
      </x:c>
      <x:c r="K1335" t="str">
        <x:v>SUP018</x:v>
      </x:c>
      <x:c r="L1335" t="str">
        <x:v>Supplier 018</x:v>
      </x:c>
      <x:c r="M1335" t="str">
        <x:v>REG-934088</x:v>
      </x:c>
      <x:c r="N1335" t="str">
        <x:v>Generic Ingredient 024</x:v>
      </x:c>
      <x:c r="O1335" t="str">
        <x:v>General Sale</x:v>
      </x:c>
      <x:c r="P1335" t="n">
        <x:v>93</x:v>
      </x:c>
      <x:c r="Q1335" t="n">
        <x:v>39</x:v>
      </x:c>
      <x:c r="R1335" t="n">
        <x:v>10</x:v>
      </x:c>
      <x:c r="S1335" s="12" t="n">
        <x:f>E1335*Q1335</x:f>
        <x:v>3504.54</x:v>
      </x:c>
      <x:c r="T1335" s="12" t="n">
        <x:f>ROUND(S1335*F1335+0.000000001,2)</x:f>
        <x:v>1216.08</x:v>
      </x:c>
      <x:c r="U1335" s="12" t="n">
        <x:f>E1335*R1335</x:f>
        <x:v>898.6</x:v>
      </x:c>
      <x:c r="V1335" t="str">
        <x:f>IF(AND(C1335="Active",Q1335=0),"Active Zero Sales","Not Zero Sales")</x:f>
        <x:v>Not Zero Sales</x:v>
      </x:c>
      <x:c r="W1335" s="12" t="n">
        <x:f>IF(V1335="Active Zero Sales",U1335,0)</x:f>
        <x:v>0</x:v>
      </x:c>
      <x:c r="X1335" t="str">
        <x:f>IF(E1335&lt;25,"Low &lt; 25",IF(E1335&lt;100,"Medium 25-99",IF(E1335&lt;300,"High 100-299","Premium 300+")))</x:f>
        <x:v>Medium 25-99</x:v>
      </x:c>
      <x:c r="Y1335" t="n">
        <x:f>IF(C1335="Active",1,0)</x:f>
        <x:v>1</x:v>
      </x:c>
    </x:row>
    <x:row r="1336">
      <x:c r="A1336" t="str">
        <x:v>SKU01335</x:v>
      </x:c>
      <x:c r="B1336" t="str">
        <x:v>Sample Product 01335</x:v>
      </x:c>
      <x:c r="C1336" t="str">
        <x:v>Active</x:v>
      </x:c>
      <x:c r="D1336" t="str">
        <x:v>2026-04</x:v>
      </x:c>
      <x:c r="E1336" s="12" t="n">
        <x:v>95.42</x:v>
      </x:c>
      <x:c r="F1336" s="10" t="n">
        <x:v>0.436</x:v>
      </x:c>
      <x:c r="G1336" t="str">
        <x:v>General Merchandise</x:v>
      </x:c>
      <x:c r="H1336" t="str">
        <x:v>Travel Health</x:v>
      </x:c>
      <x:c r="I1336" t="str">
        <x:v>MFG004</x:v>
      </x:c>
      <x:c r="J1336" t="str">
        <x:v>Manufacturer 004</x:v>
      </x:c>
      <x:c r="K1336" t="str">
        <x:v>SUP019</x:v>
      </x:c>
      <x:c r="L1336" t="str">
        <x:v>Supplier 019</x:v>
      </x:c>
      <x:c r="M1336" t="str">
        <x:v>REG-320476</x:v>
      </x:c>
      <x:c r="N1336" t="str">
        <x:v>Generic Ingredient 025</x:v>
      </x:c>
      <x:c r="O1336" t="str">
        <x:v>Pharmacy Only</x:v>
      </x:c>
      <x:c r="P1336" t="n">
        <x:v>38</x:v>
      </x:c>
      <x:c r="Q1336" t="n">
        <x:v>0</x:v>
      </x:c>
      <x:c r="R1336" t="n">
        <x:v>7</x:v>
      </x:c>
      <x:c r="S1336" s="12" t="n">
        <x:f>E1336*Q1336</x:f>
        <x:v>0</x:v>
      </x:c>
      <x:c r="T1336" s="12" t="n">
        <x:f>ROUND(S1336*F1336+0.000000001,2)</x:f>
        <x:v>0</x:v>
      </x:c>
      <x:c r="U1336" s="12" t="n">
        <x:f>E1336*R1336</x:f>
        <x:v>667.94</x:v>
      </x:c>
      <x:c r="V1336" t="str">
        <x:f>IF(AND(C1336="Active",Q1336=0),"Active Zero Sales","Not Zero Sales")</x:f>
        <x:v>Active Zero Sales</x:v>
      </x:c>
      <x:c r="W1336" s="12" t="n">
        <x:f>IF(V1336="Active Zero Sales",U1336,0)</x:f>
        <x:v>667.94</x:v>
      </x:c>
      <x:c r="X1336" t="str">
        <x:f>IF(E1336&lt;25,"Low &lt; 25",IF(E1336&lt;100,"Medium 25-99",IF(E1336&lt;300,"High 100-299","Premium 300+")))</x:f>
        <x:v>Medium 25-99</x:v>
      </x:c>
      <x:c r="Y1336" t="n">
        <x:f>IF(C1336="Active",1,0)</x:f>
        <x:v>1</x:v>
      </x:c>
    </x:row>
    <x:row r="1337">
      <x:c r="A1337" t="str">
        <x:v>SKU01336</x:v>
      </x:c>
      <x:c r="B1337" t="str">
        <x:v>Sample Product 01336</x:v>
      </x:c>
      <x:c r="C1337" t="str">
        <x:v>Active</x:v>
      </x:c>
      <x:c r="D1337" t="str">
        <x:v>2026-04</x:v>
      </x:c>
      <x:c r="E1337" s="12" t="n">
        <x:v>66.91</x:v>
      </x:c>
      <x:c r="F1337" s="10" t="n">
        <x:v>0.228</x:v>
      </x:c>
      <x:c r="G1337" t="str">
        <x:v>Nutrition</x:v>
      </x:c>
      <x:c r="H1337" t="str">
        <x:v>Healthy Snacks</x:v>
      </x:c>
      <x:c r="I1337" t="str">
        <x:v>MFG014</x:v>
      </x:c>
      <x:c r="J1337" t="str">
        <x:v>Manufacturer 014</x:v>
      </x:c>
      <x:c r="K1337" t="str">
        <x:v>SUP006</x:v>
      </x:c>
      <x:c r="L1337" t="str">
        <x:v>Supplier 006</x:v>
      </x:c>
      <x:c r="M1337" t="str">
        <x:v>REG-304461</x:v>
      </x:c>
      <x:c r="N1337" t="str">
        <x:v>Generic Ingredient 094</x:v>
      </x:c>
      <x:c r="O1337" t="str">
        <x:v>General Sale</x:v>
      </x:c>
      <x:c r="P1337" t="n">
        <x:v>294</x:v>
      </x:c>
      <x:c r="Q1337" t="n">
        <x:v>199</x:v>
      </x:c>
      <x:c r="R1337" t="n">
        <x:v>73</x:v>
      </x:c>
      <x:c r="S1337" s="12" t="n">
        <x:f>E1337*Q1337</x:f>
        <x:v>13315.09</x:v>
      </x:c>
      <x:c r="T1337" s="12" t="n">
        <x:f>ROUND(S1337*F1337+0.000000001,2)</x:f>
        <x:v>3035.84</x:v>
      </x:c>
      <x:c r="U1337" s="12" t="n">
        <x:f>E1337*R1337</x:f>
        <x:v>4884.429999999999</x:v>
      </x:c>
      <x:c r="V1337" t="str">
        <x:f>IF(AND(C1337="Active",Q1337=0),"Active Zero Sales","Not Zero Sales")</x:f>
        <x:v>Not Zero Sales</x:v>
      </x:c>
      <x:c r="W1337" s="12" t="n">
        <x:f>IF(V1337="Active Zero Sales",U1337,0)</x:f>
        <x:v>0</x:v>
      </x:c>
      <x:c r="X1337" t="str">
        <x:f>IF(E1337&lt;25,"Low &lt; 25",IF(E1337&lt;100,"Medium 25-99",IF(E1337&lt;300,"High 100-299","Premium 300+")))</x:f>
        <x:v>Medium 25-99</x:v>
      </x:c>
      <x:c r="Y1337" t="n">
        <x:f>IF(C1337="Active",1,0)</x:f>
        <x:v>1</x:v>
      </x:c>
    </x:row>
    <x:row r="1338">
      <x:c r="A1338" t="str">
        <x:v>SKU01337</x:v>
      </x:c>
      <x:c r="B1338" t="str">
        <x:v>Sample Product 01337</x:v>
      </x:c>
      <x:c r="C1338" t="str">
        <x:v>Active</x:v>
      </x:c>
      <x:c r="D1338" t="str">
        <x:v>2026-04</x:v>
      </x:c>
      <x:c r="E1338" s="12" t="n">
        <x:v>382.07</x:v>
      </x:c>
      <x:c r="F1338" s="10" t="n">
        <x:v>0.33</x:v>
      </x:c>
      <x:c r="G1338" t="str">
        <x:v>Medical Devices</x:v>
      </x:c>
      <x:c r="H1338" t="str">
        <x:v>First Aid</x:v>
      </x:c>
      <x:c r="I1338" t="str">
        <x:v>MFG017</x:v>
      </x:c>
      <x:c r="J1338" t="str">
        <x:v>Manufacturer 017</x:v>
      </x:c>
      <x:c r="K1338" t="str">
        <x:v>SUP026</x:v>
      </x:c>
      <x:c r="L1338" t="str">
        <x:v>Supplier 026</x:v>
      </x:c>
      <x:c r="M1338" t="str">
        <x:v>REG-967886</x:v>
      </x:c>
      <x:c r="N1338" t="str">
        <x:v>Generic Ingredient 033</x:v>
      </x:c>
      <x:c r="O1338" t="str">
        <x:v>General Sale</x:v>
      </x:c>
      <x:c r="P1338" t="n">
        <x:v>195</x:v>
      </x:c>
      <x:c r="Q1338" t="n">
        <x:v>117</x:v>
      </x:c>
      <x:c r="R1338" t="n">
        <x:v>42</x:v>
      </x:c>
      <x:c r="S1338" s="12" t="n">
        <x:f>E1338*Q1338</x:f>
        <x:v>44702.19</x:v>
      </x:c>
      <x:c r="T1338" s="12" t="n">
        <x:f>ROUND(S1338*F1338+0.000000001,2)</x:f>
        <x:v>14751.72</x:v>
      </x:c>
      <x:c r="U1338" s="12" t="n">
        <x:f>E1338*R1338</x:f>
        <x:v>16046.94</x:v>
      </x:c>
      <x:c r="V1338" t="str">
        <x:f>IF(AND(C1338="Active",Q1338=0),"Active Zero Sales","Not Zero Sales")</x:f>
        <x:v>Not Zero Sales</x:v>
      </x:c>
      <x:c r="W1338" s="12" t="n">
        <x:f>IF(V1338="Active Zero Sales",U1338,0)</x:f>
        <x:v>0</x:v>
      </x:c>
      <x:c r="X1338" t="str">
        <x:f>IF(E1338&lt;25,"Low &lt; 25",IF(E1338&lt;100,"Medium 25-99",IF(E1338&lt;300,"High 100-299","Premium 300+")))</x:f>
        <x:v>Premium 300+</x:v>
      </x:c>
      <x:c r="Y1338" t="n">
        <x:f>IF(C1338="Active",1,0)</x:f>
        <x:v>1</x:v>
      </x:c>
    </x:row>
    <x:row r="1339">
      <x:c r="A1339" t="str">
        <x:v>SKU01338</x:v>
      </x:c>
      <x:c r="B1339" t="str">
        <x:v>Sample Product 01338</x:v>
      </x:c>
      <x:c r="C1339" t="str">
        <x:v>Active</x:v>
      </x:c>
      <x:c r="D1339" t="str">
        <x:v>2026-01</x:v>
      </x:c>
      <x:c r="E1339" s="12" t="n">
        <x:v>16.42</x:v>
      </x:c>
      <x:c r="F1339" s="10" t="n">
        <x:v>0.34</x:v>
      </x:c>
      <x:c r="G1339" t="str">
        <x:v>Nutrition</x:v>
      </x:c>
      <x:c r="H1339" t="str">
        <x:v>Hydration</x:v>
      </x:c>
      <x:c r="I1339" t="str">
        <x:v>MFG002</x:v>
      </x:c>
      <x:c r="J1339" t="str">
        <x:v>Manufacturer 002</x:v>
      </x:c>
      <x:c r="K1339" t="str">
        <x:v>SUP004</x:v>
      </x:c>
      <x:c r="L1339" t="str">
        <x:v>Supplier 004</x:v>
      </x:c>
      <x:c r="M1339" t="str">
        <x:v>REG-954691</x:v>
      </x:c>
      <x:c r="N1339" t="str">
        <x:v>Generic Ingredient 172</x:v>
      </x:c>
      <x:c r="O1339" t="str">
        <x:v>General Sale</x:v>
      </x:c>
      <x:c r="P1339" t="n">
        <x:v>67</x:v>
      </x:c>
      <x:c r="Q1339" t="n">
        <x:v>10</x:v>
      </x:c>
      <x:c r="R1339" t="n">
        <x:v>9</x:v>
      </x:c>
      <x:c r="S1339" s="12" t="n">
        <x:f>E1339*Q1339</x:f>
        <x:v>164.20000000000002</x:v>
      </x:c>
      <x:c r="T1339" s="12" t="n">
        <x:f>ROUND(S1339*F1339+0.000000001,2)</x:f>
        <x:v>55.83</x:v>
      </x:c>
      <x:c r="U1339" s="12" t="n">
        <x:f>E1339*R1339</x:f>
        <x:v>147.78000000000003</x:v>
      </x:c>
      <x:c r="V1339" t="str">
        <x:f>IF(AND(C1339="Active",Q1339=0),"Active Zero Sales","Not Zero Sales")</x:f>
        <x:v>Not Zero Sales</x:v>
      </x:c>
      <x:c r="W1339" s="12" t="n">
        <x:f>IF(V1339="Active Zero Sales",U1339,0)</x:f>
        <x:v>0</x:v>
      </x:c>
      <x:c r="X1339" t="str">
        <x:f>IF(E1339&lt;25,"Low &lt; 25",IF(E1339&lt;100,"Medium 25-99",IF(E1339&lt;300,"High 100-299","Premium 300+")))</x:f>
        <x:v>Low &lt; 25</x:v>
      </x:c>
      <x:c r="Y1339" t="n">
        <x:f>IF(C1339="Active",1,0)</x:f>
        <x:v>1</x:v>
      </x:c>
    </x:row>
    <x:row r="1340">
      <x:c r="A1340" t="str">
        <x:v>SKU01339</x:v>
      </x:c>
      <x:c r="B1340" t="str">
        <x:v>Sample Product 01339</x:v>
      </x:c>
      <x:c r="C1340" t="str">
        <x:v>Active</x:v>
      </x:c>
      <x:c r="D1340" t="str">
        <x:v>2026-04</x:v>
      </x:c>
      <x:c r="E1340" s="12" t="n">
        <x:v>19.4</x:v>
      </x:c>
      <x:c r="F1340" s="10" t="n">
        <x:v>0.404</x:v>
      </x:c>
      <x:c r="G1340" t="str">
        <x:v>Personal Care</x:v>
      </x:c>
      <x:c r="H1340" t="str">
        <x:v>Hair Care</x:v>
      </x:c>
      <x:c r="I1340" t="str">
        <x:v>MFG017</x:v>
      </x:c>
      <x:c r="J1340" t="str">
        <x:v>Manufacturer 017</x:v>
      </x:c>
      <x:c r="K1340" t="str">
        <x:v>SUP005</x:v>
      </x:c>
      <x:c r="L1340" t="str">
        <x:v>Supplier 005</x:v>
      </x:c>
      <x:c r="M1340" t="str">
        <x:v>REG-825043</x:v>
      </x:c>
      <x:c r="N1340" t="str">
        <x:v>Generic Ingredient 078</x:v>
      </x:c>
      <x:c r="O1340" t="str">
        <x:v>General Sale</x:v>
      </x:c>
      <x:c r="P1340" t="n">
        <x:v>71</x:v>
      </x:c>
      <x:c r="Q1340" t="n">
        <x:v>23</x:v>
      </x:c>
      <x:c r="R1340" t="n">
        <x:v>0</x:v>
      </x:c>
      <x:c r="S1340" s="12" t="n">
        <x:f>E1340*Q1340</x:f>
        <x:v>446.2</x:v>
      </x:c>
      <x:c r="T1340" s="12" t="n">
        <x:f>ROUND(S1340*F1340+0.000000001,2)</x:f>
        <x:v>180.26</x:v>
      </x:c>
      <x:c r="U1340" s="12" t="n">
        <x:f>E1340*R1340</x:f>
        <x:v>0</x:v>
      </x:c>
      <x:c r="V1340" t="str">
        <x:f>IF(AND(C1340="Active",Q1340=0),"Active Zero Sales","Not Zero Sales")</x:f>
        <x:v>Not Zero Sales</x:v>
      </x:c>
      <x:c r="W1340" s="12" t="n">
        <x:f>IF(V1340="Active Zero Sales",U1340,0)</x:f>
        <x:v>0</x:v>
      </x:c>
      <x:c r="X1340" t="str">
        <x:f>IF(E1340&lt;25,"Low &lt; 25",IF(E1340&lt;100,"Medium 25-99",IF(E1340&lt;300,"High 100-299","Premium 300+")))</x:f>
        <x:v>Low &lt; 25</x:v>
      </x:c>
      <x:c r="Y1340" t="n">
        <x:f>IF(C1340="Active",1,0)</x:f>
        <x:v>1</x:v>
      </x:c>
    </x:row>
    <x:row r="1341">
      <x:c r="A1341" t="str">
        <x:v>SKU01340</x:v>
      </x:c>
      <x:c r="B1341" t="str">
        <x:v>Sample Product 01340</x:v>
      </x:c>
      <x:c r="C1341" t="str">
        <x:v>Active</x:v>
      </x:c>
      <x:c r="D1341" t="str">
        <x:v>2026-02</x:v>
      </x:c>
      <x:c r="E1341" s="12" t="n">
        <x:v>226.11</x:v>
      </x:c>
      <x:c r="F1341" s="10" t="n">
        <x:v>0.211</x:v>
      </x:c>
      <x:c r="G1341" t="str">
        <x:v>OTC &amp; Wellness</x:v>
      </x:c>
      <x:c r="H1341" t="str">
        <x:v>Pain Relief</x:v>
      </x:c>
      <x:c r="I1341" t="str">
        <x:v>MFG016</x:v>
      </x:c>
      <x:c r="J1341" t="str">
        <x:v>Manufacturer 016</x:v>
      </x:c>
      <x:c r="K1341" t="str">
        <x:v>SUP008</x:v>
      </x:c>
      <x:c r="L1341" t="str">
        <x:v>Supplier 008</x:v>
      </x:c>
      <x:c r="M1341" t="str">
        <x:v>REG-289231</x:v>
      </x:c>
      <x:c r="N1341" t="str">
        <x:v>Generic Ingredient 113</x:v>
      </x:c>
      <x:c r="O1341" t="str">
        <x:v>General Sale</x:v>
      </x:c>
      <x:c r="P1341" t="n">
        <x:v>46</x:v>
      </x:c>
      <x:c r="Q1341" t="n">
        <x:v>25</x:v>
      </x:c>
      <x:c r="R1341" t="n">
        <x:v>0</x:v>
      </x:c>
      <x:c r="S1341" s="12" t="n">
        <x:f>E1341*Q1341</x:f>
        <x:v>5652.75</x:v>
      </x:c>
      <x:c r="T1341" s="12" t="n">
        <x:f>ROUND(S1341*F1341+0.000000001,2)</x:f>
        <x:v>1192.73</x:v>
      </x:c>
      <x:c r="U1341" s="12" t="n">
        <x:f>E1341*R1341</x:f>
        <x:v>0</x:v>
      </x:c>
      <x:c r="V1341" t="str">
        <x:f>IF(AND(C1341="Active",Q1341=0),"Active Zero Sales","Not Zero Sales")</x:f>
        <x:v>Not Zero Sales</x:v>
      </x:c>
      <x:c r="W1341" s="12" t="n">
        <x:f>IF(V1341="Active Zero Sales",U1341,0)</x:f>
        <x:v>0</x:v>
      </x:c>
      <x:c r="X1341" t="str">
        <x:f>IF(E1341&lt;25,"Low &lt; 25",IF(E1341&lt;100,"Medium 25-99",IF(E1341&lt;300,"High 100-299","Premium 300+")))</x:f>
        <x:v>High 100-299</x:v>
      </x:c>
      <x:c r="Y1341" t="n">
        <x:f>IF(C1341="Active",1,0)</x:f>
        <x:v>1</x:v>
      </x:c>
    </x:row>
    <x:row r="1342">
      <x:c r="A1342" t="str">
        <x:v>SKU01341</x:v>
      </x:c>
      <x:c r="B1342" t="str">
        <x:v>Sample Product 01341</x:v>
      </x:c>
      <x:c r="C1342" t="str">
        <x:v>Active</x:v>
      </x:c>
      <x:c r="D1342" t="str">
        <x:v>2026-01</x:v>
      </x:c>
      <x:c r="E1342" s="12" t="n">
        <x:v>153.43</x:v>
      </x:c>
      <x:c r="F1342" s="10" t="n">
        <x:v>0.284</x:v>
      </x:c>
      <x:c r="G1342" t="str">
        <x:v>Nutrition</x:v>
      </x:c>
      <x:c r="H1342" t="str">
        <x:v>Healthy Snacks</x:v>
      </x:c>
      <x:c r="I1342" t="str">
        <x:v>MFG008</x:v>
      </x:c>
      <x:c r="J1342" t="str">
        <x:v>Manufacturer 008</x:v>
      </x:c>
      <x:c r="K1342" t="str">
        <x:v>SUP013</x:v>
      </x:c>
      <x:c r="L1342" t="str">
        <x:v>Supplier 013</x:v>
      </x:c>
      <x:c r="M1342" t="str">
        <x:v>REG-332530</x:v>
      </x:c>
      <x:c r="N1342" t="str">
        <x:v>Generic Ingredient 151</x:v>
      </x:c>
      <x:c r="O1342" t="str">
        <x:v>General Sale</x:v>
      </x:c>
      <x:c r="P1342" t="n">
        <x:v>48</x:v>
      </x:c>
      <x:c r="Q1342" t="n">
        <x:v>12</x:v>
      </x:c>
      <x:c r="R1342" t="n">
        <x:v>0</x:v>
      </x:c>
      <x:c r="S1342" s="12" t="n">
        <x:f>E1342*Q1342</x:f>
        <x:v>1841.16</x:v>
      </x:c>
      <x:c r="T1342" s="12" t="n">
        <x:f>ROUND(S1342*F1342+0.000000001,2)</x:f>
        <x:v>522.89</x:v>
      </x:c>
      <x:c r="U1342" s="12" t="n">
        <x:f>E1342*R1342</x:f>
        <x:v>0</x:v>
      </x:c>
      <x:c r="V1342" t="str">
        <x:f>IF(AND(C1342="Active",Q1342=0),"Active Zero Sales","Not Zero Sales")</x:f>
        <x:v>Not Zero Sales</x:v>
      </x:c>
      <x:c r="W1342" s="12" t="n">
        <x:f>IF(V1342="Active Zero Sales",U1342,0)</x:f>
        <x:v>0</x:v>
      </x:c>
      <x:c r="X1342" t="str">
        <x:f>IF(E1342&lt;25,"Low &lt; 25",IF(E1342&lt;100,"Medium 25-99",IF(E1342&lt;300,"High 100-299","Premium 300+")))</x:f>
        <x:v>High 100-299</x:v>
      </x:c>
      <x:c r="Y1342" t="n">
        <x:f>IF(C1342="Active",1,0)</x:f>
        <x:v>1</x:v>
      </x:c>
    </x:row>
    <x:row r="1343">
      <x:c r="A1343" t="str">
        <x:v>SKU01342</x:v>
      </x:c>
      <x:c r="B1343" t="str">
        <x:v>Sample Product 01342</x:v>
      </x:c>
      <x:c r="C1343" t="str">
        <x:v>Blocked</x:v>
      </x:c>
      <x:c r="D1343" t="str">
        <x:v>2026-02</x:v>
      </x:c>
      <x:c r="E1343" s="12" t="n">
        <x:v>91.58</x:v>
      </x:c>
      <x:c r="F1343" s="10" t="n">
        <x:v>0.422</x:v>
      </x:c>
      <x:c r="G1343" t="str">
        <x:v>Personal Care</x:v>
      </x:c>
      <x:c r="H1343" t="str">
        <x:v>Skin Care</x:v>
      </x:c>
      <x:c r="I1343" t="str">
        <x:v>MFG006</x:v>
      </x:c>
      <x:c r="J1343" t="str">
        <x:v>Manufacturer 006</x:v>
      </x:c>
      <x:c r="K1343" t="str">
        <x:v>SUP010</x:v>
      </x:c>
      <x:c r="L1343" t="str">
        <x:v>Supplier 010</x:v>
      </x:c>
      <x:c r="M1343" t="str">
        <x:v>REG-998178</x:v>
      </x:c>
      <x:c r="N1343" t="str">
        <x:v>Generic Ingredient 010</x:v>
      </x:c>
      <x:c r="O1343" t="str">
        <x:v>Restricted Sale</x:v>
      </x:c>
      <x:c r="P1343" t="n">
        <x:v>30</x:v>
      </x:c>
      <x:c r="Q1343" t="n">
        <x:v>31</x:v>
      </x:c>
      <x:c r="R1343" t="n">
        <x:v>0</x:v>
      </x:c>
      <x:c r="S1343" s="12" t="n">
        <x:f>E1343*Q1343</x:f>
        <x:v>2838.98</x:v>
      </x:c>
      <x:c r="T1343" s="12" t="n">
        <x:f>ROUND(S1343*F1343+0.000000001,2)</x:f>
        <x:v>1198.05</x:v>
      </x:c>
      <x:c r="U1343" s="12" t="n">
        <x:f>E1343*R1343</x:f>
        <x:v>0</x:v>
      </x:c>
      <x:c r="V1343" t="str">
        <x:f>IF(AND(C1343="Active",Q1343=0),"Active Zero Sales","Not Zero Sales")</x:f>
        <x:v>Not Zero Sales</x:v>
      </x:c>
      <x:c r="W1343" s="12" t="n">
        <x:f>IF(V1343="Active Zero Sales",U1343,0)</x:f>
        <x:v>0</x:v>
      </x:c>
      <x:c r="X1343" t="str">
        <x:f>IF(E1343&lt;25,"Low &lt; 25",IF(E1343&lt;100,"Medium 25-99",IF(E1343&lt;300,"High 100-299","Premium 300+")))</x:f>
        <x:v>Medium 25-99</x:v>
      </x:c>
      <x:c r="Y1343" t="n">
        <x:f>IF(C1343="Active",1,0)</x:f>
        <x:v>0</x:v>
      </x:c>
    </x:row>
    <x:row r="1344">
      <x:c r="A1344" t="str">
        <x:v>SKU01343</x:v>
      </x:c>
      <x:c r="B1344" t="str">
        <x:v>Sample Product 01343</x:v>
      </x:c>
      <x:c r="C1344" t="str">
        <x:v>Active</x:v>
      </x:c>
      <x:c r="D1344" t="str">
        <x:v>2026-03</x:v>
      </x:c>
      <x:c r="E1344" s="12" t="n">
        <x:v>16.03</x:v>
      </x:c>
      <x:c r="F1344" s="10" t="n">
        <x:v>0.374</x:v>
      </x:c>
      <x:c r="G1344" t="str">
        <x:v>General Merchandise</x:v>
      </x:c>
      <x:c r="H1344" t="str">
        <x:v>Accessories</x:v>
      </x:c>
      <x:c r="I1344" t="str">
        <x:v>MFG016</x:v>
      </x:c>
      <x:c r="J1344" t="str">
        <x:v>Manufacturer 016</x:v>
      </x:c>
      <x:c r="K1344" t="str">
        <x:v>SUP022</x:v>
      </x:c>
      <x:c r="L1344" t="str">
        <x:v>Supplier 022</x:v>
      </x:c>
      <x:c r="M1344" t="str">
        <x:v>REG-864949</x:v>
      </x:c>
      <x:c r="N1344" t="str">
        <x:v>Generic Ingredient 130</x:v>
      </x:c>
      <x:c r="O1344" t="str">
        <x:v>General Sale</x:v>
      </x:c>
      <x:c r="P1344" t="n">
        <x:v>34</x:v>
      </x:c>
      <x:c r="Q1344" t="n">
        <x:v>34</x:v>
      </x:c>
      <x:c r="R1344" t="n">
        <x:v>2</x:v>
      </x:c>
      <x:c r="S1344" s="12" t="n">
        <x:f>E1344*Q1344</x:f>
        <x:v>545.02</x:v>
      </x:c>
      <x:c r="T1344" s="12" t="n">
        <x:f>ROUND(S1344*F1344+0.000000001,2)</x:f>
        <x:v>203.84</x:v>
      </x:c>
      <x:c r="U1344" s="12" t="n">
        <x:f>E1344*R1344</x:f>
        <x:v>32.06</x:v>
      </x:c>
      <x:c r="V1344" t="str">
        <x:f>IF(AND(C1344="Active",Q1344=0),"Active Zero Sales","Not Zero Sales")</x:f>
        <x:v>Not Zero Sales</x:v>
      </x:c>
      <x:c r="W1344" s="12" t="n">
        <x:f>IF(V1344="Active Zero Sales",U1344,0)</x:f>
        <x:v>0</x:v>
      </x:c>
      <x:c r="X1344" t="str">
        <x:f>IF(E1344&lt;25,"Low &lt; 25",IF(E1344&lt;100,"Medium 25-99",IF(E1344&lt;300,"High 100-299","Premium 300+")))</x:f>
        <x:v>Low &lt; 25</x:v>
      </x:c>
      <x:c r="Y1344" t="n">
        <x:f>IF(C1344="Active",1,0)</x:f>
        <x:v>1</x:v>
      </x:c>
    </x:row>
    <x:row r="1345">
      <x:c r="A1345" t="str">
        <x:v>SKU01344</x:v>
      </x:c>
      <x:c r="B1345" t="str">
        <x:v>Sample Product 01344</x:v>
      </x:c>
      <x:c r="C1345" t="str">
        <x:v>Active</x:v>
      </x:c>
      <x:c r="D1345" t="str">
        <x:v>2026-01</x:v>
      </x:c>
      <x:c r="E1345" s="12" t="n">
        <x:v>423.11</x:v>
      </x:c>
      <x:c r="F1345" s="10" t="n">
        <x:v>0.35</x:v>
      </x:c>
      <x:c r="G1345" t="str">
        <x:v>Nutrition</x:v>
      </x:c>
      <x:c r="H1345" t="str">
        <x:v>Hydration</x:v>
      </x:c>
      <x:c r="I1345" t="str">
        <x:v>MFG011</x:v>
      </x:c>
      <x:c r="J1345" t="str">
        <x:v>Manufacturer 011</x:v>
      </x:c>
      <x:c r="K1345" t="str">
        <x:v>SUP023</x:v>
      </x:c>
      <x:c r="L1345" t="str">
        <x:v>Supplier 023</x:v>
      </x:c>
      <x:c r="M1345" t="str">
        <x:v>REG-687295</x:v>
      </x:c>
      <x:c r="N1345" t="str">
        <x:v>Generic Ingredient 056</x:v>
      </x:c>
      <x:c r="O1345" t="str">
        <x:v>General Sale</x:v>
      </x:c>
      <x:c r="P1345" t="n">
        <x:v>71</x:v>
      </x:c>
      <x:c r="Q1345" t="n">
        <x:v>38</x:v>
      </x:c>
      <x:c r="R1345" t="n">
        <x:v>0</x:v>
      </x:c>
      <x:c r="S1345" s="12" t="n">
        <x:f>E1345*Q1345</x:f>
        <x:v>16078.18</x:v>
      </x:c>
      <x:c r="T1345" s="12" t="n">
        <x:f>ROUND(S1345*F1345+0.000000001,2)</x:f>
        <x:v>5627.36</x:v>
      </x:c>
      <x:c r="U1345" s="12" t="n">
        <x:f>E1345*R1345</x:f>
        <x:v>0</x:v>
      </x:c>
      <x:c r="V1345" t="str">
        <x:f>IF(AND(C1345="Active",Q1345=0),"Active Zero Sales","Not Zero Sales")</x:f>
        <x:v>Not Zero Sales</x:v>
      </x:c>
      <x:c r="W1345" s="12" t="n">
        <x:f>IF(V1345="Active Zero Sales",U1345,0)</x:f>
        <x:v>0</x:v>
      </x:c>
      <x:c r="X1345" t="str">
        <x:f>IF(E1345&lt;25,"Low &lt; 25",IF(E1345&lt;100,"Medium 25-99",IF(E1345&lt;300,"High 100-299","Premium 300+")))</x:f>
        <x:v>Premium 300+</x:v>
      </x:c>
      <x:c r="Y1345" t="n">
        <x:f>IF(C1345="Active",1,0)</x:f>
        <x:v>1</x:v>
      </x:c>
    </x:row>
    <x:row r="1346">
      <x:c r="A1346" t="str">
        <x:v>SKU01345</x:v>
      </x:c>
      <x:c r="B1346" t="str">
        <x:v>Sample Product 01345</x:v>
      </x:c>
      <x:c r="C1346" t="str">
        <x:v>Active</x:v>
      </x:c>
      <x:c r="D1346" t="str">
        <x:v>2026-01</x:v>
      </x:c>
      <x:c r="E1346" s="12" t="n">
        <x:v>49.16</x:v>
      </x:c>
      <x:c r="F1346" s="10" t="n">
        <x:v>0.346</x:v>
      </x:c>
      <x:c r="G1346" t="str">
        <x:v>General Merchandise</x:v>
      </x:c>
      <x:c r="H1346" t="str">
        <x:v>Accessories</x:v>
      </x:c>
      <x:c r="I1346" t="str">
        <x:v>MFG007</x:v>
      </x:c>
      <x:c r="J1346" t="str">
        <x:v>Manufacturer 007</x:v>
      </x:c>
      <x:c r="K1346" t="str">
        <x:v>SUP012</x:v>
      </x:c>
      <x:c r="L1346" t="str">
        <x:v>Supplier 012</x:v>
      </x:c>
      <x:c r="M1346" t="str">
        <x:v>REG-927580</x:v>
      </x:c>
      <x:c r="N1346" t="str">
        <x:v>Generic Ingredient 147</x:v>
      </x:c>
      <x:c r="O1346" t="str">
        <x:v>General Sale</x:v>
      </x:c>
      <x:c r="P1346" t="n">
        <x:v>49</x:v>
      </x:c>
      <x:c r="Q1346" t="n">
        <x:v>25</x:v>
      </x:c>
      <x:c r="R1346" t="n">
        <x:v>4</x:v>
      </x:c>
      <x:c r="S1346" s="12" t="n">
        <x:f>E1346*Q1346</x:f>
        <x:v>1229</x:v>
      </x:c>
      <x:c r="T1346" s="12" t="n">
        <x:f>ROUND(S1346*F1346+0.000000001,2)</x:f>
        <x:v>425.23</x:v>
      </x:c>
      <x:c r="U1346" s="12" t="n">
        <x:f>E1346*R1346</x:f>
        <x:v>196.64</x:v>
      </x:c>
      <x:c r="V1346" t="str">
        <x:f>IF(AND(C1346="Active",Q1346=0),"Active Zero Sales","Not Zero Sales")</x:f>
        <x:v>Not Zero Sales</x:v>
      </x:c>
      <x:c r="W1346" s="12" t="n">
        <x:f>IF(V1346="Active Zero Sales",U1346,0)</x:f>
        <x:v>0</x:v>
      </x:c>
      <x:c r="X1346" t="str">
        <x:f>IF(E1346&lt;25,"Low &lt; 25",IF(E1346&lt;100,"Medium 25-99",IF(E1346&lt;300,"High 100-299","Premium 300+")))</x:f>
        <x:v>Medium 25-99</x:v>
      </x:c>
      <x:c r="Y1346" t="n">
        <x:f>IF(C1346="Active",1,0)</x:f>
        <x:v>1</x:v>
      </x:c>
    </x:row>
    <x:row r="1347">
      <x:c r="A1347" t="str">
        <x:v>SKU01346</x:v>
      </x:c>
      <x:c r="B1347" t="str">
        <x:v>Sample Product 01346</x:v>
      </x:c>
      <x:c r="C1347" t="str">
        <x:v>Blocked</x:v>
      </x:c>
      <x:c r="D1347" t="str">
        <x:v>2026-03</x:v>
      </x:c>
      <x:c r="E1347" s="12" t="n">
        <x:v>43.66</x:v>
      </x:c>
      <x:c r="F1347" s="10" t="n">
        <x:v>0.333</x:v>
      </x:c>
      <x:c r="G1347" t="str">
        <x:v>Personal Care</x:v>
      </x:c>
      <x:c r="H1347" t="str">
        <x:v>Hygiene</x:v>
      </x:c>
      <x:c r="I1347" t="str">
        <x:v>MFG012</x:v>
      </x:c>
      <x:c r="J1347" t="str">
        <x:v>Manufacturer 012</x:v>
      </x:c>
      <x:c r="K1347" t="str">
        <x:v>SUP009</x:v>
      </x:c>
      <x:c r="L1347" t="str">
        <x:v>Supplier 009</x:v>
      </x:c>
      <x:c r="M1347" t="str">
        <x:v>REG-879218</x:v>
      </x:c>
      <x:c r="N1347" t="str">
        <x:v>Generic Ingredient 096</x:v>
      </x:c>
      <x:c r="O1347" t="str">
        <x:v>General Sale</x:v>
      </x:c>
      <x:c r="P1347" t="n">
        <x:v>30</x:v>
      </x:c>
      <x:c r="Q1347" t="n">
        <x:v>0</x:v>
      </x:c>
      <x:c r="R1347" t="n">
        <x:v>0</x:v>
      </x:c>
      <x:c r="S1347" s="12" t="n">
        <x:f>E1347*Q1347</x:f>
        <x:v>0</x:v>
      </x:c>
      <x:c r="T1347" s="12" t="n">
        <x:f>ROUND(S1347*F1347+0.000000001,2)</x:f>
        <x:v>0</x:v>
      </x:c>
      <x:c r="U1347" s="12" t="n">
        <x:f>E1347*R1347</x:f>
        <x:v>0</x:v>
      </x:c>
      <x:c r="V1347" t="str">
        <x:f>IF(AND(C1347="Active",Q1347=0),"Active Zero Sales","Not Zero Sales")</x:f>
        <x:v>Not Zero Sales</x:v>
      </x:c>
      <x:c r="W1347" s="12" t="n">
        <x:f>IF(V1347="Active Zero Sales",U1347,0)</x:f>
        <x:v>0</x:v>
      </x:c>
      <x:c r="X1347" t="str">
        <x:f>IF(E1347&lt;25,"Low &lt; 25",IF(E1347&lt;100,"Medium 25-99",IF(E1347&lt;300,"High 100-299","Premium 300+")))</x:f>
        <x:v>Medium 25-99</x:v>
      </x:c>
      <x:c r="Y1347" t="n">
        <x:f>IF(C1347="Active",1,0)</x:f>
        <x:v>0</x:v>
      </x:c>
    </x:row>
    <x:row r="1348">
      <x:c r="A1348" t="str">
        <x:v>SKU01347</x:v>
      </x:c>
      <x:c r="B1348" t="str">
        <x:v>Sample Product 01347</x:v>
      </x:c>
      <x:c r="C1348" t="str">
        <x:v>Active</x:v>
      </x:c>
      <x:c r="D1348" t="str">
        <x:v>2026-01</x:v>
      </x:c>
      <x:c r="E1348" s="12" t="n">
        <x:v>93.2</x:v>
      </x:c>
      <x:c r="F1348" s="10" t="n">
        <x:v>0.219</x:v>
      </x:c>
      <x:c r="G1348" t="str">
        <x:v>Nutrition</x:v>
      </x:c>
      <x:c r="H1348" t="str">
        <x:v>Adult Nutrition</x:v>
      </x:c>
      <x:c r="I1348" t="str">
        <x:v>MFG006</x:v>
      </x:c>
      <x:c r="J1348" t="str">
        <x:v>Manufacturer 006</x:v>
      </x:c>
      <x:c r="K1348" t="str">
        <x:v>SUP028</x:v>
      </x:c>
      <x:c r="L1348" t="str">
        <x:v>Supplier 028</x:v>
      </x:c>
      <x:c r="M1348" t="str">
        <x:v>REG-142969</x:v>
      </x:c>
      <x:c r="N1348" t="str">
        <x:v>Generic Ingredient 045</x:v>
      </x:c>
      <x:c r="O1348" t="str">
        <x:v>Pharmacy Only</x:v>
      </x:c>
      <x:c r="P1348" t="n">
        <x:v>25</x:v>
      </x:c>
      <x:c r="Q1348" t="n">
        <x:v>7</x:v>
      </x:c>
      <x:c r="R1348" t="n">
        <x:v>2</x:v>
      </x:c>
      <x:c r="S1348" s="12" t="n">
        <x:f>E1348*Q1348</x:f>
        <x:v>652.4</x:v>
      </x:c>
      <x:c r="T1348" s="12" t="n">
        <x:f>ROUND(S1348*F1348+0.000000001,2)</x:f>
        <x:v>142.88</x:v>
      </x:c>
      <x:c r="U1348" s="12" t="n">
        <x:f>E1348*R1348</x:f>
        <x:v>186.4</x:v>
      </x:c>
      <x:c r="V1348" t="str">
        <x:f>IF(AND(C1348="Active",Q1348=0),"Active Zero Sales","Not Zero Sales")</x:f>
        <x:v>Not Zero Sales</x:v>
      </x:c>
      <x:c r="W1348" s="12" t="n">
        <x:f>IF(V1348="Active Zero Sales",U1348,0)</x:f>
        <x:v>0</x:v>
      </x:c>
      <x:c r="X1348" t="str">
        <x:f>IF(E1348&lt;25,"Low &lt; 25",IF(E1348&lt;100,"Medium 25-99",IF(E1348&lt;300,"High 100-299","Premium 300+")))</x:f>
        <x:v>Medium 25-99</x:v>
      </x:c>
      <x:c r="Y1348" t="n">
        <x:f>IF(C1348="Active",1,0)</x:f>
        <x:v>1</x:v>
      </x:c>
    </x:row>
    <x:row r="1349">
      <x:c r="A1349" t="str">
        <x:v>SKU01348</x:v>
      </x:c>
      <x:c r="B1349" t="str">
        <x:v>Sample Product 01348</x:v>
      </x:c>
      <x:c r="C1349" t="str">
        <x:v>Active</x:v>
      </x:c>
      <x:c r="D1349" t="str">
        <x:v>2026-02</x:v>
      </x:c>
      <x:c r="E1349" s="12" t="n">
        <x:v>73.58</x:v>
      </x:c>
      <x:c r="F1349" s="10" t="n">
        <x:v>0.436</x:v>
      </x:c>
      <x:c r="G1349" t="str">
        <x:v>Personal Care</x:v>
      </x:c>
      <x:c r="H1349" t="str">
        <x:v>Hygiene</x:v>
      </x:c>
      <x:c r="I1349" t="str">
        <x:v>MFG012</x:v>
      </x:c>
      <x:c r="J1349" t="str">
        <x:v>Manufacturer 012</x:v>
      </x:c>
      <x:c r="K1349" t="str">
        <x:v>SUP011</x:v>
      </x:c>
      <x:c r="L1349" t="str">
        <x:v>Supplier 011</x:v>
      </x:c>
      <x:c r="M1349" t="str">
        <x:v>REG-508024</x:v>
      </x:c>
      <x:c r="N1349" t="str">
        <x:v>Generic Ingredient 025</x:v>
      </x:c>
      <x:c r="O1349" t="str">
        <x:v>General Sale</x:v>
      </x:c>
      <x:c r="P1349" t="n">
        <x:v>92</x:v>
      </x:c>
      <x:c r="Q1349" t="n">
        <x:v>72</x:v>
      </x:c>
      <x:c r="R1349" t="n">
        <x:v>13</x:v>
      </x:c>
      <x:c r="S1349" s="12" t="n">
        <x:f>E1349*Q1349</x:f>
        <x:v>5297.76</x:v>
      </x:c>
      <x:c r="T1349" s="12" t="n">
        <x:f>ROUND(S1349*F1349+0.000000001,2)</x:f>
        <x:v>2309.82</x:v>
      </x:c>
      <x:c r="U1349" s="12" t="n">
        <x:f>E1349*R1349</x:f>
        <x:v>956.54</x:v>
      </x:c>
      <x:c r="V1349" t="str">
        <x:f>IF(AND(C1349="Active",Q1349=0),"Active Zero Sales","Not Zero Sales")</x:f>
        <x:v>Not Zero Sales</x:v>
      </x:c>
      <x:c r="W1349" s="12" t="n">
        <x:f>IF(V1349="Active Zero Sales",U1349,0)</x:f>
        <x:v>0</x:v>
      </x:c>
      <x:c r="X1349" t="str">
        <x:f>IF(E1349&lt;25,"Low &lt; 25",IF(E1349&lt;100,"Medium 25-99",IF(E1349&lt;300,"High 100-299","Premium 300+")))</x:f>
        <x:v>Medium 25-99</x:v>
      </x:c>
      <x:c r="Y1349" t="n">
        <x:f>IF(C1349="Active",1,0)</x:f>
        <x:v>1</x:v>
      </x:c>
    </x:row>
    <x:row r="1350">
      <x:c r="A1350" t="str">
        <x:v>SKU01349</x:v>
      </x:c>
      <x:c r="B1350" t="str">
        <x:v>Sample Product 01349</x:v>
      </x:c>
      <x:c r="C1350" t="str">
        <x:v>Active</x:v>
      </x:c>
      <x:c r="D1350" t="str">
        <x:v>2026-03</x:v>
      </x:c>
      <x:c r="E1350" s="12" t="n">
        <x:v>48.13</x:v>
      </x:c>
      <x:c r="F1350" s="10" t="n">
        <x:v>0.338</x:v>
      </x:c>
      <x:c r="G1350" t="str">
        <x:v>Nutrition</x:v>
      </x:c>
      <x:c r="H1350" t="str">
        <x:v>Sports Nutrition</x:v>
      </x:c>
      <x:c r="I1350" t="str">
        <x:v>MFG005</x:v>
      </x:c>
      <x:c r="J1350" t="str">
        <x:v>Manufacturer 005</x:v>
      </x:c>
      <x:c r="K1350" t="str">
        <x:v>SUP022</x:v>
      </x:c>
      <x:c r="L1350" t="str">
        <x:v>Supplier 022</x:v>
      </x:c>
      <x:c r="M1350" t="str">
        <x:v>REG-936022</x:v>
      </x:c>
      <x:c r="N1350" t="str">
        <x:v>Generic Ingredient 013</x:v>
      </x:c>
      <x:c r="O1350" t="str">
        <x:v>Restricted Sale</x:v>
      </x:c>
      <x:c r="P1350" t="n">
        <x:v>83</x:v>
      </x:c>
      <x:c r="Q1350" t="n">
        <x:v>27</x:v>
      </x:c>
      <x:c r="R1350" t="n">
        <x:v>18</x:v>
      </x:c>
      <x:c r="S1350" s="12" t="n">
        <x:f>E1350*Q1350</x:f>
        <x:v>1299.51</x:v>
      </x:c>
      <x:c r="T1350" s="12" t="n">
        <x:f>ROUND(S1350*F1350+0.000000001,2)</x:f>
        <x:v>439.23</x:v>
      </x:c>
      <x:c r="U1350" s="12" t="n">
        <x:f>E1350*R1350</x:f>
        <x:v>866.34</x:v>
      </x:c>
      <x:c r="V1350" t="str">
        <x:f>IF(AND(C1350="Active",Q1350=0),"Active Zero Sales","Not Zero Sales")</x:f>
        <x:v>Not Zero Sales</x:v>
      </x:c>
      <x:c r="W1350" s="12" t="n">
        <x:f>IF(V1350="Active Zero Sales",U1350,0)</x:f>
        <x:v>0</x:v>
      </x:c>
      <x:c r="X1350" t="str">
        <x:f>IF(E1350&lt;25,"Low &lt; 25",IF(E1350&lt;100,"Medium 25-99",IF(E1350&lt;300,"High 100-299","Premium 300+")))</x:f>
        <x:v>Medium 25-99</x:v>
      </x:c>
      <x:c r="Y1350" t="n">
        <x:f>IF(C1350="Active",1,0)</x:f>
        <x:v>1</x:v>
      </x:c>
    </x:row>
    <x:row r="1351">
      <x:c r="A1351" t="str">
        <x:v>SKU01350</x:v>
      </x:c>
      <x:c r="B1351" t="str">
        <x:v>Sample Product 01350</x:v>
      </x:c>
      <x:c r="C1351" t="str">
        <x:v>Active</x:v>
      </x:c>
      <x:c r="D1351" t="str">
        <x:v>2026-05</x:v>
      </x:c>
      <x:c r="E1351" s="12" t="n">
        <x:v>67.87</x:v>
      </x:c>
      <x:c r="F1351" s="10" t="n">
        <x:v>0.267</x:v>
      </x:c>
      <x:c r="G1351" t="str">
        <x:v>General Merchandise</x:v>
      </x:c>
      <x:c r="H1351" t="str">
        <x:v>Seasonal Care</x:v>
      </x:c>
      <x:c r="I1351" t="str">
        <x:v>MFG003</x:v>
      </x:c>
      <x:c r="J1351" t="str">
        <x:v>Manufacturer 003</x:v>
      </x:c>
      <x:c r="K1351" t="str">
        <x:v>SUP013</x:v>
      </x:c>
      <x:c r="L1351" t="str">
        <x:v>Supplier 013</x:v>
      </x:c>
      <x:c r="M1351" t="str">
        <x:v>REG-651736</x:v>
      </x:c>
      <x:c r="N1351" t="str">
        <x:v>Generic Ingredient 031</x:v>
      </x:c>
      <x:c r="O1351" t="str">
        <x:v>General Sale</x:v>
      </x:c>
      <x:c r="P1351" t="n">
        <x:v>72</x:v>
      </x:c>
      <x:c r="Q1351" t="n">
        <x:v>9</x:v>
      </x:c>
      <x:c r="R1351" t="n">
        <x:v>17</x:v>
      </x:c>
      <x:c r="S1351" s="12" t="n">
        <x:f>E1351*Q1351</x:f>
        <x:v>610.83</x:v>
      </x:c>
      <x:c r="T1351" s="12" t="n">
        <x:f>ROUND(S1351*F1351+0.000000001,2)</x:f>
        <x:v>163.09</x:v>
      </x:c>
      <x:c r="U1351" s="12" t="n">
        <x:f>E1351*R1351</x:f>
        <x:v>1153.79</x:v>
      </x:c>
      <x:c r="V1351" t="str">
        <x:f>IF(AND(C1351="Active",Q1351=0),"Active Zero Sales","Not Zero Sales")</x:f>
        <x:v>Not Zero Sales</x:v>
      </x:c>
      <x:c r="W1351" s="12" t="n">
        <x:f>IF(V1351="Active Zero Sales",U1351,0)</x:f>
        <x:v>0</x:v>
      </x:c>
      <x:c r="X1351" t="str">
        <x:f>IF(E1351&lt;25,"Low &lt; 25",IF(E1351&lt;100,"Medium 25-99",IF(E1351&lt;300,"High 100-299","Premium 300+")))</x:f>
        <x:v>Medium 25-99</x:v>
      </x:c>
      <x:c r="Y1351" t="n">
        <x:f>IF(C1351="Active",1,0)</x:f>
        <x:v>1</x:v>
      </x:c>
    </x:row>
    <x:row r="1352">
      <x:c r="A1352" t="str">
        <x:v>SKU01351</x:v>
      </x:c>
      <x:c r="B1352" t="str">
        <x:v>Sample Product 01351</x:v>
      </x:c>
      <x:c r="C1352" t="str">
        <x:v>Blocked</x:v>
      </x:c>
      <x:c r="D1352" t="str">
        <x:v>2026-03</x:v>
      </x:c>
      <x:c r="E1352" s="12" t="n">
        <x:v>550.17</x:v>
      </x:c>
      <x:c r="F1352" s="10" t="n">
        <x:v>0.409</x:v>
      </x:c>
      <x:c r="G1352" t="str">
        <x:v>OTC &amp; Wellness</x:v>
      </x:c>
      <x:c r="H1352" t="str">
        <x:v>Digestive Care</x:v>
      </x:c>
      <x:c r="I1352" t="str">
        <x:v>MFG010</x:v>
      </x:c>
      <x:c r="J1352" t="str">
        <x:v>Manufacturer 010</x:v>
      </x:c>
      <x:c r="K1352" t="str">
        <x:v>SUP011</x:v>
      </x:c>
      <x:c r="L1352" t="str">
        <x:v>Supplier 011</x:v>
      </x:c>
      <x:c r="M1352" t="str">
        <x:v>REG-127492</x:v>
      </x:c>
      <x:c r="N1352" t="str">
        <x:v>Generic Ingredient 073</x:v>
      </x:c>
      <x:c r="O1352" t="str">
        <x:v>General Sale</x:v>
      </x:c>
      <x:c r="P1352" t="n">
        <x:v>66</x:v>
      </x:c>
      <x:c r="Q1352" t="n">
        <x:v>20</x:v>
      </x:c>
      <x:c r="R1352" t="n">
        <x:v>0</x:v>
      </x:c>
      <x:c r="S1352" s="12" t="n">
        <x:f>E1352*Q1352</x:f>
        <x:v>11003.4</x:v>
      </x:c>
      <x:c r="T1352" s="12" t="n">
        <x:f>ROUND(S1352*F1352+0.000000001,2)</x:f>
        <x:v>4500.39</x:v>
      </x:c>
      <x:c r="U1352" s="12" t="n">
        <x:f>E1352*R1352</x:f>
        <x:v>0</x:v>
      </x:c>
      <x:c r="V1352" t="str">
        <x:f>IF(AND(C1352="Active",Q1352=0),"Active Zero Sales","Not Zero Sales")</x:f>
        <x:v>Not Zero Sales</x:v>
      </x:c>
      <x:c r="W1352" s="12" t="n">
        <x:f>IF(V1352="Active Zero Sales",U1352,0)</x:f>
        <x:v>0</x:v>
      </x:c>
      <x:c r="X1352" t="str">
        <x:f>IF(E1352&lt;25,"Low &lt; 25",IF(E1352&lt;100,"Medium 25-99",IF(E1352&lt;300,"High 100-299","Premium 300+")))</x:f>
        <x:v>Premium 300+</x:v>
      </x:c>
      <x:c r="Y1352" t="n">
        <x:f>IF(C1352="Active",1,0)</x:f>
        <x:v>0</x:v>
      </x:c>
    </x:row>
    <x:row r="1353">
      <x:c r="A1353" t="str">
        <x:v>SKU01352</x:v>
      </x:c>
      <x:c r="B1353" t="str">
        <x:v>Sample Product 01352</x:v>
      </x:c>
      <x:c r="C1353" t="str">
        <x:v>Active</x:v>
      </x:c>
      <x:c r="D1353" t="str">
        <x:v>2026-05</x:v>
      </x:c>
      <x:c r="E1353" s="12" t="n">
        <x:v>130.72</x:v>
      </x:c>
      <x:c r="F1353" s="10" t="n">
        <x:v>0.277</x:v>
      </x:c>
      <x:c r="G1353" t="str">
        <x:v>Nutrition</x:v>
      </x:c>
      <x:c r="H1353" t="str">
        <x:v>Hydration</x:v>
      </x:c>
      <x:c r="I1353" t="str">
        <x:v>MFG007</x:v>
      </x:c>
      <x:c r="J1353" t="str">
        <x:v>Manufacturer 007</x:v>
      </x:c>
      <x:c r="K1353" t="str">
        <x:v>SUP013</x:v>
      </x:c>
      <x:c r="L1353" t="str">
        <x:v>Supplier 013</x:v>
      </x:c>
      <x:c r="M1353" t="str">
        <x:v>REG-927529</x:v>
      </x:c>
      <x:c r="N1353" t="str">
        <x:v>Generic Ingredient 001</x:v>
      </x:c>
      <x:c r="O1353" t="str">
        <x:v>Pharmacy Only</x:v>
      </x:c>
      <x:c r="P1353" t="n">
        <x:v>12</x:v>
      </x:c>
      <x:c r="Q1353" t="n">
        <x:v>8</x:v>
      </x:c>
      <x:c r="R1353" t="n">
        <x:v>2</x:v>
      </x:c>
      <x:c r="S1353" s="12" t="n">
        <x:f>E1353*Q1353</x:f>
        <x:v>1045.76</x:v>
      </x:c>
      <x:c r="T1353" s="12" t="n">
        <x:f>ROUND(S1353*F1353+0.000000001,2)</x:f>
        <x:v>289.68</x:v>
      </x:c>
      <x:c r="U1353" s="12" t="n">
        <x:f>E1353*R1353</x:f>
        <x:v>261.44</x:v>
      </x:c>
      <x:c r="V1353" t="str">
        <x:f>IF(AND(C1353="Active",Q1353=0),"Active Zero Sales","Not Zero Sales")</x:f>
        <x:v>Not Zero Sales</x:v>
      </x:c>
      <x:c r="W1353" s="12" t="n">
        <x:f>IF(V1353="Active Zero Sales",U1353,0)</x:f>
        <x:v>0</x:v>
      </x:c>
      <x:c r="X1353" t="str">
        <x:f>IF(E1353&lt;25,"Low &lt; 25",IF(E1353&lt;100,"Medium 25-99",IF(E1353&lt;300,"High 100-299","Premium 300+")))</x:f>
        <x:v>High 100-299</x:v>
      </x:c>
      <x:c r="Y1353" t="n">
        <x:f>IF(C1353="Active",1,0)</x:f>
        <x:v>1</x:v>
      </x:c>
    </x:row>
    <x:row r="1354">
      <x:c r="A1354" t="str">
        <x:v>SKU01353</x:v>
      </x:c>
      <x:c r="B1354" t="str">
        <x:v>Sample Product 01353</x:v>
      </x:c>
      <x:c r="C1354" t="str">
        <x:v>Active</x:v>
      </x:c>
      <x:c r="D1354" t="str">
        <x:v>2026-01</x:v>
      </x:c>
      <x:c r="E1354" s="12" t="n">
        <x:v>97.11</x:v>
      </x:c>
      <x:c r="F1354" s="10" t="n">
        <x:v>0.47</x:v>
      </x:c>
      <x:c r="G1354" t="str">
        <x:v>General Merchandise</x:v>
      </x:c>
      <x:c r="H1354" t="str">
        <x:v>Baby Essentials</x:v>
      </x:c>
      <x:c r="I1354" t="str">
        <x:v>MFG006</x:v>
      </x:c>
      <x:c r="J1354" t="str">
        <x:v>Manufacturer 006</x:v>
      </x:c>
      <x:c r="K1354" t="str">
        <x:v>SUP009</x:v>
      </x:c>
      <x:c r="L1354" t="str">
        <x:v>Supplier 009</x:v>
      </x:c>
      <x:c r="M1354" t="str">
        <x:v>REG-947484</x:v>
      </x:c>
      <x:c r="N1354" t="str">
        <x:v>Generic Ingredient 168</x:v>
      </x:c>
      <x:c r="O1354" t="str">
        <x:v>General Sale</x:v>
      </x:c>
      <x:c r="P1354" t="n">
        <x:v>74</x:v>
      </x:c>
      <x:c r="Q1354" t="n">
        <x:v>18</x:v>
      </x:c>
      <x:c r="R1354" t="n">
        <x:v>16</x:v>
      </x:c>
      <x:c r="S1354" s="12" t="n">
        <x:f>E1354*Q1354</x:f>
        <x:v>1747.98</x:v>
      </x:c>
      <x:c r="T1354" s="12" t="n">
        <x:f>ROUND(S1354*F1354+0.000000001,2)</x:f>
        <x:v>821.55</x:v>
      </x:c>
      <x:c r="U1354" s="12" t="n">
        <x:f>E1354*R1354</x:f>
        <x:v>1553.76</x:v>
      </x:c>
      <x:c r="V1354" t="str">
        <x:f>IF(AND(C1354="Active",Q1354=0),"Active Zero Sales","Not Zero Sales")</x:f>
        <x:v>Not Zero Sales</x:v>
      </x:c>
      <x:c r="W1354" s="12" t="n">
        <x:f>IF(V1354="Active Zero Sales",U1354,0)</x:f>
        <x:v>0</x:v>
      </x:c>
      <x:c r="X1354" t="str">
        <x:f>IF(E1354&lt;25,"Low &lt; 25",IF(E1354&lt;100,"Medium 25-99",IF(E1354&lt;300,"High 100-299","Premium 300+")))</x:f>
        <x:v>Medium 25-99</x:v>
      </x:c>
      <x:c r="Y1354" t="n">
        <x:f>IF(C1354="Active",1,0)</x:f>
        <x:v>1</x:v>
      </x:c>
    </x:row>
    <x:row r="1355">
      <x:c r="A1355" t="str">
        <x:v>SKU01354</x:v>
      </x:c>
      <x:c r="B1355" t="str">
        <x:v>Sample Product 01354</x:v>
      </x:c>
      <x:c r="C1355" t="str">
        <x:v>Active</x:v>
      </x:c>
      <x:c r="D1355" t="str">
        <x:v>2026-02</x:v>
      </x:c>
      <x:c r="E1355" s="12" t="n">
        <x:v>216.49</x:v>
      </x:c>
      <x:c r="F1355" s="10" t="n">
        <x:v>0.269</x:v>
      </x:c>
      <x:c r="G1355" t="str">
        <x:v>OTC &amp; Wellness</x:v>
      </x:c>
      <x:c r="H1355" t="str">
        <x:v>Pain Relief</x:v>
      </x:c>
      <x:c r="I1355" t="str">
        <x:v>MFG017</x:v>
      </x:c>
      <x:c r="J1355" t="str">
        <x:v>Manufacturer 017</x:v>
      </x:c>
      <x:c r="K1355" t="str">
        <x:v>SUP007</x:v>
      </x:c>
      <x:c r="L1355" t="str">
        <x:v>Supplier 007</x:v>
      </x:c>
      <x:c r="M1355" t="str">
        <x:v>REG-598456</x:v>
      </x:c>
      <x:c r="N1355" t="str">
        <x:v>Generic Ingredient 063</x:v>
      </x:c>
      <x:c r="O1355" t="str">
        <x:v>General Sale</x:v>
      </x:c>
      <x:c r="P1355" t="n">
        <x:v>88</x:v>
      </x:c>
      <x:c r="Q1355" t="n">
        <x:v>12</x:v>
      </x:c>
      <x:c r="R1355" t="n">
        <x:v>27</x:v>
      </x:c>
      <x:c r="S1355" s="12" t="n">
        <x:f>E1355*Q1355</x:f>
        <x:v>2597.88</x:v>
      </x:c>
      <x:c r="T1355" s="12" t="n">
        <x:f>ROUND(S1355*F1355+0.000000001,2)</x:f>
        <x:v>698.83</x:v>
      </x:c>
      <x:c r="U1355" s="12" t="n">
        <x:f>E1355*R1355</x:f>
        <x:v>5845.2300000000005</x:v>
      </x:c>
      <x:c r="V1355" t="str">
        <x:f>IF(AND(C1355="Active",Q1355=0),"Active Zero Sales","Not Zero Sales")</x:f>
        <x:v>Not Zero Sales</x:v>
      </x:c>
      <x:c r="W1355" s="12" t="n">
        <x:f>IF(V1355="Active Zero Sales",U1355,0)</x:f>
        <x:v>0</x:v>
      </x:c>
      <x:c r="X1355" t="str">
        <x:f>IF(E1355&lt;25,"Low &lt; 25",IF(E1355&lt;100,"Medium 25-99",IF(E1355&lt;300,"High 100-299","Premium 300+")))</x:f>
        <x:v>High 100-299</x:v>
      </x:c>
      <x:c r="Y1355" t="n">
        <x:f>IF(C1355="Active",1,0)</x:f>
        <x:v>1</x:v>
      </x:c>
    </x:row>
    <x:row r="1356">
      <x:c r="A1356" t="str">
        <x:v>SKU01355</x:v>
      </x:c>
      <x:c r="B1356" t="str">
        <x:v>Sample Product 01355</x:v>
      </x:c>
      <x:c r="C1356" t="str">
        <x:v>Active</x:v>
      </x:c>
      <x:c r="D1356" t="str">
        <x:v>2026-01</x:v>
      </x:c>
      <x:c r="E1356" s="12" t="n">
        <x:v>103.51</x:v>
      </x:c>
      <x:c r="F1356" s="10" t="n">
        <x:v>0.31</x:v>
      </x:c>
      <x:c r="G1356" t="str">
        <x:v>Nutrition</x:v>
      </x:c>
      <x:c r="H1356" t="str">
        <x:v>Adult Nutrition</x:v>
      </x:c>
      <x:c r="I1356" t="str">
        <x:v>MFG003</x:v>
      </x:c>
      <x:c r="J1356" t="str">
        <x:v>Manufacturer 003</x:v>
      </x:c>
      <x:c r="K1356" t="str">
        <x:v>SUP014</x:v>
      </x:c>
      <x:c r="L1356" t="str">
        <x:v>Supplier 014</x:v>
      </x:c>
      <x:c r="M1356" t="str">
        <x:v>REG-772701</x:v>
      </x:c>
      <x:c r="N1356" t="str">
        <x:v>Generic Ingredient 106</x:v>
      </x:c>
      <x:c r="O1356" t="str">
        <x:v>Pharmacy Only</x:v>
      </x:c>
      <x:c r="P1356" t="n">
        <x:v>70</x:v>
      </x:c>
      <x:c r="Q1356" t="n">
        <x:v>57</x:v>
      </x:c>
      <x:c r="R1356" t="n">
        <x:v>7</x:v>
      </x:c>
      <x:c r="S1356" s="12" t="n">
        <x:f>E1356*Q1356</x:f>
        <x:v>5900.070000000001</x:v>
      </x:c>
      <x:c r="T1356" s="12" t="n">
        <x:f>ROUND(S1356*F1356+0.000000001,2)</x:f>
        <x:v>1829.02</x:v>
      </x:c>
      <x:c r="U1356" s="12" t="n">
        <x:f>E1356*R1356</x:f>
        <x:v>724.57</x:v>
      </x:c>
      <x:c r="V1356" t="str">
        <x:f>IF(AND(C1356="Active",Q1356=0),"Active Zero Sales","Not Zero Sales")</x:f>
        <x:v>Not Zero Sales</x:v>
      </x:c>
      <x:c r="W1356" s="12" t="n">
        <x:f>IF(V1356="Active Zero Sales",U1356,0)</x:f>
        <x:v>0</x:v>
      </x:c>
      <x:c r="X1356" t="str">
        <x:f>IF(E1356&lt;25,"Low &lt; 25",IF(E1356&lt;100,"Medium 25-99",IF(E1356&lt;300,"High 100-299","Premium 300+")))</x:f>
        <x:v>High 100-299</x:v>
      </x:c>
      <x:c r="Y1356" t="n">
        <x:f>IF(C1356="Active",1,0)</x:f>
        <x:v>1</x:v>
      </x:c>
    </x:row>
    <x:row r="1357">
      <x:c r="A1357" t="str">
        <x:v>SKU01356</x:v>
      </x:c>
      <x:c r="B1357" t="str">
        <x:v>Sample Product 01356</x:v>
      </x:c>
      <x:c r="C1357" t="str">
        <x:v>Active</x:v>
      </x:c>
      <x:c r="D1357" t="str">
        <x:v>2026-05</x:v>
      </x:c>
      <x:c r="E1357" s="12" t="n">
        <x:v>90.09</x:v>
      </x:c>
      <x:c r="F1357" s="10" t="n">
        <x:v>0.461</x:v>
      </x:c>
      <x:c r="G1357" t="str">
        <x:v>OTC &amp; Wellness</x:v>
      </x:c>
      <x:c r="H1357" t="str">
        <x:v>Vitamins</x:v>
      </x:c>
      <x:c r="I1357" t="str">
        <x:v>MFG010</x:v>
      </x:c>
      <x:c r="J1357" t="str">
        <x:v>Manufacturer 010</x:v>
      </x:c>
      <x:c r="K1357" t="str">
        <x:v>SUP021</x:v>
      </x:c>
      <x:c r="L1357" t="str">
        <x:v>Supplier 021</x:v>
      </x:c>
      <x:c r="M1357" t="str">
        <x:v>REG-296375</x:v>
      </x:c>
      <x:c r="N1357" t="str">
        <x:v>Generic Ingredient 097</x:v>
      </x:c>
      <x:c r="O1357" t="str">
        <x:v>General Sale</x:v>
      </x:c>
      <x:c r="P1357" t="n">
        <x:v>51</x:v>
      </x:c>
      <x:c r="Q1357" t="n">
        <x:v>0</x:v>
      </x:c>
      <x:c r="R1357" t="n">
        <x:v>11</x:v>
      </x:c>
      <x:c r="S1357" s="12" t="n">
        <x:f>E1357*Q1357</x:f>
        <x:v>0</x:v>
      </x:c>
      <x:c r="T1357" s="12" t="n">
        <x:f>ROUND(S1357*F1357+0.000000001,2)</x:f>
        <x:v>0</x:v>
      </x:c>
      <x:c r="U1357" s="12" t="n">
        <x:f>E1357*R1357</x:f>
        <x:v>990.99</x:v>
      </x:c>
      <x:c r="V1357" t="str">
        <x:f>IF(AND(C1357="Active",Q1357=0),"Active Zero Sales","Not Zero Sales")</x:f>
        <x:v>Active Zero Sales</x:v>
      </x:c>
      <x:c r="W1357" s="12" t="n">
        <x:f>IF(V1357="Active Zero Sales",U1357,0)</x:f>
        <x:v>990.99</x:v>
      </x:c>
      <x:c r="X1357" t="str">
        <x:f>IF(E1357&lt;25,"Low &lt; 25",IF(E1357&lt;100,"Medium 25-99",IF(E1357&lt;300,"High 100-299","Premium 300+")))</x:f>
        <x:v>Medium 25-99</x:v>
      </x:c>
      <x:c r="Y1357" t="n">
        <x:f>IF(C1357="Active",1,0)</x:f>
        <x:v>1</x:v>
      </x:c>
    </x:row>
    <x:row r="1358">
      <x:c r="A1358" t="str">
        <x:v>SKU01357</x:v>
      </x:c>
      <x:c r="B1358" t="str">
        <x:v>Sample Product 01357</x:v>
      </x:c>
      <x:c r="C1358" t="str">
        <x:v>Active</x:v>
      </x:c>
      <x:c r="D1358" t="str">
        <x:v>2026-02</x:v>
      </x:c>
      <x:c r="E1358" s="12" t="n">
        <x:v>92.96</x:v>
      </x:c>
      <x:c r="F1358" s="10" t="n">
        <x:v>0.415</x:v>
      </x:c>
      <x:c r="G1358" t="str">
        <x:v>Personal Care</x:v>
      </x:c>
      <x:c r="H1358" t="str">
        <x:v>Oral Care</x:v>
      </x:c>
      <x:c r="I1358" t="str">
        <x:v>MFG014</x:v>
      </x:c>
      <x:c r="J1358" t="str">
        <x:v>Manufacturer 014</x:v>
      </x:c>
      <x:c r="K1358" t="str">
        <x:v>SUP019</x:v>
      </x:c>
      <x:c r="L1358" t="str">
        <x:v>Supplier 019</x:v>
      </x:c>
      <x:c r="M1358" t="str">
        <x:v>REG-910586</x:v>
      </x:c>
      <x:c r="N1358" t="str">
        <x:v>Generic Ingredient 060</x:v>
      </x:c>
      <x:c r="O1358" t="str">
        <x:v>General Sale</x:v>
      </x:c>
      <x:c r="P1358" t="n">
        <x:v>4</x:v>
      </x:c>
      <x:c r="Q1358" t="n">
        <x:v>14</x:v>
      </x:c>
      <x:c r="R1358" t="n">
        <x:v>0</x:v>
      </x:c>
      <x:c r="S1358" s="12" t="n">
        <x:f>E1358*Q1358</x:f>
        <x:v>1301.4399999999998</x:v>
      </x:c>
      <x:c r="T1358" s="12" t="n">
        <x:f>ROUND(S1358*F1358+0.000000001,2)</x:f>
        <x:v>540.1</x:v>
      </x:c>
      <x:c r="U1358" s="12" t="n">
        <x:f>E1358*R1358</x:f>
        <x:v>0</x:v>
      </x:c>
      <x:c r="V1358" t="str">
        <x:f>IF(AND(C1358="Active",Q1358=0),"Active Zero Sales","Not Zero Sales")</x:f>
        <x:v>Not Zero Sales</x:v>
      </x:c>
      <x:c r="W1358" s="12" t="n">
        <x:f>IF(V1358="Active Zero Sales",U1358,0)</x:f>
        <x:v>0</x:v>
      </x:c>
      <x:c r="X1358" t="str">
        <x:f>IF(E1358&lt;25,"Low &lt; 25",IF(E1358&lt;100,"Medium 25-99",IF(E1358&lt;300,"High 100-299","Premium 300+")))</x:f>
        <x:v>Medium 25-99</x:v>
      </x:c>
      <x:c r="Y1358" t="n">
        <x:f>IF(C1358="Active",1,0)</x:f>
        <x:v>1</x:v>
      </x:c>
    </x:row>
    <x:row r="1359">
      <x:c r="A1359" t="str">
        <x:v>SKU01358</x:v>
      </x:c>
      <x:c r="B1359" t="str">
        <x:v>Sample Product 01358</x:v>
      </x:c>
      <x:c r="C1359" t="str">
        <x:v>Blocked</x:v>
      </x:c>
      <x:c r="D1359" t="str">
        <x:v>2026-03</x:v>
      </x:c>
      <x:c r="E1359" s="12" t="n">
        <x:v>18.4</x:v>
      </x:c>
      <x:c r="F1359" s="10" t="n">
        <x:v>0.503</x:v>
      </x:c>
      <x:c r="G1359" t="str">
        <x:v>General Merchandise</x:v>
      </x:c>
      <x:c r="H1359" t="str">
        <x:v>Accessories</x:v>
      </x:c>
      <x:c r="I1359" t="str">
        <x:v>MFG018</x:v>
      </x:c>
      <x:c r="J1359" t="str">
        <x:v>Manufacturer 018</x:v>
      </x:c>
      <x:c r="K1359" t="str">
        <x:v>SUP013</x:v>
      </x:c>
      <x:c r="L1359" t="str">
        <x:v>Supplier 013</x:v>
      </x:c>
      <x:c r="M1359" t="str">
        <x:v>REG-675499</x:v>
      </x:c>
      <x:c r="N1359" t="str">
        <x:v>Generic Ingredient 148</x:v>
      </x:c>
      <x:c r="O1359" t="str">
        <x:v>Restricted Sale</x:v>
      </x:c>
      <x:c r="P1359" t="n">
        <x:v>40</x:v>
      </x:c>
      <x:c r="Q1359" t="n">
        <x:v>17</x:v>
      </x:c>
      <x:c r="R1359" t="n">
        <x:v>0</x:v>
      </x:c>
      <x:c r="S1359" s="12" t="n">
        <x:f>E1359*Q1359</x:f>
        <x:v>312.79999999999995</x:v>
      </x:c>
      <x:c r="T1359" s="12" t="n">
        <x:f>ROUND(S1359*F1359+0.000000001,2)</x:f>
        <x:v>157.34</x:v>
      </x:c>
      <x:c r="U1359" s="12" t="n">
        <x:f>E1359*R1359</x:f>
        <x:v>0</x:v>
      </x:c>
      <x:c r="V1359" t="str">
        <x:f>IF(AND(C1359="Active",Q1359=0),"Active Zero Sales","Not Zero Sales")</x:f>
        <x:v>Not Zero Sales</x:v>
      </x:c>
      <x:c r="W1359" s="12" t="n">
        <x:f>IF(V1359="Active Zero Sales",U1359,0)</x:f>
        <x:v>0</x:v>
      </x:c>
      <x:c r="X1359" t="str">
        <x:f>IF(E1359&lt;25,"Low &lt; 25",IF(E1359&lt;100,"Medium 25-99",IF(E1359&lt;300,"High 100-299","Premium 300+")))</x:f>
        <x:v>Low &lt; 25</x:v>
      </x:c>
      <x:c r="Y1359" t="n">
        <x:f>IF(C1359="Active",1,0)</x:f>
        <x:v>0</x:v>
      </x:c>
    </x:row>
    <x:row r="1360">
      <x:c r="A1360" t="str">
        <x:v>SKU01359</x:v>
      </x:c>
      <x:c r="B1360" t="str">
        <x:v>Sample Product 01359</x:v>
      </x:c>
      <x:c r="C1360" t="str">
        <x:v>Active</x:v>
      </x:c>
      <x:c r="D1360" t="str">
        <x:v>2026-05</x:v>
      </x:c>
      <x:c r="E1360" s="12" t="n">
        <x:v>131.37</x:v>
      </x:c>
      <x:c r="F1360" s="10" t="n">
        <x:v>0.427</x:v>
      </x:c>
      <x:c r="G1360" t="str">
        <x:v>OTC &amp; Wellness</x:v>
      </x:c>
      <x:c r="H1360" t="str">
        <x:v>Digestive Care</x:v>
      </x:c>
      <x:c r="I1360" t="str">
        <x:v>MFG019</x:v>
      </x:c>
      <x:c r="J1360" t="str">
        <x:v>Manufacturer 019</x:v>
      </x:c>
      <x:c r="K1360" t="str">
        <x:v>SUP001</x:v>
      </x:c>
      <x:c r="L1360" t="str">
        <x:v>Supplier 001</x:v>
      </x:c>
      <x:c r="M1360" t="str">
        <x:v>REG-369978</x:v>
      </x:c>
      <x:c r="N1360" t="str">
        <x:v>Generic Ingredient 080</x:v>
      </x:c>
      <x:c r="O1360" t="str">
        <x:v>Pharmacy Only</x:v>
      </x:c>
      <x:c r="P1360" t="n">
        <x:v>87</x:v>
      </x:c>
      <x:c r="Q1360" t="n">
        <x:v>11</x:v>
      </x:c>
      <x:c r="R1360" t="n">
        <x:v>30</x:v>
      </x:c>
      <x:c r="S1360" s="12" t="n">
        <x:f>E1360*Q1360</x:f>
        <x:v>1445.0700000000002</x:v>
      </x:c>
      <x:c r="T1360" s="12" t="n">
        <x:f>ROUND(S1360*F1360+0.000000001,2)</x:f>
        <x:v>617.04</x:v>
      </x:c>
      <x:c r="U1360" s="12" t="n">
        <x:f>E1360*R1360</x:f>
        <x:v>3941.1000000000004</x:v>
      </x:c>
      <x:c r="V1360" t="str">
        <x:f>IF(AND(C1360="Active",Q1360=0),"Active Zero Sales","Not Zero Sales")</x:f>
        <x:v>Not Zero Sales</x:v>
      </x:c>
      <x:c r="W1360" s="12" t="n">
        <x:f>IF(V1360="Active Zero Sales",U1360,0)</x:f>
        <x:v>0</x:v>
      </x:c>
      <x:c r="X1360" t="str">
        <x:f>IF(E1360&lt;25,"Low &lt; 25",IF(E1360&lt;100,"Medium 25-99",IF(E1360&lt;300,"High 100-299","Premium 300+")))</x:f>
        <x:v>High 100-299</x:v>
      </x:c>
      <x:c r="Y1360" t="n">
        <x:f>IF(C1360="Active",1,0)</x:f>
        <x:v>1</x:v>
      </x:c>
    </x:row>
    <x:row r="1361">
      <x:c r="A1361" t="str">
        <x:v>SKU01360</x:v>
      </x:c>
      <x:c r="B1361" t="str">
        <x:v>Sample Product 01360</x:v>
      </x:c>
      <x:c r="C1361" t="str">
        <x:v>Active</x:v>
      </x:c>
      <x:c r="D1361" t="str">
        <x:v>2026-06</x:v>
      </x:c>
      <x:c r="E1361" s="12" t="n">
        <x:v>593.18</x:v>
      </x:c>
      <x:c r="F1361" s="10" t="n">
        <x:v>0.451</x:v>
      </x:c>
      <x:c r="G1361" t="str">
        <x:v>Personal Care</x:v>
      </x:c>
      <x:c r="H1361" t="str">
        <x:v>Oral Care</x:v>
      </x:c>
      <x:c r="I1361" t="str">
        <x:v>MFG015</x:v>
      </x:c>
      <x:c r="J1361" t="str">
        <x:v>Manufacturer 015</x:v>
      </x:c>
      <x:c r="K1361" t="str">
        <x:v>SUP012</x:v>
      </x:c>
      <x:c r="L1361" t="str">
        <x:v>Supplier 012</x:v>
      </x:c>
      <x:c r="M1361" t="str">
        <x:v>REG-506406</x:v>
      </x:c>
      <x:c r="N1361" t="str">
        <x:v>Generic Ingredient 010</x:v>
      </x:c>
      <x:c r="O1361" t="str">
        <x:v>General Sale</x:v>
      </x:c>
      <x:c r="P1361" t="n">
        <x:v>62</x:v>
      </x:c>
      <x:c r="Q1361" t="n">
        <x:v>21</x:v>
      </x:c>
      <x:c r="R1361" t="n">
        <x:v>0</x:v>
      </x:c>
      <x:c r="S1361" s="12" t="n">
        <x:f>E1361*Q1361</x:f>
        <x:v>12456.779999999999</x:v>
      </x:c>
      <x:c r="T1361" s="12" t="n">
        <x:f>ROUND(S1361*F1361+0.000000001,2)</x:f>
        <x:v>5618.01</x:v>
      </x:c>
      <x:c r="U1361" s="12" t="n">
        <x:f>E1361*R1361</x:f>
        <x:v>0</x:v>
      </x:c>
      <x:c r="V1361" t="str">
        <x:f>IF(AND(C1361="Active",Q1361=0),"Active Zero Sales","Not Zero Sales")</x:f>
        <x:v>Not Zero Sales</x:v>
      </x:c>
      <x:c r="W1361" s="12" t="n">
        <x:f>IF(V1361="Active Zero Sales",U1361,0)</x:f>
        <x:v>0</x:v>
      </x:c>
      <x:c r="X1361" t="str">
        <x:f>IF(E1361&lt;25,"Low &lt; 25",IF(E1361&lt;100,"Medium 25-99",IF(E1361&lt;300,"High 100-299","Premium 300+")))</x:f>
        <x:v>Premium 300+</x:v>
      </x:c>
      <x:c r="Y1361" t="n">
        <x:f>IF(C1361="Active",1,0)</x:f>
        <x:v>1</x:v>
      </x:c>
    </x:row>
    <x:row r="1362">
      <x:c r="A1362" t="str">
        <x:v>SKU01361</x:v>
      </x:c>
      <x:c r="B1362" t="str">
        <x:v>Sample Product 01361</x:v>
      </x:c>
      <x:c r="C1362" t="str">
        <x:v>Active</x:v>
      </x:c>
      <x:c r="D1362" t="str">
        <x:v>2026-02</x:v>
      </x:c>
      <x:c r="E1362" s="12" t="n">
        <x:v>13.76</x:v>
      </x:c>
      <x:c r="F1362" s="10" t="n">
        <x:v>0.288</x:v>
      </x:c>
      <x:c r="G1362" t="str">
        <x:v>OTC &amp; Wellness</x:v>
      </x:c>
      <x:c r="H1362" t="str">
        <x:v>Pain Relief</x:v>
      </x:c>
      <x:c r="I1362" t="str">
        <x:v>MFG011</x:v>
      </x:c>
      <x:c r="J1362" t="str">
        <x:v>Manufacturer 011</x:v>
      </x:c>
      <x:c r="K1362" t="str">
        <x:v>SUP009</x:v>
      </x:c>
      <x:c r="L1362" t="str">
        <x:v>Supplier 009</x:v>
      </x:c>
      <x:c r="M1362" t="str">
        <x:v>REG-570303</x:v>
      </x:c>
      <x:c r="N1362" t="str">
        <x:v>Generic Ingredient 118</x:v>
      </x:c>
      <x:c r="O1362" t="str">
        <x:v>General Sale</x:v>
      </x:c>
      <x:c r="P1362" t="n">
        <x:v>144</x:v>
      </x:c>
      <x:c r="Q1362" t="n">
        <x:v>103</x:v>
      </x:c>
      <x:c r="R1362" t="n">
        <x:v>41</x:v>
      </x:c>
      <x:c r="S1362" s="12" t="n">
        <x:f>E1362*Q1362</x:f>
        <x:v>1417.28</x:v>
      </x:c>
      <x:c r="T1362" s="12" t="n">
        <x:f>ROUND(S1362*F1362+0.000000001,2)</x:f>
        <x:v>408.18</x:v>
      </x:c>
      <x:c r="U1362" s="12" t="n">
        <x:f>E1362*R1362</x:f>
        <x:v>564.16</x:v>
      </x:c>
      <x:c r="V1362" t="str">
        <x:f>IF(AND(C1362="Active",Q1362=0),"Active Zero Sales","Not Zero Sales")</x:f>
        <x:v>Not Zero Sales</x:v>
      </x:c>
      <x:c r="W1362" s="12" t="n">
        <x:f>IF(V1362="Active Zero Sales",U1362,0)</x:f>
        <x:v>0</x:v>
      </x:c>
      <x:c r="X1362" t="str">
        <x:f>IF(E1362&lt;25,"Low &lt; 25",IF(E1362&lt;100,"Medium 25-99",IF(E1362&lt;300,"High 100-299","Premium 300+")))</x:f>
        <x:v>Low &lt; 25</x:v>
      </x:c>
      <x:c r="Y1362" t="n">
        <x:f>IF(C1362="Active",1,0)</x:f>
        <x:v>1</x:v>
      </x:c>
    </x:row>
    <x:row r="1363">
      <x:c r="A1363" t="str">
        <x:v>SKU01362</x:v>
      </x:c>
      <x:c r="B1363" t="str">
        <x:v>Sample Product 01362</x:v>
      </x:c>
      <x:c r="C1363" t="str">
        <x:v>Blocked</x:v>
      </x:c>
      <x:c r="D1363" t="str">
        <x:v>2026-02</x:v>
      </x:c>
      <x:c r="E1363" s="12" t="n">
        <x:v>194.78</x:v>
      </x:c>
      <x:c r="F1363" s="10" t="n">
        <x:v>0.461</x:v>
      </x:c>
      <x:c r="G1363" t="str">
        <x:v>Personal Care</x:v>
      </x:c>
      <x:c r="H1363" t="str">
        <x:v>Skin Care</x:v>
      </x:c>
      <x:c r="I1363" t="str">
        <x:v>MFG011</x:v>
      </x:c>
      <x:c r="J1363" t="str">
        <x:v>Manufacturer 011</x:v>
      </x:c>
      <x:c r="K1363" t="str">
        <x:v>SUP019</x:v>
      </x:c>
      <x:c r="L1363" t="str">
        <x:v>Supplier 019</x:v>
      </x:c>
      <x:c r="M1363" t="str">
        <x:v>REG-868117</x:v>
      </x:c>
      <x:c r="N1363" t="str">
        <x:v>Generic Ingredient 072</x:v>
      </x:c>
      <x:c r="O1363" t="str">
        <x:v>General Sale</x:v>
      </x:c>
      <x:c r="P1363" t="n">
        <x:v>7</x:v>
      </x:c>
      <x:c r="Q1363" t="n">
        <x:v>0</x:v>
      </x:c>
      <x:c r="R1363" t="n">
        <x:v>0</x:v>
      </x:c>
      <x:c r="S1363" s="12" t="n">
        <x:f>E1363*Q1363</x:f>
        <x:v>0</x:v>
      </x:c>
      <x:c r="T1363" s="12" t="n">
        <x:f>ROUND(S1363*F1363+0.000000001,2)</x:f>
        <x:v>0</x:v>
      </x:c>
      <x:c r="U1363" s="12" t="n">
        <x:f>E1363*R1363</x:f>
        <x:v>0</x:v>
      </x:c>
      <x:c r="V1363" t="str">
        <x:f>IF(AND(C1363="Active",Q1363=0),"Active Zero Sales","Not Zero Sales")</x:f>
        <x:v>Not Zero Sales</x:v>
      </x:c>
      <x:c r="W1363" s="12" t="n">
        <x:f>IF(V1363="Active Zero Sales",U1363,0)</x:f>
        <x:v>0</x:v>
      </x:c>
      <x:c r="X1363" t="str">
        <x:f>IF(E1363&lt;25,"Low &lt; 25",IF(E1363&lt;100,"Medium 25-99",IF(E1363&lt;300,"High 100-299","Premium 300+")))</x:f>
        <x:v>High 100-299</x:v>
      </x:c>
      <x:c r="Y1363" t="n">
        <x:f>IF(C1363="Active",1,0)</x:f>
        <x:v>0</x:v>
      </x:c>
    </x:row>
    <x:row r="1364">
      <x:c r="A1364" t="str">
        <x:v>SKU01363</x:v>
      </x:c>
      <x:c r="B1364" t="str">
        <x:v>Sample Product 01363</x:v>
      </x:c>
      <x:c r="C1364" t="str">
        <x:v>Active</x:v>
      </x:c>
      <x:c r="D1364" t="str">
        <x:v>2026-03</x:v>
      </x:c>
      <x:c r="E1364" s="12" t="n">
        <x:v>160.48</x:v>
      </x:c>
      <x:c r="F1364" s="10" t="n">
        <x:v>0.439</x:v>
      </x:c>
      <x:c r="G1364" t="str">
        <x:v>Nutrition</x:v>
      </x:c>
      <x:c r="H1364" t="str">
        <x:v>Adult Nutrition</x:v>
      </x:c>
      <x:c r="I1364" t="str">
        <x:v>MFG002</x:v>
      </x:c>
      <x:c r="J1364" t="str">
        <x:v>Manufacturer 002</x:v>
      </x:c>
      <x:c r="K1364" t="str">
        <x:v>SUP024</x:v>
      </x:c>
      <x:c r="L1364" t="str">
        <x:v>Supplier 024</x:v>
      </x:c>
      <x:c r="M1364" t="str">
        <x:v>REG-735066</x:v>
      </x:c>
      <x:c r="N1364" t="str">
        <x:v>Generic Ingredient 037</x:v>
      </x:c>
      <x:c r="O1364" t="str">
        <x:v>General Sale</x:v>
      </x:c>
      <x:c r="P1364" t="n">
        <x:v>52</x:v>
      </x:c>
      <x:c r="Q1364" t="n">
        <x:v>14</x:v>
      </x:c>
      <x:c r="R1364" t="n">
        <x:v>0</x:v>
      </x:c>
      <x:c r="S1364" s="12" t="n">
        <x:f>E1364*Q1364</x:f>
        <x:v>2246.72</x:v>
      </x:c>
      <x:c r="T1364" s="12" t="n">
        <x:f>ROUND(S1364*F1364+0.000000001,2)</x:f>
        <x:v>986.31</x:v>
      </x:c>
      <x:c r="U1364" s="12" t="n">
        <x:f>E1364*R1364</x:f>
        <x:v>0</x:v>
      </x:c>
      <x:c r="V1364" t="str">
        <x:f>IF(AND(C1364="Active",Q1364=0),"Active Zero Sales","Not Zero Sales")</x:f>
        <x:v>Not Zero Sales</x:v>
      </x:c>
      <x:c r="W1364" s="12" t="n">
        <x:f>IF(V1364="Active Zero Sales",U1364,0)</x:f>
        <x:v>0</x:v>
      </x:c>
      <x:c r="X1364" t="str">
        <x:f>IF(E1364&lt;25,"Low &lt; 25",IF(E1364&lt;100,"Medium 25-99",IF(E1364&lt;300,"High 100-299","Premium 300+")))</x:f>
        <x:v>High 100-299</x:v>
      </x:c>
      <x:c r="Y1364" t="n">
        <x:f>IF(C1364="Active",1,0)</x:f>
        <x:v>1</x:v>
      </x:c>
    </x:row>
    <x:row r="1365">
      <x:c r="A1365" t="str">
        <x:v>SKU01364</x:v>
      </x:c>
      <x:c r="B1365" t="str">
        <x:v>Sample Product 01364</x:v>
      </x:c>
      <x:c r="C1365" t="str">
        <x:v>Blocked</x:v>
      </x:c>
      <x:c r="D1365" t="str">
        <x:v>2026-06</x:v>
      </x:c>
      <x:c r="E1365" s="12" t="n">
        <x:v>20.88</x:v>
      </x:c>
      <x:c r="F1365" s="10" t="n">
        <x:v>0.428</x:v>
      </x:c>
      <x:c r="G1365" t="str">
        <x:v>Personal Care</x:v>
      </x:c>
      <x:c r="H1365" t="str">
        <x:v>Oral Care</x:v>
      </x:c>
      <x:c r="I1365" t="str">
        <x:v>MFG017</x:v>
      </x:c>
      <x:c r="J1365" t="str">
        <x:v>Manufacturer 017</x:v>
      </x:c>
      <x:c r="K1365" t="str">
        <x:v>SUP006</x:v>
      </x:c>
      <x:c r="L1365" t="str">
        <x:v>Supplier 006</x:v>
      </x:c>
      <x:c r="M1365" t="str">
        <x:v>REG-827064</x:v>
      </x:c>
      <x:c r="N1365" t="str">
        <x:v>Generic Ingredient 115</x:v>
      </x:c>
      <x:c r="O1365" t="str">
        <x:v>Pharmacy Only</x:v>
      </x:c>
      <x:c r="P1365" t="n">
        <x:v>17</x:v>
      </x:c>
      <x:c r="Q1365" t="n">
        <x:v>0</x:v>
      </x:c>
      <x:c r="R1365" t="n">
        <x:v>18</x:v>
      </x:c>
      <x:c r="S1365" s="12" t="n">
        <x:f>E1365*Q1365</x:f>
        <x:v>0</x:v>
      </x:c>
      <x:c r="T1365" s="12" t="n">
        <x:f>ROUND(S1365*F1365+0.000000001,2)</x:f>
        <x:v>0</x:v>
      </x:c>
      <x:c r="U1365" s="12" t="n">
        <x:f>E1365*R1365</x:f>
        <x:v>375.84</x:v>
      </x:c>
      <x:c r="V1365" t="str">
        <x:f>IF(AND(C1365="Active",Q1365=0),"Active Zero Sales","Not Zero Sales")</x:f>
        <x:v>Not Zero Sales</x:v>
      </x:c>
      <x:c r="W1365" s="12" t="n">
        <x:f>IF(V1365="Active Zero Sales",U1365,0)</x:f>
        <x:v>0</x:v>
      </x:c>
      <x:c r="X1365" t="str">
        <x:f>IF(E1365&lt;25,"Low &lt; 25",IF(E1365&lt;100,"Medium 25-99",IF(E1365&lt;300,"High 100-299","Premium 300+")))</x:f>
        <x:v>Low &lt; 25</x:v>
      </x:c>
      <x:c r="Y1365" t="n">
        <x:f>IF(C1365="Active",1,0)</x:f>
        <x:v>0</x:v>
      </x:c>
    </x:row>
    <x:row r="1366">
      <x:c r="A1366" t="str">
        <x:v>SKU01365</x:v>
      </x:c>
      <x:c r="B1366" t="str">
        <x:v>Sample Product 01365</x:v>
      </x:c>
      <x:c r="C1366" t="str">
        <x:v>Blocked</x:v>
      </x:c>
      <x:c r="D1366" t="str">
        <x:v>2026-01</x:v>
      </x:c>
      <x:c r="E1366" s="12" t="n">
        <x:v>259.83</x:v>
      </x:c>
      <x:c r="F1366" s="10" t="n">
        <x:v>0.295</x:v>
      </x:c>
      <x:c r="G1366" t="str">
        <x:v>Medical Devices</x:v>
      </x:c>
      <x:c r="H1366" t="str">
        <x:v>Monitoring Supplies</x:v>
      </x:c>
      <x:c r="I1366" t="str">
        <x:v>MFG012</x:v>
      </x:c>
      <x:c r="J1366" t="str">
        <x:v>Manufacturer 012</x:v>
      </x:c>
      <x:c r="K1366" t="str">
        <x:v>SUP003</x:v>
      </x:c>
      <x:c r="L1366" t="str">
        <x:v>Supplier 003</x:v>
      </x:c>
      <x:c r="M1366" t="str">
        <x:v>REG-281087</x:v>
      </x:c>
      <x:c r="N1366" t="str">
        <x:v>Generic Ingredient 127</x:v>
      </x:c>
      <x:c r="O1366" t="str">
        <x:v>General Sale</x:v>
      </x:c>
      <x:c r="P1366" t="n">
        <x:v>50</x:v>
      </x:c>
      <x:c r="Q1366" t="n">
        <x:v>0</x:v>
      </x:c>
      <x:c r="R1366" t="n">
        <x:v>0</x:v>
      </x:c>
      <x:c r="S1366" s="12" t="n">
        <x:f>E1366*Q1366</x:f>
        <x:v>0</x:v>
      </x:c>
      <x:c r="T1366" s="12" t="n">
        <x:f>ROUND(S1366*F1366+0.000000001,2)</x:f>
        <x:v>0</x:v>
      </x:c>
      <x:c r="U1366" s="12" t="n">
        <x:f>E1366*R1366</x:f>
        <x:v>0</x:v>
      </x:c>
      <x:c r="V1366" t="str">
        <x:f>IF(AND(C1366="Active",Q1366=0),"Active Zero Sales","Not Zero Sales")</x:f>
        <x:v>Not Zero Sales</x:v>
      </x:c>
      <x:c r="W1366" s="12" t="n">
        <x:f>IF(V1366="Active Zero Sales",U1366,0)</x:f>
        <x:v>0</x:v>
      </x:c>
      <x:c r="X1366" t="str">
        <x:f>IF(E1366&lt;25,"Low &lt; 25",IF(E1366&lt;100,"Medium 25-99",IF(E1366&lt;300,"High 100-299","Premium 300+")))</x:f>
        <x:v>High 100-299</x:v>
      </x:c>
      <x:c r="Y1366" t="n">
        <x:f>IF(C1366="Active",1,0)</x:f>
        <x:v>0</x:v>
      </x:c>
    </x:row>
    <x:row r="1367">
      <x:c r="A1367" t="str">
        <x:v>SKU01366</x:v>
      </x:c>
      <x:c r="B1367" t="str">
        <x:v>Sample Product 01366</x:v>
      </x:c>
      <x:c r="C1367" t="str">
        <x:v>Active</x:v>
      </x:c>
      <x:c r="D1367" t="str">
        <x:v>2026-05</x:v>
      </x:c>
      <x:c r="E1367" s="12" t="n">
        <x:v>9.34</x:v>
      </x:c>
      <x:c r="F1367" s="10" t="n">
        <x:v>0.43</x:v>
      </x:c>
      <x:c r="G1367" t="str">
        <x:v>Personal Care</x:v>
      </x:c>
      <x:c r="H1367" t="str">
        <x:v>Skin Care</x:v>
      </x:c>
      <x:c r="I1367" t="str">
        <x:v>MFG018</x:v>
      </x:c>
      <x:c r="J1367" t="str">
        <x:v>Manufacturer 018</x:v>
      </x:c>
      <x:c r="K1367" t="str">
        <x:v>SUP019</x:v>
      </x:c>
      <x:c r="L1367" t="str">
        <x:v>Supplier 019</x:v>
      </x:c>
      <x:c r="M1367" t="str">
        <x:v>REG-205063</x:v>
      </x:c>
      <x:c r="N1367" t="str">
        <x:v>Generic Ingredient 134</x:v>
      </x:c>
      <x:c r="O1367" t="str">
        <x:v>Pharmacy Only</x:v>
      </x:c>
      <x:c r="P1367" t="n">
        <x:v>113</x:v>
      </x:c>
      <x:c r="Q1367" t="n">
        <x:v>65</x:v>
      </x:c>
      <x:c r="R1367" t="n">
        <x:v>18</x:v>
      </x:c>
      <x:c r="S1367" s="12" t="n">
        <x:f>E1367*Q1367</x:f>
        <x:v>607.1</x:v>
      </x:c>
      <x:c r="T1367" s="12" t="n">
        <x:f>ROUND(S1367*F1367+0.000000001,2)</x:f>
        <x:v>261.05</x:v>
      </x:c>
      <x:c r="U1367" s="12" t="n">
        <x:f>E1367*R1367</x:f>
        <x:v>168.12</x:v>
      </x:c>
      <x:c r="V1367" t="str">
        <x:f>IF(AND(C1367="Active",Q1367=0),"Active Zero Sales","Not Zero Sales")</x:f>
        <x:v>Not Zero Sales</x:v>
      </x:c>
      <x:c r="W1367" s="12" t="n">
        <x:f>IF(V1367="Active Zero Sales",U1367,0)</x:f>
        <x:v>0</x:v>
      </x:c>
      <x:c r="X1367" t="str">
        <x:f>IF(E1367&lt;25,"Low &lt; 25",IF(E1367&lt;100,"Medium 25-99",IF(E1367&lt;300,"High 100-299","Premium 300+")))</x:f>
        <x:v>Low &lt; 25</x:v>
      </x:c>
      <x:c r="Y1367" t="n">
        <x:f>IF(C1367="Active",1,0)</x:f>
        <x:v>1</x:v>
      </x:c>
    </x:row>
    <x:row r="1368">
      <x:c r="A1368" t="str">
        <x:v>SKU01367</x:v>
      </x:c>
      <x:c r="B1368" t="str">
        <x:v>Sample Product 01367</x:v>
      </x:c>
      <x:c r="C1368" t="str">
        <x:v>Active</x:v>
      </x:c>
      <x:c r="D1368" t="str">
        <x:v>2026-05</x:v>
      </x:c>
      <x:c r="E1368" s="12" t="n">
        <x:v>269.19</x:v>
      </x:c>
      <x:c r="F1368" s="10" t="n">
        <x:v>0.395</x:v>
      </x:c>
      <x:c r="G1368" t="str">
        <x:v>Nutrition</x:v>
      </x:c>
      <x:c r="H1368" t="str">
        <x:v>Adult Nutrition</x:v>
      </x:c>
      <x:c r="I1368" t="str">
        <x:v>MFG012</x:v>
      </x:c>
      <x:c r="J1368" t="str">
        <x:v>Manufacturer 012</x:v>
      </x:c>
      <x:c r="K1368" t="str">
        <x:v>SUP023</x:v>
      </x:c>
      <x:c r="L1368" t="str">
        <x:v>Supplier 023</x:v>
      </x:c>
      <x:c r="M1368" t="str">
        <x:v>REG-811137</x:v>
      </x:c>
      <x:c r="N1368" t="str">
        <x:v>Generic Ingredient 058</x:v>
      </x:c>
      <x:c r="O1368" t="str">
        <x:v>Pharmacy Only</x:v>
      </x:c>
      <x:c r="P1368" t="n">
        <x:v>51</x:v>
      </x:c>
      <x:c r="Q1368" t="n">
        <x:v>18</x:v>
      </x:c>
      <x:c r="R1368" t="n">
        <x:v>18</x:v>
      </x:c>
      <x:c r="S1368" s="12" t="n">
        <x:f>E1368*Q1368</x:f>
        <x:v>4845.42</x:v>
      </x:c>
      <x:c r="T1368" s="12" t="n">
        <x:f>ROUND(S1368*F1368+0.000000001,2)</x:f>
        <x:v>1913.94</x:v>
      </x:c>
      <x:c r="U1368" s="12" t="n">
        <x:f>E1368*R1368</x:f>
        <x:v>4845.42</x:v>
      </x:c>
      <x:c r="V1368" t="str">
        <x:f>IF(AND(C1368="Active",Q1368=0),"Active Zero Sales","Not Zero Sales")</x:f>
        <x:v>Not Zero Sales</x:v>
      </x:c>
      <x:c r="W1368" s="12" t="n">
        <x:f>IF(V1368="Active Zero Sales",U1368,0)</x:f>
        <x:v>0</x:v>
      </x:c>
      <x:c r="X1368" t="str">
        <x:f>IF(E1368&lt;25,"Low &lt; 25",IF(E1368&lt;100,"Medium 25-99",IF(E1368&lt;300,"High 100-299","Premium 300+")))</x:f>
        <x:v>High 100-299</x:v>
      </x:c>
      <x:c r="Y1368" t="n">
        <x:f>IF(C1368="Active",1,0)</x:f>
        <x:v>1</x:v>
      </x:c>
    </x:row>
    <x:row r="1369">
      <x:c r="A1369" t="str">
        <x:v>SKU01368</x:v>
      </x:c>
      <x:c r="B1369" t="str">
        <x:v>Sample Product 01368</x:v>
      </x:c>
      <x:c r="C1369" t="str">
        <x:v>Active</x:v>
      </x:c>
      <x:c r="D1369" t="str">
        <x:v>2026-05</x:v>
      </x:c>
      <x:c r="E1369" s="12" t="n">
        <x:v>31.5</x:v>
      </x:c>
      <x:c r="F1369" s="10" t="n">
        <x:v>0.409</x:v>
      </x:c>
      <x:c r="G1369" t="str">
        <x:v>Personal Care</x:v>
      </x:c>
      <x:c r="H1369" t="str">
        <x:v>Hygiene</x:v>
      </x:c>
      <x:c r="I1369" t="str">
        <x:v>MFG017</x:v>
      </x:c>
      <x:c r="J1369" t="str">
        <x:v>Manufacturer 017</x:v>
      </x:c>
      <x:c r="K1369" t="str">
        <x:v>SUP009</x:v>
      </x:c>
      <x:c r="L1369" t="str">
        <x:v>Supplier 009</x:v>
      </x:c>
      <x:c r="M1369" t="str">
        <x:v>REG-760735</x:v>
      </x:c>
      <x:c r="N1369" t="str">
        <x:v>Generic Ingredient 107</x:v>
      </x:c>
      <x:c r="O1369" t="str">
        <x:v>General Sale</x:v>
      </x:c>
      <x:c r="P1369" t="n">
        <x:v>68</x:v>
      </x:c>
      <x:c r="Q1369" t="n">
        <x:v>42</x:v>
      </x:c>
      <x:c r="R1369" t="n">
        <x:v>29</x:v>
      </x:c>
      <x:c r="S1369" s="12" t="n">
        <x:f>E1369*Q1369</x:f>
        <x:v>1323</x:v>
      </x:c>
      <x:c r="T1369" s="12" t="n">
        <x:f>ROUND(S1369*F1369+0.000000001,2)</x:f>
        <x:v>541.11</x:v>
      </x:c>
      <x:c r="U1369" s="12" t="n">
        <x:f>E1369*R1369</x:f>
        <x:v>913.5</x:v>
      </x:c>
      <x:c r="V1369" t="str">
        <x:f>IF(AND(C1369="Active",Q1369=0),"Active Zero Sales","Not Zero Sales")</x:f>
        <x:v>Not Zero Sales</x:v>
      </x:c>
      <x:c r="W1369" s="12" t="n">
        <x:f>IF(V1369="Active Zero Sales",U1369,0)</x:f>
        <x:v>0</x:v>
      </x:c>
      <x:c r="X1369" t="str">
        <x:f>IF(E1369&lt;25,"Low &lt; 25",IF(E1369&lt;100,"Medium 25-99",IF(E1369&lt;300,"High 100-299","Premium 300+")))</x:f>
        <x:v>Medium 25-99</x:v>
      </x:c>
      <x:c r="Y1369" t="n">
        <x:f>IF(C1369="Active",1,0)</x:f>
        <x:v>1</x:v>
      </x:c>
    </x:row>
    <x:row r="1370">
      <x:c r="A1370" t="str">
        <x:v>SKU01369</x:v>
      </x:c>
      <x:c r="B1370" t="str">
        <x:v>Sample Product 01369</x:v>
      </x:c>
      <x:c r="C1370" t="str">
        <x:v>Blocked</x:v>
      </x:c>
      <x:c r="D1370" t="str">
        <x:v>2026-03</x:v>
      </x:c>
      <x:c r="E1370" s="12" t="n">
        <x:v>176.04</x:v>
      </x:c>
      <x:c r="F1370" s="10" t="n">
        <x:v>0.319</x:v>
      </x:c>
      <x:c r="G1370" t="str">
        <x:v>Personal Care</x:v>
      </x:c>
      <x:c r="H1370" t="str">
        <x:v>Oral Care</x:v>
      </x:c>
      <x:c r="I1370" t="str">
        <x:v>MFG011</x:v>
      </x:c>
      <x:c r="J1370" t="str">
        <x:v>Manufacturer 011</x:v>
      </x:c>
      <x:c r="K1370" t="str">
        <x:v>SUP008</x:v>
      </x:c>
      <x:c r="L1370" t="str">
        <x:v>Supplier 008</x:v>
      </x:c>
      <x:c r="M1370" t="str">
        <x:v>REG-347746</x:v>
      </x:c>
      <x:c r="N1370" t="str">
        <x:v>Generic Ingredient 006</x:v>
      </x:c>
      <x:c r="O1370" t="str">
        <x:v>General Sale</x:v>
      </x:c>
      <x:c r="P1370" t="n">
        <x:v>45</x:v>
      </x:c>
      <x:c r="Q1370" t="n">
        <x:v>25</x:v>
      </x:c>
      <x:c r="R1370" t="n">
        <x:v>0</x:v>
      </x:c>
      <x:c r="S1370" s="12" t="n">
        <x:f>E1370*Q1370</x:f>
        <x:v>4401</x:v>
      </x:c>
      <x:c r="T1370" s="12" t="n">
        <x:f>ROUND(S1370*F1370+0.000000001,2)</x:f>
        <x:v>1403.92</x:v>
      </x:c>
      <x:c r="U1370" s="12" t="n">
        <x:f>E1370*R1370</x:f>
        <x:v>0</x:v>
      </x:c>
      <x:c r="V1370" t="str">
        <x:f>IF(AND(C1370="Active",Q1370=0),"Active Zero Sales","Not Zero Sales")</x:f>
        <x:v>Not Zero Sales</x:v>
      </x:c>
      <x:c r="W1370" s="12" t="n">
        <x:f>IF(V1370="Active Zero Sales",U1370,0)</x:f>
        <x:v>0</x:v>
      </x:c>
      <x:c r="X1370" t="str">
        <x:f>IF(E1370&lt;25,"Low &lt; 25",IF(E1370&lt;100,"Medium 25-99",IF(E1370&lt;300,"High 100-299","Premium 300+")))</x:f>
        <x:v>High 100-299</x:v>
      </x:c>
      <x:c r="Y1370" t="n">
        <x:f>IF(C1370="Active",1,0)</x:f>
        <x:v>0</x:v>
      </x:c>
    </x:row>
    <x:row r="1371">
      <x:c r="A1371" t="str">
        <x:v>SKU01370</x:v>
      </x:c>
      <x:c r="B1371" t="str">
        <x:v>Sample Product 01370</x:v>
      </x:c>
      <x:c r="C1371" t="str">
        <x:v>Active</x:v>
      </x:c>
      <x:c r="D1371" t="str">
        <x:v>2026-03</x:v>
      </x:c>
      <x:c r="E1371" s="12" t="n">
        <x:v>57.15</x:v>
      </x:c>
      <x:c r="F1371" s="10" t="n">
        <x:v>0.508</x:v>
      </x:c>
      <x:c r="G1371" t="str">
        <x:v>Personal Care</x:v>
      </x:c>
      <x:c r="H1371" t="str">
        <x:v>Hair Care</x:v>
      </x:c>
      <x:c r="I1371" t="str">
        <x:v>MFG015</x:v>
      </x:c>
      <x:c r="J1371" t="str">
        <x:v>Manufacturer 015</x:v>
      </x:c>
      <x:c r="K1371" t="str">
        <x:v>SUP003</x:v>
      </x:c>
      <x:c r="L1371" t="str">
        <x:v>Supplier 003</x:v>
      </x:c>
      <x:c r="M1371" t="str">
        <x:v>REG-920581</x:v>
      </x:c>
      <x:c r="N1371" t="str">
        <x:v>Generic Ingredient 087</x:v>
      </x:c>
      <x:c r="O1371" t="str">
        <x:v>Pharmacy Only</x:v>
      </x:c>
      <x:c r="P1371" t="n">
        <x:v>110</x:v>
      </x:c>
      <x:c r="Q1371" t="n">
        <x:v>56</x:v>
      </x:c>
      <x:c r="R1371" t="n">
        <x:v>13</x:v>
      </x:c>
      <x:c r="S1371" s="12" t="n">
        <x:f>E1371*Q1371</x:f>
        <x:v>3200.4</x:v>
      </x:c>
      <x:c r="T1371" s="12" t="n">
        <x:f>ROUND(S1371*F1371+0.000000001,2)</x:f>
        <x:v>1625.8</x:v>
      </x:c>
      <x:c r="U1371" s="12" t="n">
        <x:f>E1371*R1371</x:f>
        <x:v>742.9499999999999</x:v>
      </x:c>
      <x:c r="V1371" t="str">
        <x:f>IF(AND(C1371="Active",Q1371=0),"Active Zero Sales","Not Zero Sales")</x:f>
        <x:v>Not Zero Sales</x:v>
      </x:c>
      <x:c r="W1371" s="12" t="n">
        <x:f>IF(V1371="Active Zero Sales",U1371,0)</x:f>
        <x:v>0</x:v>
      </x:c>
      <x:c r="X1371" t="str">
        <x:f>IF(E1371&lt;25,"Low &lt; 25",IF(E1371&lt;100,"Medium 25-99",IF(E1371&lt;300,"High 100-299","Premium 300+")))</x:f>
        <x:v>Medium 25-99</x:v>
      </x:c>
      <x:c r="Y1371" t="n">
        <x:f>IF(C1371="Active",1,0)</x:f>
        <x:v>1</x:v>
      </x:c>
    </x:row>
    <x:row r="1372">
      <x:c r="A1372" t="str">
        <x:v>SKU01371</x:v>
      </x:c>
      <x:c r="B1372" t="str">
        <x:v>Sample Product 01371</x:v>
      </x:c>
      <x:c r="C1372" t="str">
        <x:v>Active</x:v>
      </x:c>
      <x:c r="D1372" t="str">
        <x:v>2026-06</x:v>
      </x:c>
      <x:c r="E1372" s="12" t="n">
        <x:v>15.8</x:v>
      </x:c>
      <x:c r="F1372" s="10" t="n">
        <x:v>0.178</x:v>
      </x:c>
      <x:c r="G1372" t="str">
        <x:v>Nutrition</x:v>
      </x:c>
      <x:c r="H1372" t="str">
        <x:v>Sports Nutrition</x:v>
      </x:c>
      <x:c r="I1372" t="str">
        <x:v>MFG012</x:v>
      </x:c>
      <x:c r="J1372" t="str">
        <x:v>Manufacturer 012</x:v>
      </x:c>
      <x:c r="K1372" t="str">
        <x:v>SUP006</x:v>
      </x:c>
      <x:c r="L1372" t="str">
        <x:v>Supplier 006</x:v>
      </x:c>
      <x:c r="M1372" t="str">
        <x:v>REG-567279</x:v>
      </x:c>
      <x:c r="N1372" t="str">
        <x:v>Generic Ingredient 129</x:v>
      </x:c>
      <x:c r="O1372" t="str">
        <x:v>General Sale</x:v>
      </x:c>
      <x:c r="P1372" t="n">
        <x:v>51</x:v>
      </x:c>
      <x:c r="Q1372" t="n">
        <x:v>10</x:v>
      </x:c>
      <x:c r="R1372" t="n">
        <x:v>0</x:v>
      </x:c>
      <x:c r="S1372" s="12" t="n">
        <x:f>E1372*Q1372</x:f>
        <x:v>158</x:v>
      </x:c>
      <x:c r="T1372" s="12" t="n">
        <x:f>ROUND(S1372*F1372+0.000000001,2)</x:f>
        <x:v>28.12</x:v>
      </x:c>
      <x:c r="U1372" s="12" t="n">
        <x:f>E1372*R1372</x:f>
        <x:v>0</x:v>
      </x:c>
      <x:c r="V1372" t="str">
        <x:f>IF(AND(C1372="Active",Q1372=0),"Active Zero Sales","Not Zero Sales")</x:f>
        <x:v>Not Zero Sales</x:v>
      </x:c>
      <x:c r="W1372" s="12" t="n">
        <x:f>IF(V1372="Active Zero Sales",U1372,0)</x:f>
        <x:v>0</x:v>
      </x:c>
      <x:c r="X1372" t="str">
        <x:f>IF(E1372&lt;25,"Low &lt; 25",IF(E1372&lt;100,"Medium 25-99",IF(E1372&lt;300,"High 100-299","Premium 300+")))</x:f>
        <x:v>Low &lt; 25</x:v>
      </x:c>
      <x:c r="Y1372" t="n">
        <x:f>IF(C1372="Active",1,0)</x:f>
        <x:v>1</x:v>
      </x:c>
    </x:row>
    <x:row r="1373">
      <x:c r="A1373" t="str">
        <x:v>SKU01372</x:v>
      </x:c>
      <x:c r="B1373" t="str">
        <x:v>Sample Product 01372</x:v>
      </x:c>
      <x:c r="C1373" t="str">
        <x:v>Active</x:v>
      </x:c>
      <x:c r="D1373" t="str">
        <x:v>2026-05</x:v>
      </x:c>
      <x:c r="E1373" s="12" t="n">
        <x:v>37.88</x:v>
      </x:c>
      <x:c r="F1373" s="10" t="n">
        <x:v>0.251</x:v>
      </x:c>
      <x:c r="G1373" t="str">
        <x:v>Medical Devices</x:v>
      </x:c>
      <x:c r="H1373" t="str">
        <x:v>Mobility Aids</x:v>
      </x:c>
      <x:c r="I1373" t="str">
        <x:v>MFG004</x:v>
      </x:c>
      <x:c r="J1373" t="str">
        <x:v>Manufacturer 004</x:v>
      </x:c>
      <x:c r="K1373" t="str">
        <x:v>SUP011</x:v>
      </x:c>
      <x:c r="L1373" t="str">
        <x:v>Supplier 011</x:v>
      </x:c>
      <x:c r="M1373" t="str">
        <x:v>REG-330127</x:v>
      </x:c>
      <x:c r="N1373" t="str">
        <x:v>Generic Ingredient 008</x:v>
      </x:c>
      <x:c r="O1373" t="str">
        <x:v>Pharmacy Only</x:v>
      </x:c>
      <x:c r="P1373" t="n">
        <x:v>87</x:v>
      </x:c>
      <x:c r="Q1373" t="n">
        <x:v>32</x:v>
      </x:c>
      <x:c r="R1373" t="n">
        <x:v>9</x:v>
      </x:c>
      <x:c r="S1373" s="12" t="n">
        <x:f>E1373*Q1373</x:f>
        <x:v>1212.16</x:v>
      </x:c>
      <x:c r="T1373" s="12" t="n">
        <x:f>ROUND(S1373*F1373+0.000000001,2)</x:f>
        <x:v>304.25</x:v>
      </x:c>
      <x:c r="U1373" s="12" t="n">
        <x:f>E1373*R1373</x:f>
        <x:v>340.92</x:v>
      </x:c>
      <x:c r="V1373" t="str">
        <x:f>IF(AND(C1373="Active",Q1373=0),"Active Zero Sales","Not Zero Sales")</x:f>
        <x:v>Not Zero Sales</x:v>
      </x:c>
      <x:c r="W1373" s="12" t="n">
        <x:f>IF(V1373="Active Zero Sales",U1373,0)</x:f>
        <x:v>0</x:v>
      </x:c>
      <x:c r="X1373" t="str">
        <x:f>IF(E1373&lt;25,"Low &lt; 25",IF(E1373&lt;100,"Medium 25-99",IF(E1373&lt;300,"High 100-299","Premium 300+")))</x:f>
        <x:v>Medium 25-99</x:v>
      </x:c>
      <x:c r="Y1373" t="n">
        <x:f>IF(C1373="Active",1,0)</x:f>
        <x:v>1</x:v>
      </x:c>
    </x:row>
    <x:row r="1374">
      <x:c r="A1374" t="str">
        <x:v>SKU01373</x:v>
      </x:c>
      <x:c r="B1374" t="str">
        <x:v>Sample Product 01373</x:v>
      </x:c>
      <x:c r="C1374" t="str">
        <x:v>Active</x:v>
      </x:c>
      <x:c r="D1374" t="str">
        <x:v>2026-05</x:v>
      </x:c>
      <x:c r="E1374" s="12" t="n">
        <x:v>209.81</x:v>
      </x:c>
      <x:c r="F1374" s="10" t="n">
        <x:v>0.415</x:v>
      </x:c>
      <x:c r="G1374" t="str">
        <x:v>Nutrition</x:v>
      </x:c>
      <x:c r="H1374" t="str">
        <x:v>Hydration</x:v>
      </x:c>
      <x:c r="I1374" t="str">
        <x:v>MFG011</x:v>
      </x:c>
      <x:c r="J1374" t="str">
        <x:v>Manufacturer 011</x:v>
      </x:c>
      <x:c r="K1374" t="str">
        <x:v>SUP026</x:v>
      </x:c>
      <x:c r="L1374" t="str">
        <x:v>Supplier 026</x:v>
      </x:c>
      <x:c r="M1374" t="str">
        <x:v>REG-874702</x:v>
      </x:c>
      <x:c r="N1374" t="str">
        <x:v>Generic Ingredient 104</x:v>
      </x:c>
      <x:c r="O1374" t="str">
        <x:v>General Sale</x:v>
      </x:c>
      <x:c r="P1374" t="n">
        <x:v>17</x:v>
      </x:c>
      <x:c r="Q1374" t="n">
        <x:v>20</x:v>
      </x:c>
      <x:c r="R1374" t="n">
        <x:v>0</x:v>
      </x:c>
      <x:c r="S1374" s="12" t="n">
        <x:f>E1374*Q1374</x:f>
        <x:v>4196.2</x:v>
      </x:c>
      <x:c r="T1374" s="12" t="n">
        <x:f>ROUND(S1374*F1374+0.000000001,2)</x:f>
        <x:v>1741.42</x:v>
      </x:c>
      <x:c r="U1374" s="12" t="n">
        <x:f>E1374*R1374</x:f>
        <x:v>0</x:v>
      </x:c>
      <x:c r="V1374" t="str">
        <x:f>IF(AND(C1374="Active",Q1374=0),"Active Zero Sales","Not Zero Sales")</x:f>
        <x:v>Not Zero Sales</x:v>
      </x:c>
      <x:c r="W1374" s="12" t="n">
        <x:f>IF(V1374="Active Zero Sales",U1374,0)</x:f>
        <x:v>0</x:v>
      </x:c>
      <x:c r="X1374" t="str">
        <x:f>IF(E1374&lt;25,"Low &lt; 25",IF(E1374&lt;100,"Medium 25-99",IF(E1374&lt;300,"High 100-299","Premium 300+")))</x:f>
        <x:v>High 100-299</x:v>
      </x:c>
      <x:c r="Y1374" t="n">
        <x:f>IF(C1374="Active",1,0)</x:f>
        <x:v>1</x:v>
      </x:c>
    </x:row>
    <x:row r="1375">
      <x:c r="A1375" t="str">
        <x:v>SKU01374</x:v>
      </x:c>
      <x:c r="B1375" t="str">
        <x:v>Sample Product 01374</x:v>
      </x:c>
      <x:c r="C1375" t="str">
        <x:v>Active</x:v>
      </x:c>
      <x:c r="D1375" t="str">
        <x:v>2026-04</x:v>
      </x:c>
      <x:c r="E1375" s="12" t="n">
        <x:v>552</x:v>
      </x:c>
      <x:c r="F1375" s="10" t="n">
        <x:v>0.242</x:v>
      </x:c>
      <x:c r="G1375" t="str">
        <x:v>Personal Care</x:v>
      </x:c>
      <x:c r="H1375" t="str">
        <x:v>Hygiene</x:v>
      </x:c>
      <x:c r="I1375" t="str">
        <x:v>MFG014</x:v>
      </x:c>
      <x:c r="J1375" t="str">
        <x:v>Manufacturer 014</x:v>
      </x:c>
      <x:c r="K1375" t="str">
        <x:v>SUP025</x:v>
      </x:c>
      <x:c r="L1375" t="str">
        <x:v>Supplier 025</x:v>
      </x:c>
      <x:c r="M1375" t="str">
        <x:v>REG-288753</x:v>
      </x:c>
      <x:c r="N1375" t="str">
        <x:v>Generic Ingredient 102</x:v>
      </x:c>
      <x:c r="O1375" t="str">
        <x:v>General Sale</x:v>
      </x:c>
      <x:c r="P1375" t="n">
        <x:v>68</x:v>
      </x:c>
      <x:c r="Q1375" t="n">
        <x:v>58</x:v>
      </x:c>
      <x:c r="R1375" t="n">
        <x:v>0</x:v>
      </x:c>
      <x:c r="S1375" s="12" t="n">
        <x:f>E1375*Q1375</x:f>
        <x:v>32016</x:v>
      </x:c>
      <x:c r="T1375" s="12" t="n">
        <x:f>ROUND(S1375*F1375+0.000000001,2)</x:f>
        <x:v>7747.87</x:v>
      </x:c>
      <x:c r="U1375" s="12" t="n">
        <x:f>E1375*R1375</x:f>
        <x:v>0</x:v>
      </x:c>
      <x:c r="V1375" t="str">
        <x:f>IF(AND(C1375="Active",Q1375=0),"Active Zero Sales","Not Zero Sales")</x:f>
        <x:v>Not Zero Sales</x:v>
      </x:c>
      <x:c r="W1375" s="12" t="n">
        <x:f>IF(V1375="Active Zero Sales",U1375,0)</x:f>
        <x:v>0</x:v>
      </x:c>
      <x:c r="X1375" t="str">
        <x:f>IF(E1375&lt;25,"Low &lt; 25",IF(E1375&lt;100,"Medium 25-99",IF(E1375&lt;300,"High 100-299","Premium 300+")))</x:f>
        <x:v>Premium 300+</x:v>
      </x:c>
      <x:c r="Y1375" t="n">
        <x:f>IF(C1375="Active",1,0)</x:f>
        <x:v>1</x:v>
      </x:c>
    </x:row>
    <x:row r="1376">
      <x:c r="A1376" t="str">
        <x:v>SKU01375</x:v>
      </x:c>
      <x:c r="B1376" t="str">
        <x:v>Sample Product 01375</x:v>
      </x:c>
      <x:c r="C1376" t="str">
        <x:v>Active</x:v>
      </x:c>
      <x:c r="D1376" t="str">
        <x:v>2026-02</x:v>
      </x:c>
      <x:c r="E1376" s="12" t="n">
        <x:v>237.63</x:v>
      </x:c>
      <x:c r="F1376" s="10" t="n">
        <x:v>0.294</x:v>
      </x:c>
      <x:c r="G1376" t="str">
        <x:v>Medical Devices</x:v>
      </x:c>
      <x:c r="H1376" t="str">
        <x:v>First Aid</x:v>
      </x:c>
      <x:c r="I1376" t="str">
        <x:v>MFG019</x:v>
      </x:c>
      <x:c r="J1376" t="str">
        <x:v>Manufacturer 019</x:v>
      </x:c>
      <x:c r="K1376" t="str">
        <x:v>SUP003</x:v>
      </x:c>
      <x:c r="L1376" t="str">
        <x:v>Supplier 003</x:v>
      </x:c>
      <x:c r="M1376" t="str">
        <x:v>REG-971651</x:v>
      </x:c>
      <x:c r="N1376" t="str">
        <x:v>Generic Ingredient 028</x:v>
      </x:c>
      <x:c r="O1376" t="str">
        <x:v>General Sale</x:v>
      </x:c>
      <x:c r="P1376" t="n">
        <x:v>74</x:v>
      </x:c>
      <x:c r="Q1376" t="n">
        <x:v>0</x:v>
      </x:c>
      <x:c r="R1376" t="n">
        <x:v>28</x:v>
      </x:c>
      <x:c r="S1376" s="12" t="n">
        <x:f>E1376*Q1376</x:f>
        <x:v>0</x:v>
      </x:c>
      <x:c r="T1376" s="12" t="n">
        <x:f>ROUND(S1376*F1376+0.000000001,2)</x:f>
        <x:v>0</x:v>
      </x:c>
      <x:c r="U1376" s="12" t="n">
        <x:f>E1376*R1376</x:f>
        <x:v>6653.639999999999</x:v>
      </x:c>
      <x:c r="V1376" t="str">
        <x:f>IF(AND(C1376="Active",Q1376=0),"Active Zero Sales","Not Zero Sales")</x:f>
        <x:v>Active Zero Sales</x:v>
      </x:c>
      <x:c r="W1376" s="12" t="n">
        <x:f>IF(V1376="Active Zero Sales",U1376,0)</x:f>
        <x:v>6653.639999999999</x:v>
      </x:c>
      <x:c r="X1376" t="str">
        <x:f>IF(E1376&lt;25,"Low &lt; 25",IF(E1376&lt;100,"Medium 25-99",IF(E1376&lt;300,"High 100-299","Premium 300+")))</x:f>
        <x:v>High 100-299</x:v>
      </x:c>
      <x:c r="Y1376" t="n">
        <x:f>IF(C1376="Active",1,0)</x:f>
        <x:v>1</x:v>
      </x:c>
    </x:row>
    <x:row r="1377">
      <x:c r="A1377" t="str">
        <x:v>SKU01376</x:v>
      </x:c>
      <x:c r="B1377" t="str">
        <x:v>Sample Product 01376</x:v>
      </x:c>
      <x:c r="C1377" t="str">
        <x:v>Active</x:v>
      </x:c>
      <x:c r="D1377" t="str">
        <x:v>2026-03</x:v>
      </x:c>
      <x:c r="E1377" s="12" t="n">
        <x:v>56.75</x:v>
      </x:c>
      <x:c r="F1377" s="10" t="n">
        <x:v>0.289</x:v>
      </x:c>
      <x:c r="G1377" t="str">
        <x:v>Medical Devices</x:v>
      </x:c>
      <x:c r="H1377" t="str">
        <x:v>First Aid</x:v>
      </x:c>
      <x:c r="I1377" t="str">
        <x:v>MFG010</x:v>
      </x:c>
      <x:c r="J1377" t="str">
        <x:v>Manufacturer 010</x:v>
      </x:c>
      <x:c r="K1377" t="str">
        <x:v>SUP023</x:v>
      </x:c>
      <x:c r="L1377" t="str">
        <x:v>Supplier 023</x:v>
      </x:c>
      <x:c r="M1377" t="str">
        <x:v>REG-932929</x:v>
      </x:c>
      <x:c r="N1377" t="str">
        <x:v>Generic Ingredient 108</x:v>
      </x:c>
      <x:c r="O1377" t="str">
        <x:v>General Sale</x:v>
      </x:c>
      <x:c r="P1377" t="n">
        <x:v>105</x:v>
      </x:c>
      <x:c r="Q1377" t="n">
        <x:v>47</x:v>
      </x:c>
      <x:c r="R1377" t="n">
        <x:v>8</x:v>
      </x:c>
      <x:c r="S1377" s="12" t="n">
        <x:f>E1377*Q1377</x:f>
        <x:v>2667.25</x:v>
      </x:c>
      <x:c r="T1377" s="12" t="n">
        <x:f>ROUND(S1377*F1377+0.000000001,2)</x:f>
        <x:v>770.84</x:v>
      </x:c>
      <x:c r="U1377" s="12" t="n">
        <x:f>E1377*R1377</x:f>
        <x:v>454</x:v>
      </x:c>
      <x:c r="V1377" t="str">
        <x:f>IF(AND(C1377="Active",Q1377=0),"Active Zero Sales","Not Zero Sales")</x:f>
        <x:v>Not Zero Sales</x:v>
      </x:c>
      <x:c r="W1377" s="12" t="n">
        <x:f>IF(V1377="Active Zero Sales",U1377,0)</x:f>
        <x:v>0</x:v>
      </x:c>
      <x:c r="X1377" t="str">
        <x:f>IF(E1377&lt;25,"Low &lt; 25",IF(E1377&lt;100,"Medium 25-99",IF(E1377&lt;300,"High 100-299","Premium 300+")))</x:f>
        <x:v>Medium 25-99</x:v>
      </x:c>
      <x:c r="Y1377" t="n">
        <x:f>IF(C1377="Active",1,0)</x:f>
        <x:v>1</x:v>
      </x:c>
    </x:row>
    <x:row r="1378">
      <x:c r="A1378" t="str">
        <x:v>SKU01377</x:v>
      </x:c>
      <x:c r="B1378" t="str">
        <x:v>Sample Product 01377</x:v>
      </x:c>
      <x:c r="C1378" t="str">
        <x:v>Active</x:v>
      </x:c>
      <x:c r="D1378" t="str">
        <x:v>2026-02</x:v>
      </x:c>
      <x:c r="E1378" s="12" t="n">
        <x:v>19.32</x:v>
      </x:c>
      <x:c r="F1378" s="10" t="n">
        <x:v>0.239</x:v>
      </x:c>
      <x:c r="G1378" t="str">
        <x:v>Nutrition</x:v>
      </x:c>
      <x:c r="H1378" t="str">
        <x:v>Sports Nutrition</x:v>
      </x:c>
      <x:c r="I1378" t="str">
        <x:v>MFG012</x:v>
      </x:c>
      <x:c r="J1378" t="str">
        <x:v>Manufacturer 012</x:v>
      </x:c>
      <x:c r="K1378" t="str">
        <x:v>SUP030</x:v>
      </x:c>
      <x:c r="L1378" t="str">
        <x:v>Supplier 030</x:v>
      </x:c>
      <x:c r="M1378" t="str">
        <x:v>REG-521722</x:v>
      </x:c>
      <x:c r="N1378" t="str">
        <x:v>Generic Ingredient 107</x:v>
      </x:c>
      <x:c r="O1378" t="str">
        <x:v>General Sale</x:v>
      </x:c>
      <x:c r="P1378" t="n">
        <x:v>10</x:v>
      </x:c>
      <x:c r="Q1378" t="n">
        <x:v>7</x:v>
      </x:c>
      <x:c r="R1378" t="n">
        <x:v>13</x:v>
      </x:c>
      <x:c r="S1378" s="12" t="n">
        <x:f>E1378*Q1378</x:f>
        <x:v>135.24</x:v>
      </x:c>
      <x:c r="T1378" s="12" t="n">
        <x:f>ROUND(S1378*F1378+0.000000001,2)</x:f>
        <x:v>32.32</x:v>
      </x:c>
      <x:c r="U1378" s="12" t="n">
        <x:f>E1378*R1378</x:f>
        <x:v>251.16</x:v>
      </x:c>
      <x:c r="V1378" t="str">
        <x:f>IF(AND(C1378="Active",Q1378=0),"Active Zero Sales","Not Zero Sales")</x:f>
        <x:v>Not Zero Sales</x:v>
      </x:c>
      <x:c r="W1378" s="12" t="n">
        <x:f>IF(V1378="Active Zero Sales",U1378,0)</x:f>
        <x:v>0</x:v>
      </x:c>
      <x:c r="X1378" t="str">
        <x:f>IF(E1378&lt;25,"Low &lt; 25",IF(E1378&lt;100,"Medium 25-99",IF(E1378&lt;300,"High 100-299","Premium 300+")))</x:f>
        <x:v>Low &lt; 25</x:v>
      </x:c>
      <x:c r="Y1378" t="n">
        <x:f>IF(C1378="Active",1,0)</x:f>
        <x:v>1</x:v>
      </x:c>
    </x:row>
    <x:row r="1379">
      <x:c r="A1379" t="str">
        <x:v>SKU01378</x:v>
      </x:c>
      <x:c r="B1379" t="str">
        <x:v>Sample Product 01378</x:v>
      </x:c>
      <x:c r="C1379" t="str">
        <x:v>Blocked</x:v>
      </x:c>
      <x:c r="D1379" t="str">
        <x:v>2026-03</x:v>
      </x:c>
      <x:c r="E1379" s="12" t="n">
        <x:v>91.67</x:v>
      </x:c>
      <x:c r="F1379" s="10" t="n">
        <x:v>0.32</x:v>
      </x:c>
      <x:c r="G1379" t="str">
        <x:v>Personal Care</x:v>
      </x:c>
      <x:c r="H1379" t="str">
        <x:v>Skin Care</x:v>
      </x:c>
      <x:c r="I1379" t="str">
        <x:v>MFG010</x:v>
      </x:c>
      <x:c r="J1379" t="str">
        <x:v>Manufacturer 010</x:v>
      </x:c>
      <x:c r="K1379" t="str">
        <x:v>SUP003</x:v>
      </x:c>
      <x:c r="L1379" t="str">
        <x:v>Supplier 003</x:v>
      </x:c>
      <x:c r="M1379" t="str">
        <x:v>REG-931423</x:v>
      </x:c>
      <x:c r="N1379" t="str">
        <x:v>Generic Ingredient 095</x:v>
      </x:c>
      <x:c r="O1379" t="str">
        <x:v>Pharmacy Only</x:v>
      </x:c>
      <x:c r="P1379" t="n">
        <x:v>0</x:v>
      </x:c>
      <x:c r="Q1379" t="n">
        <x:v>0</x:v>
      </x:c>
      <x:c r="R1379" t="n">
        <x:v>0</x:v>
      </x:c>
      <x:c r="S1379" s="12" t="n">
        <x:f>E1379*Q1379</x:f>
        <x:v>0</x:v>
      </x:c>
      <x:c r="T1379" s="12" t="n">
        <x:f>ROUND(S1379*F1379+0.000000001,2)</x:f>
        <x:v>0</x:v>
      </x:c>
      <x:c r="U1379" s="12" t="n">
        <x:f>E1379*R1379</x:f>
        <x:v>0</x:v>
      </x:c>
      <x:c r="V1379" t="str">
        <x:f>IF(AND(C1379="Active",Q1379=0),"Active Zero Sales","Not Zero Sales")</x:f>
        <x:v>Not Zero Sales</x:v>
      </x:c>
      <x:c r="W1379" s="12" t="n">
        <x:f>IF(V1379="Active Zero Sales",U1379,0)</x:f>
        <x:v>0</x:v>
      </x:c>
      <x:c r="X1379" t="str">
        <x:f>IF(E1379&lt;25,"Low &lt; 25",IF(E1379&lt;100,"Medium 25-99",IF(E1379&lt;300,"High 100-299","Premium 300+")))</x:f>
        <x:v>Medium 25-99</x:v>
      </x:c>
      <x:c r="Y1379" t="n">
        <x:f>IF(C1379="Active",1,0)</x:f>
        <x:v>0</x:v>
      </x:c>
    </x:row>
    <x:row r="1380">
      <x:c r="A1380" t="str">
        <x:v>SKU01379</x:v>
      </x:c>
      <x:c r="B1380" t="str">
        <x:v>Sample Product 01379</x:v>
      </x:c>
      <x:c r="C1380" t="str">
        <x:v>Active</x:v>
      </x:c>
      <x:c r="D1380" t="str">
        <x:v>2026-01</x:v>
      </x:c>
      <x:c r="E1380" s="12" t="n">
        <x:v>54.99</x:v>
      </x:c>
      <x:c r="F1380" s="10" t="n">
        <x:v>0.414</x:v>
      </x:c>
      <x:c r="G1380" t="str">
        <x:v>General Merchandise</x:v>
      </x:c>
      <x:c r="H1380" t="str">
        <x:v>Accessories</x:v>
      </x:c>
      <x:c r="I1380" t="str">
        <x:v>MFG015</x:v>
      </x:c>
      <x:c r="J1380" t="str">
        <x:v>Manufacturer 015</x:v>
      </x:c>
      <x:c r="K1380" t="str">
        <x:v>SUP024</x:v>
      </x:c>
      <x:c r="L1380" t="str">
        <x:v>Supplier 024</x:v>
      </x:c>
      <x:c r="M1380" t="str">
        <x:v>REG-572823</x:v>
      </x:c>
      <x:c r="N1380" t="str">
        <x:v>Generic Ingredient 062</x:v>
      </x:c>
      <x:c r="O1380" t="str">
        <x:v>Pharmacy Only</x:v>
      </x:c>
      <x:c r="P1380" t="n">
        <x:v>104</x:v>
      </x:c>
      <x:c r="Q1380" t="n">
        <x:v>53</x:v>
      </x:c>
      <x:c r="R1380" t="n">
        <x:v>16</x:v>
      </x:c>
      <x:c r="S1380" s="12" t="n">
        <x:f>E1380*Q1380</x:f>
        <x:v>2914.4700000000003</x:v>
      </x:c>
      <x:c r="T1380" s="12" t="n">
        <x:f>ROUND(S1380*F1380+0.000000001,2)</x:f>
        <x:v>1206.59</x:v>
      </x:c>
      <x:c r="U1380" s="12" t="n">
        <x:f>E1380*R1380</x:f>
        <x:v>879.84</x:v>
      </x:c>
      <x:c r="V1380" t="str">
        <x:f>IF(AND(C1380="Active",Q1380=0),"Active Zero Sales","Not Zero Sales")</x:f>
        <x:v>Not Zero Sales</x:v>
      </x:c>
      <x:c r="W1380" s="12" t="n">
        <x:f>IF(V1380="Active Zero Sales",U1380,0)</x:f>
        <x:v>0</x:v>
      </x:c>
      <x:c r="X1380" t="str">
        <x:f>IF(E1380&lt;25,"Low &lt; 25",IF(E1380&lt;100,"Medium 25-99",IF(E1380&lt;300,"High 100-299","Premium 300+")))</x:f>
        <x:v>Medium 25-99</x:v>
      </x:c>
      <x:c r="Y1380" t="n">
        <x:f>IF(C1380="Active",1,0)</x:f>
        <x:v>1</x:v>
      </x:c>
    </x:row>
    <x:row r="1381">
      <x:c r="A1381" t="str">
        <x:v>SKU01380</x:v>
      </x:c>
      <x:c r="B1381" t="str">
        <x:v>Sample Product 01380</x:v>
      </x:c>
      <x:c r="C1381" t="str">
        <x:v>Blocked</x:v>
      </x:c>
      <x:c r="D1381" t="str">
        <x:v>2026-04</x:v>
      </x:c>
      <x:c r="E1381" s="12" t="n">
        <x:v>35.98</x:v>
      </x:c>
      <x:c r="F1381" s="10" t="n">
        <x:v>0.284</x:v>
      </x:c>
      <x:c r="G1381" t="str">
        <x:v>Medical Devices</x:v>
      </x:c>
      <x:c r="H1381" t="str">
        <x:v>Home Diagnostics</x:v>
      </x:c>
      <x:c r="I1381" t="str">
        <x:v>MFG003</x:v>
      </x:c>
      <x:c r="J1381" t="str">
        <x:v>Manufacturer 003</x:v>
      </x:c>
      <x:c r="K1381" t="str">
        <x:v>SUP003</x:v>
      </x:c>
      <x:c r="L1381" t="str">
        <x:v>Supplier 003</x:v>
      </x:c>
      <x:c r="M1381" t="str">
        <x:v>REG-345247</x:v>
      </x:c>
      <x:c r="N1381" t="str">
        <x:v>Generic Ingredient 167</x:v>
      </x:c>
      <x:c r="O1381" t="str">
        <x:v>General Sale</x:v>
      </x:c>
      <x:c r="P1381" t="n">
        <x:v>48</x:v>
      </x:c>
      <x:c r="Q1381" t="n">
        <x:v>11</x:v>
      </x:c>
      <x:c r="R1381" t="n">
        <x:v>0</x:v>
      </x:c>
      <x:c r="S1381" s="12" t="n">
        <x:f>E1381*Q1381</x:f>
        <x:v>395.78</x:v>
      </x:c>
      <x:c r="T1381" s="12" t="n">
        <x:f>ROUND(S1381*F1381+0.000000001,2)</x:f>
        <x:v>112.4</x:v>
      </x:c>
      <x:c r="U1381" s="12" t="n">
        <x:f>E1381*R1381</x:f>
        <x:v>0</x:v>
      </x:c>
      <x:c r="V1381" t="str">
        <x:f>IF(AND(C1381="Active",Q1381=0),"Active Zero Sales","Not Zero Sales")</x:f>
        <x:v>Not Zero Sales</x:v>
      </x:c>
      <x:c r="W1381" s="12" t="n">
        <x:f>IF(V1381="Active Zero Sales",U1381,0)</x:f>
        <x:v>0</x:v>
      </x:c>
      <x:c r="X1381" t="str">
        <x:f>IF(E1381&lt;25,"Low &lt; 25",IF(E1381&lt;100,"Medium 25-99",IF(E1381&lt;300,"High 100-299","Premium 300+")))</x:f>
        <x:v>Medium 25-99</x:v>
      </x:c>
      <x:c r="Y1381" t="n">
        <x:f>IF(C1381="Active",1,0)</x:f>
        <x:v>0</x:v>
      </x:c>
    </x:row>
    <x:row r="1382">
      <x:c r="A1382" t="str">
        <x:v>SKU01381</x:v>
      </x:c>
      <x:c r="B1382" t="str">
        <x:v>Sample Product 01381</x:v>
      </x:c>
      <x:c r="C1382" t="str">
        <x:v>Active</x:v>
      </x:c>
      <x:c r="D1382" t="str">
        <x:v>2026-03</x:v>
      </x:c>
      <x:c r="E1382" s="12" t="n">
        <x:v>395.93</x:v>
      </x:c>
      <x:c r="F1382" s="10" t="n">
        <x:v>0.27</x:v>
      </x:c>
      <x:c r="G1382" t="str">
        <x:v>OTC &amp; Wellness</x:v>
      </x:c>
      <x:c r="H1382" t="str">
        <x:v>Pain Relief</x:v>
      </x:c>
      <x:c r="I1382" t="str">
        <x:v>MFG008</x:v>
      </x:c>
      <x:c r="J1382" t="str">
        <x:v>Manufacturer 008</x:v>
      </x:c>
      <x:c r="K1382" t="str">
        <x:v>SUP008</x:v>
      </x:c>
      <x:c r="L1382" t="str">
        <x:v>Supplier 008</x:v>
      </x:c>
      <x:c r="M1382" t="str">
        <x:v>REG-137768</x:v>
      </x:c>
      <x:c r="N1382" t="str">
        <x:v>Generic Ingredient 119</x:v>
      </x:c>
      <x:c r="O1382" t="str">
        <x:v>General Sale</x:v>
      </x:c>
      <x:c r="P1382" t="n">
        <x:v>23</x:v>
      </x:c>
      <x:c r="Q1382" t="n">
        <x:v>25</x:v>
      </x:c>
      <x:c r="R1382" t="n">
        <x:v>7</x:v>
      </x:c>
      <x:c r="S1382" s="12" t="n">
        <x:f>E1382*Q1382</x:f>
        <x:v>9898.25</x:v>
      </x:c>
      <x:c r="T1382" s="12" t="n">
        <x:f>ROUND(S1382*F1382+0.000000001,2)</x:f>
        <x:v>2672.53</x:v>
      </x:c>
      <x:c r="U1382" s="12" t="n">
        <x:f>E1382*R1382</x:f>
        <x:v>2771.51</x:v>
      </x:c>
      <x:c r="V1382" t="str">
        <x:f>IF(AND(C1382="Active",Q1382=0),"Active Zero Sales","Not Zero Sales")</x:f>
        <x:v>Not Zero Sales</x:v>
      </x:c>
      <x:c r="W1382" s="12" t="n">
        <x:f>IF(V1382="Active Zero Sales",U1382,0)</x:f>
        <x:v>0</x:v>
      </x:c>
      <x:c r="X1382" t="str">
        <x:f>IF(E1382&lt;25,"Low &lt; 25",IF(E1382&lt;100,"Medium 25-99",IF(E1382&lt;300,"High 100-299","Premium 300+")))</x:f>
        <x:v>Premium 300+</x:v>
      </x:c>
      <x:c r="Y1382" t="n">
        <x:f>IF(C1382="Active",1,0)</x:f>
        <x:v>1</x:v>
      </x:c>
    </x:row>
    <x:row r="1383">
      <x:c r="A1383" t="str">
        <x:v>SKU01382</x:v>
      </x:c>
      <x:c r="B1383" t="str">
        <x:v>Sample Product 01382</x:v>
      </x:c>
      <x:c r="C1383" t="str">
        <x:v>Active</x:v>
      </x:c>
      <x:c r="D1383" t="str">
        <x:v>2026-03</x:v>
      </x:c>
      <x:c r="E1383" s="12" t="n">
        <x:v>36.93</x:v>
      </x:c>
      <x:c r="F1383" s="10" t="n">
        <x:v>0.418</x:v>
      </x:c>
      <x:c r="G1383" t="str">
        <x:v>OTC &amp; Wellness</x:v>
      </x:c>
      <x:c r="H1383" t="str">
        <x:v>Cold &amp; Allergy</x:v>
      </x:c>
      <x:c r="I1383" t="str">
        <x:v>MFG003</x:v>
      </x:c>
      <x:c r="J1383" t="str">
        <x:v>Manufacturer 003</x:v>
      </x:c>
      <x:c r="K1383" t="str">
        <x:v>SUP004</x:v>
      </x:c>
      <x:c r="L1383" t="str">
        <x:v>Supplier 004</x:v>
      </x:c>
      <x:c r="M1383" t="str">
        <x:v>REG-467626</x:v>
      </x:c>
      <x:c r="N1383" t="str">
        <x:v>Generic Ingredient 178</x:v>
      </x:c>
      <x:c r="O1383" t="str">
        <x:v>General Sale</x:v>
      </x:c>
      <x:c r="P1383" t="n">
        <x:v>14</x:v>
      </x:c>
      <x:c r="Q1383" t="n">
        <x:v>11</x:v>
      </x:c>
      <x:c r="R1383" t="n">
        <x:v>0</x:v>
      </x:c>
      <x:c r="S1383" s="12" t="n">
        <x:f>E1383*Q1383</x:f>
        <x:v>406.23</x:v>
      </x:c>
      <x:c r="T1383" s="12" t="n">
        <x:f>ROUND(S1383*F1383+0.000000001,2)</x:f>
        <x:v>169.8</x:v>
      </x:c>
      <x:c r="U1383" s="12" t="n">
        <x:f>E1383*R1383</x:f>
        <x:v>0</x:v>
      </x:c>
      <x:c r="V1383" t="str">
        <x:f>IF(AND(C1383="Active",Q1383=0),"Active Zero Sales","Not Zero Sales")</x:f>
        <x:v>Not Zero Sales</x:v>
      </x:c>
      <x:c r="W1383" s="12" t="n">
        <x:f>IF(V1383="Active Zero Sales",U1383,0)</x:f>
        <x:v>0</x:v>
      </x:c>
      <x:c r="X1383" t="str">
        <x:f>IF(E1383&lt;25,"Low &lt; 25",IF(E1383&lt;100,"Medium 25-99",IF(E1383&lt;300,"High 100-299","Premium 300+")))</x:f>
        <x:v>Medium 25-99</x:v>
      </x:c>
      <x:c r="Y1383" t="n">
        <x:f>IF(C1383="Active",1,0)</x:f>
        <x:v>1</x:v>
      </x:c>
    </x:row>
    <x:row r="1384">
      <x:c r="A1384" t="str">
        <x:v>SKU01383</x:v>
      </x:c>
      <x:c r="B1384" t="str">
        <x:v>Sample Product 01383</x:v>
      </x:c>
      <x:c r="C1384" t="str">
        <x:v>Active</x:v>
      </x:c>
      <x:c r="D1384" t="str">
        <x:v>2026-01</x:v>
      </x:c>
      <x:c r="E1384" s="12" t="n">
        <x:v>78.09</x:v>
      </x:c>
      <x:c r="F1384" s="10" t="n">
        <x:v>0.419</x:v>
      </x:c>
      <x:c r="G1384" t="str">
        <x:v>Personal Care</x:v>
      </x:c>
      <x:c r="H1384" t="str">
        <x:v>Oral Care</x:v>
      </x:c>
      <x:c r="I1384" t="str">
        <x:v>MFG007</x:v>
      </x:c>
      <x:c r="J1384" t="str">
        <x:v>Manufacturer 007</x:v>
      </x:c>
      <x:c r="K1384" t="str">
        <x:v>SUP027</x:v>
      </x:c>
      <x:c r="L1384" t="str">
        <x:v>Supplier 027</x:v>
      </x:c>
      <x:c r="M1384" t="str">
        <x:v>REG-402783</x:v>
      </x:c>
      <x:c r="N1384" t="str">
        <x:v>Generic Ingredient 158</x:v>
      </x:c>
      <x:c r="O1384" t="str">
        <x:v>General Sale</x:v>
      </x:c>
      <x:c r="P1384" t="n">
        <x:v>49</x:v>
      </x:c>
      <x:c r="Q1384" t="n">
        <x:v>39</x:v>
      </x:c>
      <x:c r="R1384" t="n">
        <x:v>15</x:v>
      </x:c>
      <x:c r="S1384" s="12" t="n">
        <x:f>E1384*Q1384</x:f>
        <x:v>3045.51</x:v>
      </x:c>
      <x:c r="T1384" s="12" t="n">
        <x:f>ROUND(S1384*F1384+0.000000001,2)</x:f>
        <x:v>1276.07</x:v>
      </x:c>
      <x:c r="U1384" s="12" t="n">
        <x:f>E1384*R1384</x:f>
        <x:v>1171.3500000000001</x:v>
      </x:c>
      <x:c r="V1384" t="str">
        <x:f>IF(AND(C1384="Active",Q1384=0),"Active Zero Sales","Not Zero Sales")</x:f>
        <x:v>Not Zero Sales</x:v>
      </x:c>
      <x:c r="W1384" s="12" t="n">
        <x:f>IF(V1384="Active Zero Sales",U1384,0)</x:f>
        <x:v>0</x:v>
      </x:c>
      <x:c r="X1384" t="str">
        <x:f>IF(E1384&lt;25,"Low &lt; 25",IF(E1384&lt;100,"Medium 25-99",IF(E1384&lt;300,"High 100-299","Premium 300+")))</x:f>
        <x:v>Medium 25-99</x:v>
      </x:c>
      <x:c r="Y1384" t="n">
        <x:f>IF(C1384="Active",1,0)</x:f>
        <x:v>1</x:v>
      </x:c>
    </x:row>
    <x:row r="1385">
      <x:c r="A1385" t="str">
        <x:v>SKU01384</x:v>
      </x:c>
      <x:c r="B1385" t="str">
        <x:v>Sample Product 01384</x:v>
      </x:c>
      <x:c r="C1385" t="str">
        <x:v>Active</x:v>
      </x:c>
      <x:c r="D1385" t="str">
        <x:v>2026-06</x:v>
      </x:c>
      <x:c r="E1385" s="12" t="n">
        <x:v>217.02</x:v>
      </x:c>
      <x:c r="F1385" s="10" t="n">
        <x:v>0.352</x:v>
      </x:c>
      <x:c r="G1385" t="str">
        <x:v>Personal Care</x:v>
      </x:c>
      <x:c r="H1385" t="str">
        <x:v>Skin Care</x:v>
      </x:c>
      <x:c r="I1385" t="str">
        <x:v>MFG015</x:v>
      </x:c>
      <x:c r="J1385" t="str">
        <x:v>Manufacturer 015</x:v>
      </x:c>
      <x:c r="K1385" t="str">
        <x:v>SUP008</x:v>
      </x:c>
      <x:c r="L1385" t="str">
        <x:v>Supplier 008</x:v>
      </x:c>
      <x:c r="M1385" t="str">
        <x:v>REG-105492</x:v>
      </x:c>
      <x:c r="N1385" t="str">
        <x:v>Generic Ingredient 069</x:v>
      </x:c>
      <x:c r="O1385" t="str">
        <x:v>Restricted Sale</x:v>
      </x:c>
      <x:c r="P1385" t="n">
        <x:v>68</x:v>
      </x:c>
      <x:c r="Q1385" t="n">
        <x:v>19</x:v>
      </x:c>
      <x:c r="R1385" t="n">
        <x:v>8</x:v>
      </x:c>
      <x:c r="S1385" s="12" t="n">
        <x:f>E1385*Q1385</x:f>
        <x:v>4123.38</x:v>
      </x:c>
      <x:c r="T1385" s="12" t="n">
        <x:f>ROUND(S1385*F1385+0.000000001,2)</x:f>
        <x:v>1451.43</x:v>
      </x:c>
      <x:c r="U1385" s="12" t="n">
        <x:f>E1385*R1385</x:f>
        <x:v>1736.16</x:v>
      </x:c>
      <x:c r="V1385" t="str">
        <x:f>IF(AND(C1385="Active",Q1385=0),"Active Zero Sales","Not Zero Sales")</x:f>
        <x:v>Not Zero Sales</x:v>
      </x:c>
      <x:c r="W1385" s="12" t="n">
        <x:f>IF(V1385="Active Zero Sales",U1385,0)</x:f>
        <x:v>0</x:v>
      </x:c>
      <x:c r="X1385" t="str">
        <x:f>IF(E1385&lt;25,"Low &lt; 25",IF(E1385&lt;100,"Medium 25-99",IF(E1385&lt;300,"High 100-299","Premium 300+")))</x:f>
        <x:v>High 100-299</x:v>
      </x:c>
      <x:c r="Y1385" t="n">
        <x:f>IF(C1385="Active",1,0)</x:f>
        <x:v>1</x:v>
      </x:c>
    </x:row>
    <x:row r="1386">
      <x:c r="A1386" t="str">
        <x:v>SKU01385</x:v>
      </x:c>
      <x:c r="B1386" t="str">
        <x:v>Sample Product 01385</x:v>
      </x:c>
      <x:c r="C1386" t="str">
        <x:v>Active</x:v>
      </x:c>
      <x:c r="D1386" t="str">
        <x:v>2026-02</x:v>
      </x:c>
      <x:c r="E1386" s="12" t="n">
        <x:v>41.1</x:v>
      </x:c>
      <x:c r="F1386" s="10" t="n">
        <x:v>0.36</x:v>
      </x:c>
      <x:c r="G1386" t="str">
        <x:v>General Merchandise</x:v>
      </x:c>
      <x:c r="H1386" t="str">
        <x:v>Accessories</x:v>
      </x:c>
      <x:c r="I1386" t="str">
        <x:v>MFG005</x:v>
      </x:c>
      <x:c r="J1386" t="str">
        <x:v>Manufacturer 005</x:v>
      </x:c>
      <x:c r="K1386" t="str">
        <x:v>SUP025</x:v>
      </x:c>
      <x:c r="L1386" t="str">
        <x:v>Supplier 025</x:v>
      </x:c>
      <x:c r="M1386" t="str">
        <x:v>REG-457007</x:v>
      </x:c>
      <x:c r="N1386" t="str">
        <x:v>Generic Ingredient 124</x:v>
      </x:c>
      <x:c r="O1386" t="str">
        <x:v>General Sale</x:v>
      </x:c>
      <x:c r="P1386" t="n">
        <x:v>24</x:v>
      </x:c>
      <x:c r="Q1386" t="n">
        <x:v>18</x:v>
      </x:c>
      <x:c r="R1386" t="n">
        <x:v>0</x:v>
      </x:c>
      <x:c r="S1386" s="12" t="n">
        <x:f>E1386*Q1386</x:f>
        <x:v>739.8000000000001</x:v>
      </x:c>
      <x:c r="T1386" s="12" t="n">
        <x:f>ROUND(S1386*F1386+0.000000001,2)</x:f>
        <x:v>266.33</x:v>
      </x:c>
      <x:c r="U1386" s="12" t="n">
        <x:f>E1386*R1386</x:f>
        <x:v>0</x:v>
      </x:c>
      <x:c r="V1386" t="str">
        <x:f>IF(AND(C1386="Active",Q1386=0),"Active Zero Sales","Not Zero Sales")</x:f>
        <x:v>Not Zero Sales</x:v>
      </x:c>
      <x:c r="W1386" s="12" t="n">
        <x:f>IF(V1386="Active Zero Sales",U1386,0)</x:f>
        <x:v>0</x:v>
      </x:c>
      <x:c r="X1386" t="str">
        <x:f>IF(E1386&lt;25,"Low &lt; 25",IF(E1386&lt;100,"Medium 25-99",IF(E1386&lt;300,"High 100-299","Premium 300+")))</x:f>
        <x:v>Medium 25-99</x:v>
      </x:c>
      <x:c r="Y1386" t="n">
        <x:f>IF(C1386="Active",1,0)</x:f>
        <x:v>1</x:v>
      </x:c>
    </x:row>
    <x:row r="1387">
      <x:c r="A1387" t="str">
        <x:v>SKU01386</x:v>
      </x:c>
      <x:c r="B1387" t="str">
        <x:v>Sample Product 01386</x:v>
      </x:c>
      <x:c r="C1387" t="str">
        <x:v>Active</x:v>
      </x:c>
      <x:c r="D1387" t="str">
        <x:v>2026-01</x:v>
      </x:c>
      <x:c r="E1387" s="12" t="n">
        <x:v>20.29</x:v>
      </x:c>
      <x:c r="F1387" s="10" t="n">
        <x:v>0.341</x:v>
      </x:c>
      <x:c r="G1387" t="str">
        <x:v>OTC &amp; Wellness</x:v>
      </x:c>
      <x:c r="H1387" t="str">
        <x:v>Cold &amp; Allergy</x:v>
      </x:c>
      <x:c r="I1387" t="str">
        <x:v>MFG008</x:v>
      </x:c>
      <x:c r="J1387" t="str">
        <x:v>Manufacturer 008</x:v>
      </x:c>
      <x:c r="K1387" t="str">
        <x:v>SUP017</x:v>
      </x:c>
      <x:c r="L1387" t="str">
        <x:v>Supplier 017</x:v>
      </x:c>
      <x:c r="M1387" t="str">
        <x:v>REG-616448</x:v>
      </x:c>
      <x:c r="N1387" t="str">
        <x:v>Generic Ingredient 161</x:v>
      </x:c>
      <x:c r="O1387" t="str">
        <x:v>General Sale</x:v>
      </x:c>
      <x:c r="P1387" t="n">
        <x:v>27</x:v>
      </x:c>
      <x:c r="Q1387" t="n">
        <x:v>0</x:v>
      </x:c>
      <x:c r="R1387" t="n">
        <x:v>32</x:v>
      </x:c>
      <x:c r="S1387" s="12" t="n">
        <x:f>E1387*Q1387</x:f>
        <x:v>0</x:v>
      </x:c>
      <x:c r="T1387" s="12" t="n">
        <x:f>ROUND(S1387*F1387+0.000000001,2)</x:f>
        <x:v>0</x:v>
      </x:c>
      <x:c r="U1387" s="12" t="n">
        <x:f>E1387*R1387</x:f>
        <x:v>649.28</x:v>
      </x:c>
      <x:c r="V1387" t="str">
        <x:f>IF(AND(C1387="Active",Q1387=0),"Active Zero Sales","Not Zero Sales")</x:f>
        <x:v>Active Zero Sales</x:v>
      </x:c>
      <x:c r="W1387" s="12" t="n">
        <x:f>IF(V1387="Active Zero Sales",U1387,0)</x:f>
        <x:v>649.28</x:v>
      </x:c>
      <x:c r="X1387" t="str">
        <x:f>IF(E1387&lt;25,"Low &lt; 25",IF(E1387&lt;100,"Medium 25-99",IF(E1387&lt;300,"High 100-299","Premium 300+")))</x:f>
        <x:v>Low &lt; 25</x:v>
      </x:c>
      <x:c r="Y1387" t="n">
        <x:f>IF(C1387="Active",1,0)</x:f>
        <x:v>1</x:v>
      </x:c>
    </x:row>
    <x:row r="1388">
      <x:c r="A1388" t="str">
        <x:v>SKU01387</x:v>
      </x:c>
      <x:c r="B1388" t="str">
        <x:v>Sample Product 01387</x:v>
      </x:c>
      <x:c r="C1388" t="str">
        <x:v>Active</x:v>
      </x:c>
      <x:c r="D1388" t="str">
        <x:v>2026-06</x:v>
      </x:c>
      <x:c r="E1388" s="12" t="n">
        <x:v>40.22</x:v>
      </x:c>
      <x:c r="F1388" s="10" t="n">
        <x:v>0.378</x:v>
      </x:c>
      <x:c r="G1388" t="str">
        <x:v>Personal Care</x:v>
      </x:c>
      <x:c r="H1388" t="str">
        <x:v>Hair Care</x:v>
      </x:c>
      <x:c r="I1388" t="str">
        <x:v>MFG010</x:v>
      </x:c>
      <x:c r="J1388" t="str">
        <x:v>Manufacturer 010</x:v>
      </x:c>
      <x:c r="K1388" t="str">
        <x:v>SUP026</x:v>
      </x:c>
      <x:c r="L1388" t="str">
        <x:v>Supplier 026</x:v>
      </x:c>
      <x:c r="M1388" t="str">
        <x:v>REG-580086</x:v>
      </x:c>
      <x:c r="N1388" t="str">
        <x:v>Generic Ingredient 116</x:v>
      </x:c>
      <x:c r="O1388" t="str">
        <x:v>General Sale</x:v>
      </x:c>
      <x:c r="P1388" t="n">
        <x:v>61</x:v>
      </x:c>
      <x:c r="Q1388" t="n">
        <x:v>8</x:v>
      </x:c>
      <x:c r="R1388" t="n">
        <x:v>19</x:v>
      </x:c>
      <x:c r="S1388" s="12" t="n">
        <x:f>E1388*Q1388</x:f>
        <x:v>321.76</x:v>
      </x:c>
      <x:c r="T1388" s="12" t="n">
        <x:f>ROUND(S1388*F1388+0.000000001,2)</x:f>
        <x:v>121.63</x:v>
      </x:c>
      <x:c r="U1388" s="12" t="n">
        <x:f>E1388*R1388</x:f>
        <x:v>764.18</x:v>
      </x:c>
      <x:c r="V1388" t="str">
        <x:f>IF(AND(C1388="Active",Q1388=0),"Active Zero Sales","Not Zero Sales")</x:f>
        <x:v>Not Zero Sales</x:v>
      </x:c>
      <x:c r="W1388" s="12" t="n">
        <x:f>IF(V1388="Active Zero Sales",U1388,0)</x:f>
        <x:v>0</x:v>
      </x:c>
      <x:c r="X1388" t="str">
        <x:f>IF(E1388&lt;25,"Low &lt; 25",IF(E1388&lt;100,"Medium 25-99",IF(E1388&lt;300,"High 100-299","Premium 300+")))</x:f>
        <x:v>Medium 25-99</x:v>
      </x:c>
      <x:c r="Y1388" t="n">
        <x:f>IF(C1388="Active",1,0)</x:f>
        <x:v>1</x:v>
      </x:c>
    </x:row>
    <x:row r="1389">
      <x:c r="A1389" t="str">
        <x:v>SKU01388</x:v>
      </x:c>
      <x:c r="B1389" t="str">
        <x:v>Sample Product 01388</x:v>
      </x:c>
      <x:c r="C1389" t="str">
        <x:v>Active</x:v>
      </x:c>
      <x:c r="D1389" t="str">
        <x:v>2026-05</x:v>
      </x:c>
      <x:c r="E1389" s="12" t="n">
        <x:v>10.21</x:v>
      </x:c>
      <x:c r="F1389" s="10" t="n">
        <x:v>0.376</x:v>
      </x:c>
      <x:c r="G1389" t="str">
        <x:v>OTC &amp; Wellness</x:v>
      </x:c>
      <x:c r="H1389" t="str">
        <x:v>Cold &amp; Allergy</x:v>
      </x:c>
      <x:c r="I1389" t="str">
        <x:v>MFG009</x:v>
      </x:c>
      <x:c r="J1389" t="str">
        <x:v>Manufacturer 009</x:v>
      </x:c>
      <x:c r="K1389" t="str">
        <x:v>SUP027</x:v>
      </x:c>
      <x:c r="L1389" t="str">
        <x:v>Supplier 027</x:v>
      </x:c>
      <x:c r="M1389" t="str">
        <x:v>REG-236700</x:v>
      </x:c>
      <x:c r="N1389" t="str">
        <x:v>Generic Ingredient 177</x:v>
      </x:c>
      <x:c r="O1389" t="str">
        <x:v>Pharmacy Only</x:v>
      </x:c>
      <x:c r="P1389" t="n">
        <x:v>75</x:v>
      </x:c>
      <x:c r="Q1389" t="n">
        <x:v>62</x:v>
      </x:c>
      <x:c r="R1389" t="n">
        <x:v>12</x:v>
      </x:c>
      <x:c r="S1389" s="12" t="n">
        <x:f>E1389*Q1389</x:f>
        <x:v>633.0200000000001</x:v>
      </x:c>
      <x:c r="T1389" s="12" t="n">
        <x:f>ROUND(S1389*F1389+0.000000001,2)</x:f>
        <x:v>238.02</x:v>
      </x:c>
      <x:c r="U1389" s="12" t="n">
        <x:f>E1389*R1389</x:f>
        <x:v>122.52000000000001</x:v>
      </x:c>
      <x:c r="V1389" t="str">
        <x:f>IF(AND(C1389="Active",Q1389=0),"Active Zero Sales","Not Zero Sales")</x:f>
        <x:v>Not Zero Sales</x:v>
      </x:c>
      <x:c r="W1389" s="12" t="n">
        <x:f>IF(V1389="Active Zero Sales",U1389,0)</x:f>
        <x:v>0</x:v>
      </x:c>
      <x:c r="X1389" t="str">
        <x:f>IF(E1389&lt;25,"Low &lt; 25",IF(E1389&lt;100,"Medium 25-99",IF(E1389&lt;300,"High 100-299","Premium 300+")))</x:f>
        <x:v>Low &lt; 25</x:v>
      </x:c>
      <x:c r="Y1389" t="n">
        <x:f>IF(C1389="Active",1,0)</x:f>
        <x:v>1</x:v>
      </x:c>
    </x:row>
    <x:row r="1390">
      <x:c r="A1390" t="str">
        <x:v>SKU01389</x:v>
      </x:c>
      <x:c r="B1390" t="str">
        <x:v>Sample Product 01389</x:v>
      </x:c>
      <x:c r="C1390" t="str">
        <x:v>Blocked</x:v>
      </x:c>
      <x:c r="D1390" t="str">
        <x:v>2026-01</x:v>
      </x:c>
      <x:c r="E1390" s="12" t="n">
        <x:v>299.37</x:v>
      </x:c>
      <x:c r="F1390" s="10" t="n">
        <x:v>0.323</x:v>
      </x:c>
      <x:c r="G1390" t="str">
        <x:v>OTC &amp; Wellness</x:v>
      </x:c>
      <x:c r="H1390" t="str">
        <x:v>Cold &amp; Allergy</x:v>
      </x:c>
      <x:c r="I1390" t="str">
        <x:v>MFG012</x:v>
      </x:c>
      <x:c r="J1390" t="str">
        <x:v>Manufacturer 012</x:v>
      </x:c>
      <x:c r="K1390" t="str">
        <x:v>SUP002</x:v>
      </x:c>
      <x:c r="L1390" t="str">
        <x:v>Supplier 002</x:v>
      </x:c>
      <x:c r="M1390" t="str">
        <x:v>REG-888859</x:v>
      </x:c>
      <x:c r="N1390" t="str">
        <x:v>Generic Ingredient 002</x:v>
      </x:c>
      <x:c r="O1390" t="str">
        <x:v>General Sale</x:v>
      </x:c>
      <x:c r="P1390" t="n">
        <x:v>0</x:v>
      </x:c>
      <x:c r="Q1390" t="n">
        <x:v>0</x:v>
      </x:c>
      <x:c r="R1390" t="n">
        <x:v>0</x:v>
      </x:c>
      <x:c r="S1390" s="12" t="n">
        <x:f>E1390*Q1390</x:f>
        <x:v>0</x:v>
      </x:c>
      <x:c r="T1390" s="12" t="n">
        <x:f>ROUND(S1390*F1390+0.000000001,2)</x:f>
        <x:v>0</x:v>
      </x:c>
      <x:c r="U1390" s="12" t="n">
        <x:f>E1390*R1390</x:f>
        <x:v>0</x:v>
      </x:c>
      <x:c r="V1390" t="str">
        <x:f>IF(AND(C1390="Active",Q1390=0),"Active Zero Sales","Not Zero Sales")</x:f>
        <x:v>Not Zero Sales</x:v>
      </x:c>
      <x:c r="W1390" s="12" t="n">
        <x:f>IF(V1390="Active Zero Sales",U1390,0)</x:f>
        <x:v>0</x:v>
      </x:c>
      <x:c r="X1390" t="str">
        <x:f>IF(E1390&lt;25,"Low &lt; 25",IF(E1390&lt;100,"Medium 25-99",IF(E1390&lt;300,"High 100-299","Premium 300+")))</x:f>
        <x:v>High 100-299</x:v>
      </x:c>
      <x:c r="Y1390" t="n">
        <x:f>IF(C1390="Active",1,0)</x:f>
        <x:v>0</x:v>
      </x:c>
    </x:row>
    <x:row r="1391">
      <x:c r="A1391" t="str">
        <x:v>SKU01390</x:v>
      </x:c>
      <x:c r="B1391" t="str">
        <x:v>Sample Product 01390</x:v>
      </x:c>
      <x:c r="C1391" t="str">
        <x:v>Active</x:v>
      </x:c>
      <x:c r="D1391" t="str">
        <x:v>2026-03</x:v>
      </x:c>
      <x:c r="E1391" s="12" t="n">
        <x:v>17.84</x:v>
      </x:c>
      <x:c r="F1391" s="10" t="n">
        <x:v>0.526</x:v>
      </x:c>
      <x:c r="G1391" t="str">
        <x:v>Personal Care</x:v>
      </x:c>
      <x:c r="H1391" t="str">
        <x:v>Oral Care</x:v>
      </x:c>
      <x:c r="I1391" t="str">
        <x:v>MFG015</x:v>
      </x:c>
      <x:c r="J1391" t="str">
        <x:v>Manufacturer 015</x:v>
      </x:c>
      <x:c r="K1391" t="str">
        <x:v>SUP017</x:v>
      </x:c>
      <x:c r="L1391" t="str">
        <x:v>Supplier 017</x:v>
      </x:c>
      <x:c r="M1391" t="str">
        <x:v>REG-302108</x:v>
      </x:c>
      <x:c r="N1391" t="str">
        <x:v>Generic Ingredient 159</x:v>
      </x:c>
      <x:c r="O1391" t="str">
        <x:v>General Sale</x:v>
      </x:c>
      <x:c r="P1391" t="n">
        <x:v>69</x:v>
      </x:c>
      <x:c r="Q1391" t="n">
        <x:v>0</x:v>
      </x:c>
      <x:c r="R1391" t="n">
        <x:v>53</x:v>
      </x:c>
      <x:c r="S1391" s="12" t="n">
        <x:f>E1391*Q1391</x:f>
        <x:v>0</x:v>
      </x:c>
      <x:c r="T1391" s="12" t="n">
        <x:f>ROUND(S1391*F1391+0.000000001,2)</x:f>
        <x:v>0</x:v>
      </x:c>
      <x:c r="U1391" s="12" t="n">
        <x:f>E1391*R1391</x:f>
        <x:v>945.52</x:v>
      </x:c>
      <x:c r="V1391" t="str">
        <x:f>IF(AND(C1391="Active",Q1391=0),"Active Zero Sales","Not Zero Sales")</x:f>
        <x:v>Active Zero Sales</x:v>
      </x:c>
      <x:c r="W1391" s="12" t="n">
        <x:f>IF(V1391="Active Zero Sales",U1391,0)</x:f>
        <x:v>945.52</x:v>
      </x:c>
      <x:c r="X1391" t="str">
        <x:f>IF(E1391&lt;25,"Low &lt; 25",IF(E1391&lt;100,"Medium 25-99",IF(E1391&lt;300,"High 100-299","Premium 300+")))</x:f>
        <x:v>Low &lt; 25</x:v>
      </x:c>
      <x:c r="Y1391" t="n">
        <x:f>IF(C1391="Active",1,0)</x:f>
        <x:v>1</x:v>
      </x:c>
    </x:row>
    <x:row r="1392">
      <x:c r="A1392" t="str">
        <x:v>SKU01391</x:v>
      </x:c>
      <x:c r="B1392" t="str">
        <x:v>Sample Product 01391</x:v>
      </x:c>
      <x:c r="C1392" t="str">
        <x:v>Active</x:v>
      </x:c>
      <x:c r="D1392" t="str">
        <x:v>2026-01</x:v>
      </x:c>
      <x:c r="E1392" s="12" t="n">
        <x:v>48.34</x:v>
      </x:c>
      <x:c r="F1392" s="10" t="n">
        <x:v>0.252</x:v>
      </x:c>
      <x:c r="G1392" t="str">
        <x:v>General Merchandise</x:v>
      </x:c>
      <x:c r="H1392" t="str">
        <x:v>Travel Health</x:v>
      </x:c>
      <x:c r="I1392" t="str">
        <x:v>MFG001</x:v>
      </x:c>
      <x:c r="J1392" t="str">
        <x:v>Manufacturer 001</x:v>
      </x:c>
      <x:c r="K1392" t="str">
        <x:v>SUP019</x:v>
      </x:c>
      <x:c r="L1392" t="str">
        <x:v>Supplier 019</x:v>
      </x:c>
      <x:c r="M1392" t="str">
        <x:v>REG-589930</x:v>
      </x:c>
      <x:c r="N1392" t="str">
        <x:v>Generic Ingredient 063</x:v>
      </x:c>
      <x:c r="O1392" t="str">
        <x:v>General Sale</x:v>
      </x:c>
      <x:c r="P1392" t="n">
        <x:v>25</x:v>
      </x:c>
      <x:c r="Q1392" t="n">
        <x:v>0</x:v>
      </x:c>
      <x:c r="R1392" t="n">
        <x:v>18</x:v>
      </x:c>
      <x:c r="S1392" s="12" t="n">
        <x:f>E1392*Q1392</x:f>
        <x:v>0</x:v>
      </x:c>
      <x:c r="T1392" s="12" t="n">
        <x:f>ROUND(S1392*F1392+0.000000001,2)</x:f>
        <x:v>0</x:v>
      </x:c>
      <x:c r="U1392" s="12" t="n">
        <x:f>E1392*R1392</x:f>
        <x:v>870.1200000000001</x:v>
      </x:c>
      <x:c r="V1392" t="str">
        <x:f>IF(AND(C1392="Active",Q1392=0),"Active Zero Sales","Not Zero Sales")</x:f>
        <x:v>Active Zero Sales</x:v>
      </x:c>
      <x:c r="W1392" s="12" t="n">
        <x:f>IF(V1392="Active Zero Sales",U1392,0)</x:f>
        <x:v>870.1200000000001</x:v>
      </x:c>
      <x:c r="X1392" t="str">
        <x:f>IF(E1392&lt;25,"Low &lt; 25",IF(E1392&lt;100,"Medium 25-99",IF(E1392&lt;300,"High 100-299","Premium 300+")))</x:f>
        <x:v>Medium 25-99</x:v>
      </x:c>
      <x:c r="Y1392" t="n">
        <x:f>IF(C1392="Active",1,0)</x:f>
        <x:v>1</x:v>
      </x:c>
    </x:row>
    <x:row r="1393">
      <x:c r="A1393" t="str">
        <x:v>SKU01392</x:v>
      </x:c>
      <x:c r="B1393" t="str">
        <x:v>Sample Product 01392</x:v>
      </x:c>
      <x:c r="C1393" t="str">
        <x:v>Blocked</x:v>
      </x:c>
      <x:c r="D1393" t="str">
        <x:v>2026-05</x:v>
      </x:c>
      <x:c r="E1393" s="12" t="n">
        <x:v>165.59</x:v>
      </x:c>
      <x:c r="F1393" s="10" t="n">
        <x:v>0.211</x:v>
      </x:c>
      <x:c r="G1393" t="str">
        <x:v>Nutrition</x:v>
      </x:c>
      <x:c r="H1393" t="str">
        <x:v>Sports Nutrition</x:v>
      </x:c>
      <x:c r="I1393" t="str">
        <x:v>MFG005</x:v>
      </x:c>
      <x:c r="J1393" t="str">
        <x:v>Manufacturer 005</x:v>
      </x:c>
      <x:c r="K1393" t="str">
        <x:v>SUP001</x:v>
      </x:c>
      <x:c r="L1393" t="str">
        <x:v>Supplier 001</x:v>
      </x:c>
      <x:c r="M1393" t="str">
        <x:v>REG-556504</x:v>
      </x:c>
      <x:c r="N1393" t="str">
        <x:v>Generic Ingredient 062</x:v>
      </x:c>
      <x:c r="O1393" t="str">
        <x:v>General Sale</x:v>
      </x:c>
      <x:c r="P1393" t="n">
        <x:v>0</x:v>
      </x:c>
      <x:c r="Q1393" t="n">
        <x:v>0</x:v>
      </x:c>
      <x:c r="R1393" t="n">
        <x:v>0</x:v>
      </x:c>
      <x:c r="S1393" s="12" t="n">
        <x:f>E1393*Q1393</x:f>
        <x:v>0</x:v>
      </x:c>
      <x:c r="T1393" s="12" t="n">
        <x:f>ROUND(S1393*F1393+0.000000001,2)</x:f>
        <x:v>0</x:v>
      </x:c>
      <x:c r="U1393" s="12" t="n">
        <x:f>E1393*R1393</x:f>
        <x:v>0</x:v>
      </x:c>
      <x:c r="V1393" t="str">
        <x:f>IF(AND(C1393="Active",Q1393=0),"Active Zero Sales","Not Zero Sales")</x:f>
        <x:v>Not Zero Sales</x:v>
      </x:c>
      <x:c r="W1393" s="12" t="n">
        <x:f>IF(V1393="Active Zero Sales",U1393,0)</x:f>
        <x:v>0</x:v>
      </x:c>
      <x:c r="X1393" t="str">
        <x:f>IF(E1393&lt;25,"Low &lt; 25",IF(E1393&lt;100,"Medium 25-99",IF(E1393&lt;300,"High 100-299","Premium 300+")))</x:f>
        <x:v>High 100-299</x:v>
      </x:c>
      <x:c r="Y1393" t="n">
        <x:f>IF(C1393="Active",1,0)</x:f>
        <x:v>0</x:v>
      </x:c>
    </x:row>
    <x:row r="1394">
      <x:c r="A1394" t="str">
        <x:v>SKU01393</x:v>
      </x:c>
      <x:c r="B1394" t="str">
        <x:v>Sample Product 01393</x:v>
      </x:c>
      <x:c r="C1394" t="str">
        <x:v>Active</x:v>
      </x:c>
      <x:c r="D1394" t="str">
        <x:v>2026-05</x:v>
      </x:c>
      <x:c r="E1394" s="12" t="n">
        <x:v>202.39</x:v>
      </x:c>
      <x:c r="F1394" s="10" t="n">
        <x:v>0.425</x:v>
      </x:c>
      <x:c r="G1394" t="str">
        <x:v>Personal Care</x:v>
      </x:c>
      <x:c r="H1394" t="str">
        <x:v>Skin Care</x:v>
      </x:c>
      <x:c r="I1394" t="str">
        <x:v>MFG007</x:v>
      </x:c>
      <x:c r="J1394" t="str">
        <x:v>Manufacturer 007</x:v>
      </x:c>
      <x:c r="K1394" t="str">
        <x:v>SUP030</x:v>
      </x:c>
      <x:c r="L1394" t="str">
        <x:v>Supplier 030</x:v>
      </x:c>
      <x:c r="M1394" t="str">
        <x:v>REG-958950</x:v>
      </x:c>
      <x:c r="N1394" t="str">
        <x:v>Generic Ingredient 031</x:v>
      </x:c>
      <x:c r="O1394" t="str">
        <x:v>General Sale</x:v>
      </x:c>
      <x:c r="P1394" t="n">
        <x:v>112</x:v>
      </x:c>
      <x:c r="Q1394" t="n">
        <x:v>51</x:v>
      </x:c>
      <x:c r="R1394" t="n">
        <x:v>21</x:v>
      </x:c>
      <x:c r="S1394" s="12" t="n">
        <x:f>E1394*Q1394</x:f>
        <x:v>10321.89</x:v>
      </x:c>
      <x:c r="T1394" s="12" t="n">
        <x:f>ROUND(S1394*F1394+0.000000001,2)</x:f>
        <x:v>4386.8</x:v>
      </x:c>
      <x:c r="U1394" s="12" t="n">
        <x:f>E1394*R1394</x:f>
        <x:v>4250.19</x:v>
      </x:c>
      <x:c r="V1394" t="str">
        <x:f>IF(AND(C1394="Active",Q1394=0),"Active Zero Sales","Not Zero Sales")</x:f>
        <x:v>Not Zero Sales</x:v>
      </x:c>
      <x:c r="W1394" s="12" t="n">
        <x:f>IF(V1394="Active Zero Sales",U1394,0)</x:f>
        <x:v>0</x:v>
      </x:c>
      <x:c r="X1394" t="str">
        <x:f>IF(E1394&lt;25,"Low &lt; 25",IF(E1394&lt;100,"Medium 25-99",IF(E1394&lt;300,"High 100-299","Premium 300+")))</x:f>
        <x:v>High 100-299</x:v>
      </x:c>
      <x:c r="Y1394" t="n">
        <x:f>IF(C1394="Active",1,0)</x:f>
        <x:v>1</x:v>
      </x:c>
    </x:row>
    <x:row r="1395">
      <x:c r="A1395" t="str">
        <x:v>SKU01394</x:v>
      </x:c>
      <x:c r="B1395" t="str">
        <x:v>Sample Product 01394</x:v>
      </x:c>
      <x:c r="C1395" t="str">
        <x:v>Active</x:v>
      </x:c>
      <x:c r="D1395" t="str">
        <x:v>2026-04</x:v>
      </x:c>
      <x:c r="E1395" s="12" t="n">
        <x:v>103.66</x:v>
      </x:c>
      <x:c r="F1395" s="10" t="n">
        <x:v>0.252</x:v>
      </x:c>
      <x:c r="G1395" t="str">
        <x:v>General Merchandise</x:v>
      </x:c>
      <x:c r="H1395" t="str">
        <x:v>Travel Health</x:v>
      </x:c>
      <x:c r="I1395" t="str">
        <x:v>MFG014</x:v>
      </x:c>
      <x:c r="J1395" t="str">
        <x:v>Manufacturer 014</x:v>
      </x:c>
      <x:c r="K1395" t="str">
        <x:v>SUP019</x:v>
      </x:c>
      <x:c r="L1395" t="str">
        <x:v>Supplier 019</x:v>
      </x:c>
      <x:c r="M1395" t="str">
        <x:v>REG-647594</x:v>
      </x:c>
      <x:c r="N1395" t="str">
        <x:v>Generic Ingredient 048</x:v>
      </x:c>
      <x:c r="O1395" t="str">
        <x:v>General Sale</x:v>
      </x:c>
      <x:c r="P1395" t="n">
        <x:v>46</x:v>
      </x:c>
      <x:c r="Q1395" t="n">
        <x:v>11</x:v>
      </x:c>
      <x:c r="R1395" t="n">
        <x:v>15</x:v>
      </x:c>
      <x:c r="S1395" s="12" t="n">
        <x:f>E1395*Q1395</x:f>
        <x:v>1140.26</x:v>
      </x:c>
      <x:c r="T1395" s="12" t="n">
        <x:f>ROUND(S1395*F1395+0.000000001,2)</x:f>
        <x:v>287.35</x:v>
      </x:c>
      <x:c r="U1395" s="12" t="n">
        <x:f>E1395*R1395</x:f>
        <x:v>1554.8999999999999</x:v>
      </x:c>
      <x:c r="V1395" t="str">
        <x:f>IF(AND(C1395="Active",Q1395=0),"Active Zero Sales","Not Zero Sales")</x:f>
        <x:v>Not Zero Sales</x:v>
      </x:c>
      <x:c r="W1395" s="12" t="n">
        <x:f>IF(V1395="Active Zero Sales",U1395,0)</x:f>
        <x:v>0</x:v>
      </x:c>
      <x:c r="X1395" t="str">
        <x:f>IF(E1395&lt;25,"Low &lt; 25",IF(E1395&lt;100,"Medium 25-99",IF(E1395&lt;300,"High 100-299","Premium 300+")))</x:f>
        <x:v>High 100-299</x:v>
      </x:c>
      <x:c r="Y1395" t="n">
        <x:f>IF(C1395="Active",1,0)</x:f>
        <x:v>1</x:v>
      </x:c>
    </x:row>
    <x:row r="1396">
      <x:c r="A1396" t="str">
        <x:v>SKU01395</x:v>
      </x:c>
      <x:c r="B1396" t="str">
        <x:v>Sample Product 01395</x:v>
      </x:c>
      <x:c r="C1396" t="str">
        <x:v>Active</x:v>
      </x:c>
      <x:c r="D1396" t="str">
        <x:v>2026-03</x:v>
      </x:c>
      <x:c r="E1396" s="12" t="n">
        <x:v>20.9</x:v>
      </x:c>
      <x:c r="F1396" s="10" t="n">
        <x:v>0.453</x:v>
      </x:c>
      <x:c r="G1396" t="str">
        <x:v>Personal Care</x:v>
      </x:c>
      <x:c r="H1396" t="str">
        <x:v>Skin Care</x:v>
      </x:c>
      <x:c r="I1396" t="str">
        <x:v>MFG005</x:v>
      </x:c>
      <x:c r="J1396" t="str">
        <x:v>Manufacturer 005</x:v>
      </x:c>
      <x:c r="K1396" t="str">
        <x:v>SUP021</x:v>
      </x:c>
      <x:c r="L1396" t="str">
        <x:v>Supplier 021</x:v>
      </x:c>
      <x:c r="M1396" t="str">
        <x:v>REG-319460</x:v>
      </x:c>
      <x:c r="N1396" t="str">
        <x:v>Generic Ingredient 068</x:v>
      </x:c>
      <x:c r="O1396" t="str">
        <x:v>General Sale</x:v>
      </x:c>
      <x:c r="P1396" t="n">
        <x:v>37</x:v>
      </x:c>
      <x:c r="Q1396" t="n">
        <x:v>6</x:v>
      </x:c>
      <x:c r="R1396" t="n">
        <x:v>4</x:v>
      </x:c>
      <x:c r="S1396" s="12" t="n">
        <x:f>E1396*Q1396</x:f>
        <x:v>125.39999999999999</x:v>
      </x:c>
      <x:c r="T1396" s="12" t="n">
        <x:f>ROUND(S1396*F1396+0.000000001,2)</x:f>
        <x:v>56.81</x:v>
      </x:c>
      <x:c r="U1396" s="12" t="n">
        <x:f>E1396*R1396</x:f>
        <x:v>83.6</x:v>
      </x:c>
      <x:c r="V1396" t="str">
        <x:f>IF(AND(C1396="Active",Q1396=0),"Active Zero Sales","Not Zero Sales")</x:f>
        <x:v>Not Zero Sales</x:v>
      </x:c>
      <x:c r="W1396" s="12" t="n">
        <x:f>IF(V1396="Active Zero Sales",U1396,0)</x:f>
        <x:v>0</x:v>
      </x:c>
      <x:c r="X1396" t="str">
        <x:f>IF(E1396&lt;25,"Low &lt; 25",IF(E1396&lt;100,"Medium 25-99",IF(E1396&lt;300,"High 100-299","Premium 300+")))</x:f>
        <x:v>Low &lt; 25</x:v>
      </x:c>
      <x:c r="Y1396" t="n">
        <x:f>IF(C1396="Active",1,0)</x:f>
        <x:v>1</x:v>
      </x:c>
    </x:row>
    <x:row r="1397">
      <x:c r="A1397" t="str">
        <x:v>SKU01396</x:v>
      </x:c>
      <x:c r="B1397" t="str">
        <x:v>Sample Product 01396</x:v>
      </x:c>
      <x:c r="C1397" t="str">
        <x:v>Active</x:v>
      </x:c>
      <x:c r="D1397" t="str">
        <x:v>2026-06</x:v>
      </x:c>
      <x:c r="E1397" s="12" t="n">
        <x:v>36.1</x:v>
      </x:c>
      <x:c r="F1397" s="10" t="n">
        <x:v>0.212</x:v>
      </x:c>
      <x:c r="G1397" t="str">
        <x:v>OTC &amp; Wellness</x:v>
      </x:c>
      <x:c r="H1397" t="str">
        <x:v>Digestive Care</x:v>
      </x:c>
      <x:c r="I1397" t="str">
        <x:v>MFG002</x:v>
      </x:c>
      <x:c r="J1397" t="str">
        <x:v>Manufacturer 002</x:v>
      </x:c>
      <x:c r="K1397" t="str">
        <x:v>SUP020</x:v>
      </x:c>
      <x:c r="L1397" t="str">
        <x:v>Supplier 020</x:v>
      </x:c>
      <x:c r="M1397" t="str">
        <x:v>REG-741107</x:v>
      </x:c>
      <x:c r="N1397" t="str">
        <x:v>Generic Ingredient 005</x:v>
      </x:c>
      <x:c r="O1397" t="str">
        <x:v>General Sale</x:v>
      </x:c>
      <x:c r="P1397" t="n">
        <x:v>94</x:v>
      </x:c>
      <x:c r="Q1397" t="n">
        <x:v>35</x:v>
      </x:c>
      <x:c r="R1397" t="n">
        <x:v>22</x:v>
      </x:c>
      <x:c r="S1397" s="12" t="n">
        <x:f>E1397*Q1397</x:f>
        <x:v>1263.5</x:v>
      </x:c>
      <x:c r="T1397" s="12" t="n">
        <x:f>ROUND(S1397*F1397+0.000000001,2)</x:f>
        <x:v>267.86</x:v>
      </x:c>
      <x:c r="U1397" s="12" t="n">
        <x:f>E1397*R1397</x:f>
        <x:v>794.2</x:v>
      </x:c>
      <x:c r="V1397" t="str">
        <x:f>IF(AND(C1397="Active",Q1397=0),"Active Zero Sales","Not Zero Sales")</x:f>
        <x:v>Not Zero Sales</x:v>
      </x:c>
      <x:c r="W1397" s="12" t="n">
        <x:f>IF(V1397="Active Zero Sales",U1397,0)</x:f>
        <x:v>0</x:v>
      </x:c>
      <x:c r="X1397" t="str">
        <x:f>IF(E1397&lt;25,"Low &lt; 25",IF(E1397&lt;100,"Medium 25-99",IF(E1397&lt;300,"High 100-299","Premium 300+")))</x:f>
        <x:v>Medium 25-99</x:v>
      </x:c>
      <x:c r="Y1397" t="n">
        <x:f>IF(C1397="Active",1,0)</x:f>
        <x:v>1</x:v>
      </x:c>
    </x:row>
    <x:row r="1398">
      <x:c r="A1398" t="str">
        <x:v>SKU01397</x:v>
      </x:c>
      <x:c r="B1398" t="str">
        <x:v>Sample Product 01397</x:v>
      </x:c>
      <x:c r="C1398" t="str">
        <x:v>Active</x:v>
      </x:c>
      <x:c r="D1398" t="str">
        <x:v>2026-03</x:v>
      </x:c>
      <x:c r="E1398" s="12" t="n">
        <x:v>12.37</x:v>
      </x:c>
      <x:c r="F1398" s="10" t="n">
        <x:v>0.416</x:v>
      </x:c>
      <x:c r="G1398" t="str">
        <x:v>Personal Care</x:v>
      </x:c>
      <x:c r="H1398" t="str">
        <x:v>Hygiene</x:v>
      </x:c>
      <x:c r="I1398" t="str">
        <x:v>MFG008</x:v>
      </x:c>
      <x:c r="J1398" t="str">
        <x:v>Manufacturer 008</x:v>
      </x:c>
      <x:c r="K1398" t="str">
        <x:v>SUP002</x:v>
      </x:c>
      <x:c r="L1398" t="str">
        <x:v>Supplier 002</x:v>
      </x:c>
      <x:c r="M1398" t="str">
        <x:v>REG-575437</x:v>
      </x:c>
      <x:c r="N1398" t="str">
        <x:v>Generic Ingredient 111</x:v>
      </x:c>
      <x:c r="O1398" t="str">
        <x:v>Restricted Sale</x:v>
      </x:c>
      <x:c r="P1398" t="n">
        <x:v>84</x:v>
      </x:c>
      <x:c r="Q1398" t="n">
        <x:v>34</x:v>
      </x:c>
      <x:c r="R1398" t="n">
        <x:v>36</x:v>
      </x:c>
      <x:c r="S1398" s="12" t="n">
        <x:f>E1398*Q1398</x:f>
        <x:v>420.58</x:v>
      </x:c>
      <x:c r="T1398" s="12" t="n">
        <x:f>ROUND(S1398*F1398+0.000000001,2)</x:f>
        <x:v>174.96</x:v>
      </x:c>
      <x:c r="U1398" s="12" t="n">
        <x:f>E1398*R1398</x:f>
        <x:v>445.32</x:v>
      </x:c>
      <x:c r="V1398" t="str">
        <x:f>IF(AND(C1398="Active",Q1398=0),"Active Zero Sales","Not Zero Sales")</x:f>
        <x:v>Not Zero Sales</x:v>
      </x:c>
      <x:c r="W1398" s="12" t="n">
        <x:f>IF(V1398="Active Zero Sales",U1398,0)</x:f>
        <x:v>0</x:v>
      </x:c>
      <x:c r="X1398" t="str">
        <x:f>IF(E1398&lt;25,"Low &lt; 25",IF(E1398&lt;100,"Medium 25-99",IF(E1398&lt;300,"High 100-299","Premium 300+")))</x:f>
        <x:v>Low &lt; 25</x:v>
      </x:c>
      <x:c r="Y1398" t="n">
        <x:f>IF(C1398="Active",1,0)</x:f>
        <x:v>1</x:v>
      </x:c>
    </x:row>
    <x:row r="1399">
      <x:c r="A1399" t="str">
        <x:v>SKU01398</x:v>
      </x:c>
      <x:c r="B1399" t="str">
        <x:v>Sample Product 01398</x:v>
      </x:c>
      <x:c r="C1399" t="str">
        <x:v>Active</x:v>
      </x:c>
      <x:c r="D1399" t="str">
        <x:v>2026-02</x:v>
      </x:c>
      <x:c r="E1399" s="12" t="n">
        <x:v>52.73</x:v>
      </x:c>
      <x:c r="F1399" s="10" t="n">
        <x:v>0.253</x:v>
      </x:c>
      <x:c r="G1399" t="str">
        <x:v>General Merchandise</x:v>
      </x:c>
      <x:c r="H1399" t="str">
        <x:v>Travel Health</x:v>
      </x:c>
      <x:c r="I1399" t="str">
        <x:v>MFG004</x:v>
      </x:c>
      <x:c r="J1399" t="str">
        <x:v>Manufacturer 004</x:v>
      </x:c>
      <x:c r="K1399" t="str">
        <x:v>SUP019</x:v>
      </x:c>
      <x:c r="L1399" t="str">
        <x:v>Supplier 019</x:v>
      </x:c>
      <x:c r="M1399" t="str">
        <x:v>REG-377828</x:v>
      </x:c>
      <x:c r="N1399" t="str">
        <x:v>Generic Ingredient 128</x:v>
      </x:c>
      <x:c r="O1399" t="str">
        <x:v>General Sale</x:v>
      </x:c>
      <x:c r="P1399" t="n">
        <x:v>145</x:v>
      </x:c>
      <x:c r="Q1399" t="n">
        <x:v>75</x:v>
      </x:c>
      <x:c r="R1399" t="n">
        <x:v>29</x:v>
      </x:c>
      <x:c r="S1399" s="12" t="n">
        <x:f>E1399*Q1399</x:f>
        <x:v>3954.7499999999995</x:v>
      </x:c>
      <x:c r="T1399" s="12" t="n">
        <x:f>ROUND(S1399*F1399+0.000000001,2)</x:f>
        <x:v>1000.55</x:v>
      </x:c>
      <x:c r="U1399" s="12" t="n">
        <x:f>E1399*R1399</x:f>
        <x:v>1529.1699999999998</x:v>
      </x:c>
      <x:c r="V1399" t="str">
        <x:f>IF(AND(C1399="Active",Q1399=0),"Active Zero Sales","Not Zero Sales")</x:f>
        <x:v>Not Zero Sales</x:v>
      </x:c>
      <x:c r="W1399" s="12" t="n">
        <x:f>IF(V1399="Active Zero Sales",U1399,0)</x:f>
        <x:v>0</x:v>
      </x:c>
      <x:c r="X1399" t="str">
        <x:f>IF(E1399&lt;25,"Low &lt; 25",IF(E1399&lt;100,"Medium 25-99",IF(E1399&lt;300,"High 100-299","Premium 300+")))</x:f>
        <x:v>Medium 25-99</x:v>
      </x:c>
      <x:c r="Y1399" t="n">
        <x:f>IF(C1399="Active",1,0)</x:f>
        <x:v>1</x:v>
      </x:c>
    </x:row>
    <x:row r="1400">
      <x:c r="A1400" t="str">
        <x:v>SKU01399</x:v>
      </x:c>
      <x:c r="B1400" t="str">
        <x:v>Sample Product 01399</x:v>
      </x:c>
      <x:c r="C1400" t="str">
        <x:v>Active</x:v>
      </x:c>
      <x:c r="D1400" t="str">
        <x:v>2026-01</x:v>
      </x:c>
      <x:c r="E1400" s="12" t="n">
        <x:v>7.84</x:v>
      </x:c>
      <x:c r="F1400" s="10" t="n">
        <x:v>0.37</x:v>
      </x:c>
      <x:c r="G1400" t="str">
        <x:v>OTC &amp; Wellness</x:v>
      </x:c>
      <x:c r="H1400" t="str">
        <x:v>Vitamins</x:v>
      </x:c>
      <x:c r="I1400" t="str">
        <x:v>MFG018</x:v>
      </x:c>
      <x:c r="J1400" t="str">
        <x:v>Manufacturer 018</x:v>
      </x:c>
      <x:c r="K1400" t="str">
        <x:v>SUP011</x:v>
      </x:c>
      <x:c r="L1400" t="str">
        <x:v>Supplier 011</x:v>
      </x:c>
      <x:c r="M1400" t="str">
        <x:v>REG-468931</x:v>
      </x:c>
      <x:c r="N1400" t="str">
        <x:v>Generic Ingredient 121</x:v>
      </x:c>
      <x:c r="O1400" t="str">
        <x:v>General Sale</x:v>
      </x:c>
      <x:c r="P1400" t="n">
        <x:v>27</x:v>
      </x:c>
      <x:c r="Q1400" t="n">
        <x:v>17</x:v>
      </x:c>
      <x:c r="R1400" t="n">
        <x:v>5</x:v>
      </x:c>
      <x:c r="S1400" s="12" t="n">
        <x:f>E1400*Q1400</x:f>
        <x:v>133.28</x:v>
      </x:c>
      <x:c r="T1400" s="12" t="n">
        <x:f>ROUND(S1400*F1400+0.000000001,2)</x:f>
        <x:v>49.31</x:v>
      </x:c>
      <x:c r="U1400" s="12" t="n">
        <x:f>E1400*R1400</x:f>
        <x:v>39.2</x:v>
      </x:c>
      <x:c r="V1400" t="str">
        <x:f>IF(AND(C1400="Active",Q1400=0),"Active Zero Sales","Not Zero Sales")</x:f>
        <x:v>Not Zero Sales</x:v>
      </x:c>
      <x:c r="W1400" s="12" t="n">
        <x:f>IF(V1400="Active Zero Sales",U1400,0)</x:f>
        <x:v>0</x:v>
      </x:c>
      <x:c r="X1400" t="str">
        <x:f>IF(E1400&lt;25,"Low &lt; 25",IF(E1400&lt;100,"Medium 25-99",IF(E1400&lt;300,"High 100-299","Premium 300+")))</x:f>
        <x:v>Low &lt; 25</x:v>
      </x:c>
      <x:c r="Y1400" t="n">
        <x:f>IF(C1400="Active",1,0)</x:f>
        <x:v>1</x:v>
      </x:c>
    </x:row>
    <x:row r="1401">
      <x:c r="A1401" t="str">
        <x:v>SKU01400</x:v>
      </x:c>
      <x:c r="B1401" t="str">
        <x:v>Sample Product 01400</x:v>
      </x:c>
      <x:c r="C1401" t="str">
        <x:v>Active</x:v>
      </x:c>
      <x:c r="D1401" t="str">
        <x:v>2026-02</x:v>
      </x:c>
      <x:c r="E1401" s="12" t="n">
        <x:v>414.45</x:v>
      </x:c>
      <x:c r="F1401" s="10" t="n">
        <x:v>0.381</x:v>
      </x:c>
      <x:c r="G1401" t="str">
        <x:v>OTC &amp; Wellness</x:v>
      </x:c>
      <x:c r="H1401" t="str">
        <x:v>Pain Relief</x:v>
      </x:c>
      <x:c r="I1401" t="str">
        <x:v>MFG015</x:v>
      </x:c>
      <x:c r="J1401" t="str">
        <x:v>Manufacturer 015</x:v>
      </x:c>
      <x:c r="K1401" t="str">
        <x:v>SUP002</x:v>
      </x:c>
      <x:c r="L1401" t="str">
        <x:v>Supplier 002</x:v>
      </x:c>
      <x:c r="M1401" t="str">
        <x:v>REG-168055</x:v>
      </x:c>
      <x:c r="N1401" t="str">
        <x:v>Generic Ingredient 142</x:v>
      </x:c>
      <x:c r="O1401" t="str">
        <x:v>General Sale</x:v>
      </x:c>
      <x:c r="P1401" t="n">
        <x:v>54</x:v>
      </x:c>
      <x:c r="Q1401" t="n">
        <x:v>18</x:v>
      </x:c>
      <x:c r="R1401" t="n">
        <x:v>8</x:v>
      </x:c>
      <x:c r="S1401" s="12" t="n">
        <x:f>E1401*Q1401</x:f>
        <x:v>7460.099999999999</x:v>
      </x:c>
      <x:c r="T1401" s="12" t="n">
        <x:f>ROUND(S1401*F1401+0.000000001,2)</x:f>
        <x:v>2842.3</x:v>
      </x:c>
      <x:c r="U1401" s="12" t="n">
        <x:f>E1401*R1401</x:f>
        <x:v>3315.6</x:v>
      </x:c>
      <x:c r="V1401" t="str">
        <x:f>IF(AND(C1401="Active",Q1401=0),"Active Zero Sales","Not Zero Sales")</x:f>
        <x:v>Not Zero Sales</x:v>
      </x:c>
      <x:c r="W1401" s="12" t="n">
        <x:f>IF(V1401="Active Zero Sales",U1401,0)</x:f>
        <x:v>0</x:v>
      </x:c>
      <x:c r="X1401" t="str">
        <x:f>IF(E1401&lt;25,"Low &lt; 25",IF(E1401&lt;100,"Medium 25-99",IF(E1401&lt;300,"High 100-299","Premium 300+")))</x:f>
        <x:v>Premium 300+</x:v>
      </x:c>
      <x:c r="Y1401" t="n">
        <x:f>IF(C1401="Active",1,0)</x:f>
        <x:v>1</x:v>
      </x:c>
    </x:row>
    <x:row r="1402">
      <x:c r="A1402" t="str">
        <x:v>SKU01401</x:v>
      </x:c>
      <x:c r="B1402" t="str">
        <x:v>Sample Product 01401</x:v>
      </x:c>
      <x:c r="C1402" t="str">
        <x:v>Active</x:v>
      </x:c>
      <x:c r="D1402" t="str">
        <x:v>2026-05</x:v>
      </x:c>
      <x:c r="E1402" s="12" t="n">
        <x:v>75.53</x:v>
      </x:c>
      <x:c r="F1402" s="10" t="n">
        <x:v>0.304</x:v>
      </x:c>
      <x:c r="G1402" t="str">
        <x:v>General Merchandise</x:v>
      </x:c>
      <x:c r="H1402" t="str">
        <x:v>Accessories</x:v>
      </x:c>
      <x:c r="I1402" t="str">
        <x:v>MFG014</x:v>
      </x:c>
      <x:c r="J1402" t="str">
        <x:v>Manufacturer 014</x:v>
      </x:c>
      <x:c r="K1402" t="str">
        <x:v>SUP016</x:v>
      </x:c>
      <x:c r="L1402" t="str">
        <x:v>Supplier 016</x:v>
      </x:c>
      <x:c r="M1402" t="str">
        <x:v>REG-110842</x:v>
      </x:c>
      <x:c r="N1402" t="str">
        <x:v>Generic Ingredient 148</x:v>
      </x:c>
      <x:c r="O1402" t="str">
        <x:v>General Sale</x:v>
      </x:c>
      <x:c r="P1402" t="n">
        <x:v>80</x:v>
      </x:c>
      <x:c r="Q1402" t="n">
        <x:v>22</x:v>
      </x:c>
      <x:c r="R1402" t="n">
        <x:v>13</x:v>
      </x:c>
      <x:c r="S1402" s="12" t="n">
        <x:f>E1402*Q1402</x:f>
        <x:v>1661.66</x:v>
      </x:c>
      <x:c r="T1402" s="12" t="n">
        <x:f>ROUND(S1402*F1402+0.000000001,2)</x:f>
        <x:v>505.14</x:v>
      </x:c>
      <x:c r="U1402" s="12" t="n">
        <x:f>E1402*R1402</x:f>
        <x:v>981.89</x:v>
      </x:c>
      <x:c r="V1402" t="str">
        <x:f>IF(AND(C1402="Active",Q1402=0),"Active Zero Sales","Not Zero Sales")</x:f>
        <x:v>Not Zero Sales</x:v>
      </x:c>
      <x:c r="W1402" s="12" t="n">
        <x:f>IF(V1402="Active Zero Sales",U1402,0)</x:f>
        <x:v>0</x:v>
      </x:c>
      <x:c r="X1402" t="str">
        <x:f>IF(E1402&lt;25,"Low &lt; 25",IF(E1402&lt;100,"Medium 25-99",IF(E1402&lt;300,"High 100-299","Premium 300+")))</x:f>
        <x:v>Medium 25-99</x:v>
      </x:c>
      <x:c r="Y1402" t="n">
        <x:f>IF(C1402="Active",1,0)</x:f>
        <x:v>1</x:v>
      </x:c>
    </x:row>
    <x:row r="1403">
      <x:c r="A1403" t="str">
        <x:v>SKU01402</x:v>
      </x:c>
      <x:c r="B1403" t="str">
        <x:v>Sample Product 01402</x:v>
      </x:c>
      <x:c r="C1403" t="str">
        <x:v>Active</x:v>
      </x:c>
      <x:c r="D1403" t="str">
        <x:v>2026-01</x:v>
      </x:c>
      <x:c r="E1403" s="12" t="n">
        <x:v>207.43</x:v>
      </x:c>
      <x:c r="F1403" s="10" t="n">
        <x:v>0.342</x:v>
      </x:c>
      <x:c r="G1403" t="str">
        <x:v>General Merchandise</x:v>
      </x:c>
      <x:c r="H1403" t="str">
        <x:v>Baby Essentials</x:v>
      </x:c>
      <x:c r="I1403" t="str">
        <x:v>MFG019</x:v>
      </x:c>
      <x:c r="J1403" t="str">
        <x:v>Manufacturer 019</x:v>
      </x:c>
      <x:c r="K1403" t="str">
        <x:v>SUP008</x:v>
      </x:c>
      <x:c r="L1403" t="str">
        <x:v>Supplier 008</x:v>
      </x:c>
      <x:c r="M1403" t="str">
        <x:v>REG-857817</x:v>
      </x:c>
      <x:c r="N1403" t="str">
        <x:v>Generic Ingredient 110</x:v>
      </x:c>
      <x:c r="O1403" t="str">
        <x:v>General Sale</x:v>
      </x:c>
      <x:c r="P1403" t="n">
        <x:v>66</x:v>
      </x:c>
      <x:c r="Q1403" t="n">
        <x:v>23</x:v>
      </x:c>
      <x:c r="R1403" t="n">
        <x:v>9</x:v>
      </x:c>
      <x:c r="S1403" s="12" t="n">
        <x:f>E1403*Q1403</x:f>
        <x:v>4770.89</x:v>
      </x:c>
      <x:c r="T1403" s="12" t="n">
        <x:f>ROUND(S1403*F1403+0.000000001,2)</x:f>
        <x:v>1631.64</x:v>
      </x:c>
      <x:c r="U1403" s="12" t="n">
        <x:f>E1403*R1403</x:f>
        <x:v>1866.8700000000001</x:v>
      </x:c>
      <x:c r="V1403" t="str">
        <x:f>IF(AND(C1403="Active",Q1403=0),"Active Zero Sales","Not Zero Sales")</x:f>
        <x:v>Not Zero Sales</x:v>
      </x:c>
      <x:c r="W1403" s="12" t="n">
        <x:f>IF(V1403="Active Zero Sales",U1403,0)</x:f>
        <x:v>0</x:v>
      </x:c>
      <x:c r="X1403" t="str">
        <x:f>IF(E1403&lt;25,"Low &lt; 25",IF(E1403&lt;100,"Medium 25-99",IF(E1403&lt;300,"High 100-299","Premium 300+")))</x:f>
        <x:v>High 100-299</x:v>
      </x:c>
      <x:c r="Y1403" t="n">
        <x:f>IF(C1403="Active",1,0)</x:f>
        <x:v>1</x:v>
      </x:c>
    </x:row>
    <x:row r="1404">
      <x:c r="A1404" t="str">
        <x:v>SKU01403</x:v>
      </x:c>
      <x:c r="B1404" t="str">
        <x:v>Sample Product 01403</x:v>
      </x:c>
      <x:c r="C1404" t="str">
        <x:v>Active</x:v>
      </x:c>
      <x:c r="D1404" t="str">
        <x:v>2026-03</x:v>
      </x:c>
      <x:c r="E1404" s="12" t="n">
        <x:v>89.98</x:v>
      </x:c>
      <x:c r="F1404" s="10" t="n">
        <x:v>0.237</x:v>
      </x:c>
      <x:c r="G1404" t="str">
        <x:v>Nutrition</x:v>
      </x:c>
      <x:c r="H1404" t="str">
        <x:v>Healthy Snacks</x:v>
      </x:c>
      <x:c r="I1404" t="str">
        <x:v>MFG020</x:v>
      </x:c>
      <x:c r="J1404" t="str">
        <x:v>Manufacturer 020</x:v>
      </x:c>
      <x:c r="K1404" t="str">
        <x:v>SUP029</x:v>
      </x:c>
      <x:c r="L1404" t="str">
        <x:v>Supplier 029</x:v>
      </x:c>
      <x:c r="M1404" t="str">
        <x:v>REG-657098</x:v>
      </x:c>
      <x:c r="N1404" t="str">
        <x:v>Generic Ingredient 048</x:v>
      </x:c>
      <x:c r="O1404" t="str">
        <x:v>General Sale</x:v>
      </x:c>
      <x:c r="P1404" t="n">
        <x:v>70</x:v>
      </x:c>
      <x:c r="Q1404" t="n">
        <x:v>0</x:v>
      </x:c>
      <x:c r="R1404" t="n">
        <x:v>54</x:v>
      </x:c>
      <x:c r="S1404" s="12" t="n">
        <x:f>E1404*Q1404</x:f>
        <x:v>0</x:v>
      </x:c>
      <x:c r="T1404" s="12" t="n">
        <x:f>ROUND(S1404*F1404+0.000000001,2)</x:f>
        <x:v>0</x:v>
      </x:c>
      <x:c r="U1404" s="12" t="n">
        <x:f>E1404*R1404</x:f>
        <x:v>4858.92</x:v>
      </x:c>
      <x:c r="V1404" t="str">
        <x:f>IF(AND(C1404="Active",Q1404=0),"Active Zero Sales","Not Zero Sales")</x:f>
        <x:v>Active Zero Sales</x:v>
      </x:c>
      <x:c r="W1404" s="12" t="n">
        <x:f>IF(V1404="Active Zero Sales",U1404,0)</x:f>
        <x:v>4858.92</x:v>
      </x:c>
      <x:c r="X1404" t="str">
        <x:f>IF(E1404&lt;25,"Low &lt; 25",IF(E1404&lt;100,"Medium 25-99",IF(E1404&lt;300,"High 100-299","Premium 300+")))</x:f>
        <x:v>Medium 25-99</x:v>
      </x:c>
      <x:c r="Y1404" t="n">
        <x:f>IF(C1404="Active",1,0)</x:f>
        <x:v>1</x:v>
      </x:c>
    </x:row>
    <x:row r="1405">
      <x:c r="A1405" t="str">
        <x:v>SKU01404</x:v>
      </x:c>
      <x:c r="B1405" t="str">
        <x:v>Sample Product 01404</x:v>
      </x:c>
      <x:c r="C1405" t="str">
        <x:v>Active</x:v>
      </x:c>
      <x:c r="D1405" t="str">
        <x:v>2026-02</x:v>
      </x:c>
      <x:c r="E1405" s="12" t="n">
        <x:v>9.9</x:v>
      </x:c>
      <x:c r="F1405" s="10" t="n">
        <x:v>0.344</x:v>
      </x:c>
      <x:c r="G1405" t="str">
        <x:v>OTC &amp; Wellness</x:v>
      </x:c>
      <x:c r="H1405" t="str">
        <x:v>Cold &amp; Allergy</x:v>
      </x:c>
      <x:c r="I1405" t="str">
        <x:v>MFG009</x:v>
      </x:c>
      <x:c r="J1405" t="str">
        <x:v>Manufacturer 009</x:v>
      </x:c>
      <x:c r="K1405" t="str">
        <x:v>SUP026</x:v>
      </x:c>
      <x:c r="L1405" t="str">
        <x:v>Supplier 026</x:v>
      </x:c>
      <x:c r="M1405" t="str">
        <x:v>REG-492911</x:v>
      </x:c>
      <x:c r="N1405" t="str">
        <x:v>Generic Ingredient 040</x:v>
      </x:c>
      <x:c r="O1405" t="str">
        <x:v>General Sale</x:v>
      </x:c>
      <x:c r="P1405" t="n">
        <x:v>101</x:v>
      </x:c>
      <x:c r="Q1405" t="n">
        <x:v>72</x:v>
      </x:c>
      <x:c r="R1405" t="n">
        <x:v>23</x:v>
      </x:c>
      <x:c r="S1405" s="12" t="n">
        <x:f>E1405*Q1405</x:f>
        <x:v>712.8000000000001</x:v>
      </x:c>
      <x:c r="T1405" s="12" t="n">
        <x:f>ROUND(S1405*F1405+0.000000001,2)</x:f>
        <x:v>245.2</x:v>
      </x:c>
      <x:c r="U1405" s="12" t="n">
        <x:f>E1405*R1405</x:f>
        <x:v>227.70000000000002</x:v>
      </x:c>
      <x:c r="V1405" t="str">
        <x:f>IF(AND(C1405="Active",Q1405=0),"Active Zero Sales","Not Zero Sales")</x:f>
        <x:v>Not Zero Sales</x:v>
      </x:c>
      <x:c r="W1405" s="12" t="n">
        <x:f>IF(V1405="Active Zero Sales",U1405,0)</x:f>
        <x:v>0</x:v>
      </x:c>
      <x:c r="X1405" t="str">
        <x:f>IF(E1405&lt;25,"Low &lt; 25",IF(E1405&lt;100,"Medium 25-99",IF(E1405&lt;300,"High 100-299","Premium 300+")))</x:f>
        <x:v>Low &lt; 25</x:v>
      </x:c>
      <x:c r="Y1405" t="n">
        <x:f>IF(C1405="Active",1,0)</x:f>
        <x:v>1</x:v>
      </x:c>
    </x:row>
    <x:row r="1406">
      <x:c r="A1406" t="str">
        <x:v>SKU01405</x:v>
      </x:c>
      <x:c r="B1406" t="str">
        <x:v>Sample Product 01405</x:v>
      </x:c>
      <x:c r="C1406" t="str">
        <x:v>Active</x:v>
      </x:c>
      <x:c r="D1406" t="str">
        <x:v>2026-06</x:v>
      </x:c>
      <x:c r="E1406" s="12" t="n">
        <x:v>110.06</x:v>
      </x:c>
      <x:c r="F1406" s="10" t="n">
        <x:v>0.447</x:v>
      </x:c>
      <x:c r="G1406" t="str">
        <x:v>General Merchandise</x:v>
      </x:c>
      <x:c r="H1406" t="str">
        <x:v>Travel Health</x:v>
      </x:c>
      <x:c r="I1406" t="str">
        <x:v>MFG008</x:v>
      </x:c>
      <x:c r="J1406" t="str">
        <x:v>Manufacturer 008</x:v>
      </x:c>
      <x:c r="K1406" t="str">
        <x:v>SUP019</x:v>
      </x:c>
      <x:c r="L1406" t="str">
        <x:v>Supplier 019</x:v>
      </x:c>
      <x:c r="M1406" t="str">
        <x:v>REG-405518</x:v>
      </x:c>
      <x:c r="N1406" t="str">
        <x:v>Generic Ingredient 037</x:v>
      </x:c>
      <x:c r="O1406" t="str">
        <x:v>General Sale</x:v>
      </x:c>
      <x:c r="P1406" t="n">
        <x:v>7</x:v>
      </x:c>
      <x:c r="Q1406" t="n">
        <x:v>8</x:v>
      </x:c>
      <x:c r="R1406" t="n">
        <x:v>0</x:v>
      </x:c>
      <x:c r="S1406" s="12" t="n">
        <x:f>E1406*Q1406</x:f>
        <x:v>880.48</x:v>
      </x:c>
      <x:c r="T1406" s="12" t="n">
        <x:f>ROUND(S1406*F1406+0.000000001,2)</x:f>
        <x:v>393.57</x:v>
      </x:c>
      <x:c r="U1406" s="12" t="n">
        <x:f>E1406*R1406</x:f>
        <x:v>0</x:v>
      </x:c>
      <x:c r="V1406" t="str">
        <x:f>IF(AND(C1406="Active",Q1406=0),"Active Zero Sales","Not Zero Sales")</x:f>
        <x:v>Not Zero Sales</x:v>
      </x:c>
      <x:c r="W1406" s="12" t="n">
        <x:f>IF(V1406="Active Zero Sales",U1406,0)</x:f>
        <x:v>0</x:v>
      </x:c>
      <x:c r="X1406" t="str">
        <x:f>IF(E1406&lt;25,"Low &lt; 25",IF(E1406&lt;100,"Medium 25-99",IF(E1406&lt;300,"High 100-299","Premium 300+")))</x:f>
        <x:v>High 100-299</x:v>
      </x:c>
      <x:c r="Y1406" t="n">
        <x:f>IF(C1406="Active",1,0)</x:f>
        <x:v>1</x:v>
      </x:c>
    </x:row>
    <x:row r="1407">
      <x:c r="A1407" t="str">
        <x:v>SKU01406</x:v>
      </x:c>
      <x:c r="B1407" t="str">
        <x:v>Sample Product 01406</x:v>
      </x:c>
      <x:c r="C1407" t="str">
        <x:v>Active</x:v>
      </x:c>
      <x:c r="D1407" t="str">
        <x:v>2026-06</x:v>
      </x:c>
      <x:c r="E1407" s="12" t="n">
        <x:v>6.32</x:v>
      </x:c>
      <x:c r="F1407" s="10" t="n">
        <x:v>0.361</x:v>
      </x:c>
      <x:c r="G1407" t="str">
        <x:v>Personal Care</x:v>
      </x:c>
      <x:c r="H1407" t="str">
        <x:v>Hygiene</x:v>
      </x:c>
      <x:c r="I1407" t="str">
        <x:v>MFG008</x:v>
      </x:c>
      <x:c r="J1407" t="str">
        <x:v>Manufacturer 008</x:v>
      </x:c>
      <x:c r="K1407" t="str">
        <x:v>SUP030</x:v>
      </x:c>
      <x:c r="L1407" t="str">
        <x:v>Supplier 030</x:v>
      </x:c>
      <x:c r="M1407" t="str">
        <x:v>REG-298669</x:v>
      </x:c>
      <x:c r="N1407" t="str">
        <x:v>Generic Ingredient 009</x:v>
      </x:c>
      <x:c r="O1407" t="str">
        <x:v>General Sale</x:v>
      </x:c>
      <x:c r="P1407" t="n">
        <x:v>125</x:v>
      </x:c>
      <x:c r="Q1407" t="n">
        <x:v>80</x:v>
      </x:c>
      <x:c r="R1407" t="n">
        <x:v>2</x:v>
      </x:c>
      <x:c r="S1407" s="12" t="n">
        <x:f>E1407*Q1407</x:f>
        <x:v>505.6</x:v>
      </x:c>
      <x:c r="T1407" s="12" t="n">
        <x:f>ROUND(S1407*F1407+0.000000001,2)</x:f>
        <x:v>182.52</x:v>
      </x:c>
      <x:c r="U1407" s="12" t="n">
        <x:f>E1407*R1407</x:f>
        <x:v>12.64</x:v>
      </x:c>
      <x:c r="V1407" t="str">
        <x:f>IF(AND(C1407="Active",Q1407=0),"Active Zero Sales","Not Zero Sales")</x:f>
        <x:v>Not Zero Sales</x:v>
      </x:c>
      <x:c r="W1407" s="12" t="n">
        <x:f>IF(V1407="Active Zero Sales",U1407,0)</x:f>
        <x:v>0</x:v>
      </x:c>
      <x:c r="X1407" t="str">
        <x:f>IF(E1407&lt;25,"Low &lt; 25",IF(E1407&lt;100,"Medium 25-99",IF(E1407&lt;300,"High 100-299","Premium 300+")))</x:f>
        <x:v>Low &lt; 25</x:v>
      </x:c>
      <x:c r="Y1407" t="n">
        <x:f>IF(C1407="Active",1,0)</x:f>
        <x:v>1</x:v>
      </x:c>
    </x:row>
    <x:row r="1408">
      <x:c r="A1408" t="str">
        <x:v>SKU01407</x:v>
      </x:c>
      <x:c r="B1408" t="str">
        <x:v>Sample Product 01407</x:v>
      </x:c>
      <x:c r="C1408" t="str">
        <x:v>Active</x:v>
      </x:c>
      <x:c r="D1408" t="str">
        <x:v>2026-06</x:v>
      </x:c>
      <x:c r="E1408" s="12" t="n">
        <x:v>50.61</x:v>
      </x:c>
      <x:c r="F1408" s="10" t="n">
        <x:v>0.215</x:v>
      </x:c>
      <x:c r="G1408" t="str">
        <x:v>Nutrition</x:v>
      </x:c>
      <x:c r="H1408" t="str">
        <x:v>Sports Nutrition</x:v>
      </x:c>
      <x:c r="I1408" t="str">
        <x:v>MFG009</x:v>
      </x:c>
      <x:c r="J1408" t="str">
        <x:v>Manufacturer 009</x:v>
      </x:c>
      <x:c r="K1408" t="str">
        <x:v>SUP024</x:v>
      </x:c>
      <x:c r="L1408" t="str">
        <x:v>Supplier 024</x:v>
      </x:c>
      <x:c r="M1408" t="str">
        <x:v>REG-765211</x:v>
      </x:c>
      <x:c r="N1408" t="str">
        <x:v>Generic Ingredient 019</x:v>
      </x:c>
      <x:c r="O1408" t="str">
        <x:v>General Sale</x:v>
      </x:c>
      <x:c r="P1408" t="n">
        <x:v>160</x:v>
      </x:c>
      <x:c r="Q1408" t="n">
        <x:v>113</x:v>
      </x:c>
      <x:c r="R1408" t="n">
        <x:v>38</x:v>
      </x:c>
      <x:c r="S1408" s="12" t="n">
        <x:f>E1408*Q1408</x:f>
        <x:v>5718.93</x:v>
      </x:c>
      <x:c r="T1408" s="12" t="n">
        <x:f>ROUND(S1408*F1408+0.000000001,2)</x:f>
        <x:v>1229.57</x:v>
      </x:c>
      <x:c r="U1408" s="12" t="n">
        <x:f>E1408*R1408</x:f>
        <x:v>1923.18</x:v>
      </x:c>
      <x:c r="V1408" t="str">
        <x:f>IF(AND(C1408="Active",Q1408=0),"Active Zero Sales","Not Zero Sales")</x:f>
        <x:v>Not Zero Sales</x:v>
      </x:c>
      <x:c r="W1408" s="12" t="n">
        <x:f>IF(V1408="Active Zero Sales",U1408,0)</x:f>
        <x:v>0</x:v>
      </x:c>
      <x:c r="X1408" t="str">
        <x:f>IF(E1408&lt;25,"Low &lt; 25",IF(E1408&lt;100,"Medium 25-99",IF(E1408&lt;300,"High 100-299","Premium 300+")))</x:f>
        <x:v>Medium 25-99</x:v>
      </x:c>
      <x:c r="Y1408" t="n">
        <x:f>IF(C1408="Active",1,0)</x:f>
        <x:v>1</x:v>
      </x:c>
    </x:row>
    <x:row r="1409">
      <x:c r="A1409" t="str">
        <x:v>SKU01408</x:v>
      </x:c>
      <x:c r="B1409" t="str">
        <x:v>Sample Product 01408</x:v>
      </x:c>
      <x:c r="C1409" t="str">
        <x:v>Active</x:v>
      </x:c>
      <x:c r="D1409" t="str">
        <x:v>2026-03</x:v>
      </x:c>
      <x:c r="E1409" s="12" t="n">
        <x:v>75.29</x:v>
      </x:c>
      <x:c r="F1409" s="10" t="n">
        <x:v>0.256</x:v>
      </x:c>
      <x:c r="G1409" t="str">
        <x:v>Medical Devices</x:v>
      </x:c>
      <x:c r="H1409" t="str">
        <x:v>First Aid</x:v>
      </x:c>
      <x:c r="I1409" t="str">
        <x:v>MFG014</x:v>
      </x:c>
      <x:c r="J1409" t="str">
        <x:v>Manufacturer 014</x:v>
      </x:c>
      <x:c r="K1409" t="str">
        <x:v>SUP008</x:v>
      </x:c>
      <x:c r="L1409" t="str">
        <x:v>Supplier 008</x:v>
      </x:c>
      <x:c r="M1409" t="str">
        <x:v>REG-666105</x:v>
      </x:c>
      <x:c r="N1409" t="str">
        <x:v>Generic Ingredient 147</x:v>
      </x:c>
      <x:c r="O1409" t="str">
        <x:v>General Sale</x:v>
      </x:c>
      <x:c r="P1409" t="n">
        <x:v>45</x:v>
      </x:c>
      <x:c r="Q1409" t="n">
        <x:v>38</x:v>
      </x:c>
      <x:c r="R1409" t="n">
        <x:v>16</x:v>
      </x:c>
      <x:c r="S1409" s="12" t="n">
        <x:f>E1409*Q1409</x:f>
        <x:v>2861.0200000000004</x:v>
      </x:c>
      <x:c r="T1409" s="12" t="n">
        <x:f>ROUND(S1409*F1409+0.000000001,2)</x:f>
        <x:v>732.42</x:v>
      </x:c>
      <x:c r="U1409" s="12" t="n">
        <x:f>E1409*R1409</x:f>
        <x:v>1204.64</x:v>
      </x:c>
      <x:c r="V1409" t="str">
        <x:f>IF(AND(C1409="Active",Q1409=0),"Active Zero Sales","Not Zero Sales")</x:f>
        <x:v>Not Zero Sales</x:v>
      </x:c>
      <x:c r="W1409" s="12" t="n">
        <x:f>IF(V1409="Active Zero Sales",U1409,0)</x:f>
        <x:v>0</x:v>
      </x:c>
      <x:c r="X1409" t="str">
        <x:f>IF(E1409&lt;25,"Low &lt; 25",IF(E1409&lt;100,"Medium 25-99",IF(E1409&lt;300,"High 100-299","Premium 300+")))</x:f>
        <x:v>Medium 25-99</x:v>
      </x:c>
      <x:c r="Y1409" t="n">
        <x:f>IF(C1409="Active",1,0)</x:f>
        <x:v>1</x:v>
      </x:c>
    </x:row>
    <x:row r="1410">
      <x:c r="A1410" t="str">
        <x:v>SKU01409</x:v>
      </x:c>
      <x:c r="B1410" t="str">
        <x:v>Sample Product 01409</x:v>
      </x:c>
      <x:c r="C1410" t="str">
        <x:v>Active</x:v>
      </x:c>
      <x:c r="D1410" t="str">
        <x:v>2026-06</x:v>
      </x:c>
      <x:c r="E1410" s="12" t="n">
        <x:v>68.09</x:v>
      </x:c>
      <x:c r="F1410" s="10" t="n">
        <x:v>0.342</x:v>
      </x:c>
      <x:c r="G1410" t="str">
        <x:v>Personal Care</x:v>
      </x:c>
      <x:c r="H1410" t="str">
        <x:v>Hygiene</x:v>
      </x:c>
      <x:c r="I1410" t="str">
        <x:v>MFG017</x:v>
      </x:c>
      <x:c r="J1410" t="str">
        <x:v>Manufacturer 017</x:v>
      </x:c>
      <x:c r="K1410" t="str">
        <x:v>SUP011</x:v>
      </x:c>
      <x:c r="L1410" t="str">
        <x:v>Supplier 011</x:v>
      </x:c>
      <x:c r="M1410" t="str">
        <x:v>REG-422988</x:v>
      </x:c>
      <x:c r="N1410" t="str">
        <x:v>Generic Ingredient 034</x:v>
      </x:c>
      <x:c r="O1410" t="str">
        <x:v>General Sale</x:v>
      </x:c>
      <x:c r="P1410" t="n">
        <x:v>44</x:v>
      </x:c>
      <x:c r="Q1410" t="n">
        <x:v>23</x:v>
      </x:c>
      <x:c r="R1410" t="n">
        <x:v>20</x:v>
      </x:c>
      <x:c r="S1410" s="12" t="n">
        <x:f>E1410*Q1410</x:f>
        <x:v>1566.0700000000002</x:v>
      </x:c>
      <x:c r="T1410" s="12" t="n">
        <x:f>ROUND(S1410*F1410+0.000000001,2)</x:f>
        <x:v>535.6</x:v>
      </x:c>
      <x:c r="U1410" s="12" t="n">
        <x:f>E1410*R1410</x:f>
        <x:v>1361.8000000000002</x:v>
      </x:c>
      <x:c r="V1410" t="str">
        <x:f>IF(AND(C1410="Active",Q1410=0),"Active Zero Sales","Not Zero Sales")</x:f>
        <x:v>Not Zero Sales</x:v>
      </x:c>
      <x:c r="W1410" s="12" t="n">
        <x:f>IF(V1410="Active Zero Sales",U1410,0)</x:f>
        <x:v>0</x:v>
      </x:c>
      <x:c r="X1410" t="str">
        <x:f>IF(E1410&lt;25,"Low &lt; 25",IF(E1410&lt;100,"Medium 25-99",IF(E1410&lt;300,"High 100-299","Premium 300+")))</x:f>
        <x:v>Medium 25-99</x:v>
      </x:c>
      <x:c r="Y1410" t="n">
        <x:f>IF(C1410="Active",1,0)</x:f>
        <x:v>1</x:v>
      </x:c>
    </x:row>
    <x:row r="1411">
      <x:c r="A1411" t="str">
        <x:v>SKU01410</x:v>
      </x:c>
      <x:c r="B1411" t="str">
        <x:v>Sample Product 01410</x:v>
      </x:c>
      <x:c r="C1411" t="str">
        <x:v>Blocked</x:v>
      </x:c>
      <x:c r="D1411" t="str">
        <x:v>2026-04</x:v>
      </x:c>
      <x:c r="E1411" s="12" t="n">
        <x:v>116.77</x:v>
      </x:c>
      <x:c r="F1411" s="10" t="n">
        <x:v>0.362</x:v>
      </x:c>
      <x:c r="G1411" t="str">
        <x:v>Medical Devices</x:v>
      </x:c>
      <x:c r="H1411" t="str">
        <x:v>Monitoring Supplies</x:v>
      </x:c>
      <x:c r="I1411" t="str">
        <x:v>MFG002</x:v>
      </x:c>
      <x:c r="J1411" t="str">
        <x:v>Manufacturer 002</x:v>
      </x:c>
      <x:c r="K1411" t="str">
        <x:v>SUP025</x:v>
      </x:c>
      <x:c r="L1411" t="str">
        <x:v>Supplier 025</x:v>
      </x:c>
      <x:c r="M1411" t="str">
        <x:v>REG-556579</x:v>
      </x:c>
      <x:c r="N1411" t="str">
        <x:v>Generic Ingredient 166</x:v>
      </x:c>
      <x:c r="O1411" t="str">
        <x:v>General Sale</x:v>
      </x:c>
      <x:c r="P1411" t="n">
        <x:v>35</x:v>
      </x:c>
      <x:c r="Q1411" t="n">
        <x:v>0</x:v>
      </x:c>
      <x:c r="R1411" t="n">
        <x:v>6</x:v>
      </x:c>
      <x:c r="S1411" s="12" t="n">
        <x:f>E1411*Q1411</x:f>
        <x:v>0</x:v>
      </x:c>
      <x:c r="T1411" s="12" t="n">
        <x:f>ROUND(S1411*F1411+0.000000001,2)</x:f>
        <x:v>0</x:v>
      </x:c>
      <x:c r="U1411" s="12" t="n">
        <x:f>E1411*R1411</x:f>
        <x:v>700.62</x:v>
      </x:c>
      <x:c r="V1411" t="str">
        <x:f>IF(AND(C1411="Active",Q1411=0),"Active Zero Sales","Not Zero Sales")</x:f>
        <x:v>Not Zero Sales</x:v>
      </x:c>
      <x:c r="W1411" s="12" t="n">
        <x:f>IF(V1411="Active Zero Sales",U1411,0)</x:f>
        <x:v>0</x:v>
      </x:c>
      <x:c r="X1411" t="str">
        <x:f>IF(E1411&lt;25,"Low &lt; 25",IF(E1411&lt;100,"Medium 25-99",IF(E1411&lt;300,"High 100-299","Premium 300+")))</x:f>
        <x:v>High 100-299</x:v>
      </x:c>
      <x:c r="Y1411" t="n">
        <x:f>IF(C1411="Active",1,0)</x:f>
        <x:v>0</x:v>
      </x:c>
    </x:row>
    <x:row r="1412">
      <x:c r="A1412" t="str">
        <x:v>SKU01411</x:v>
      </x:c>
      <x:c r="B1412" t="str">
        <x:v>Sample Product 01411</x:v>
      </x:c>
      <x:c r="C1412" t="str">
        <x:v>Blocked</x:v>
      </x:c>
      <x:c r="D1412" t="str">
        <x:v>2026-01</x:v>
      </x:c>
      <x:c r="E1412" s="12" t="n">
        <x:v>55.5</x:v>
      </x:c>
      <x:c r="F1412" s="10" t="n">
        <x:v>0.317</x:v>
      </x:c>
      <x:c r="G1412" t="str">
        <x:v>OTC &amp; Wellness</x:v>
      </x:c>
      <x:c r="H1412" t="str">
        <x:v>Digestive Care</x:v>
      </x:c>
      <x:c r="I1412" t="str">
        <x:v>MFG001</x:v>
      </x:c>
      <x:c r="J1412" t="str">
        <x:v>Manufacturer 001</x:v>
      </x:c>
      <x:c r="K1412" t="str">
        <x:v>SUP024</x:v>
      </x:c>
      <x:c r="L1412" t="str">
        <x:v>Supplier 024</x:v>
      </x:c>
      <x:c r="M1412" t="str">
        <x:v>REG-367220</x:v>
      </x:c>
      <x:c r="N1412" t="str">
        <x:v>Generic Ingredient 124</x:v>
      </x:c>
      <x:c r="O1412" t="str">
        <x:v>General Sale</x:v>
      </x:c>
      <x:c r="P1412" t="n">
        <x:v>4</x:v>
      </x:c>
      <x:c r="Q1412" t="n">
        <x:v>10</x:v>
      </x:c>
      <x:c r="R1412" t="n">
        <x:v>0</x:v>
      </x:c>
      <x:c r="S1412" s="12" t="n">
        <x:f>E1412*Q1412</x:f>
        <x:v>555</x:v>
      </x:c>
      <x:c r="T1412" s="12" t="n">
        <x:f>ROUND(S1412*F1412+0.000000001,2)</x:f>
        <x:v>175.94</x:v>
      </x:c>
      <x:c r="U1412" s="12" t="n">
        <x:f>E1412*R1412</x:f>
        <x:v>0</x:v>
      </x:c>
      <x:c r="V1412" t="str">
        <x:f>IF(AND(C1412="Active",Q1412=0),"Active Zero Sales","Not Zero Sales")</x:f>
        <x:v>Not Zero Sales</x:v>
      </x:c>
      <x:c r="W1412" s="12" t="n">
        <x:f>IF(V1412="Active Zero Sales",U1412,0)</x:f>
        <x:v>0</x:v>
      </x:c>
      <x:c r="X1412" t="str">
        <x:f>IF(E1412&lt;25,"Low &lt; 25",IF(E1412&lt;100,"Medium 25-99",IF(E1412&lt;300,"High 100-299","Premium 300+")))</x:f>
        <x:v>Medium 25-99</x:v>
      </x:c>
      <x:c r="Y1412" t="n">
        <x:f>IF(C1412="Active",1,0)</x:f>
        <x:v>0</x:v>
      </x:c>
    </x:row>
    <x:row r="1413">
      <x:c r="A1413" t="str">
        <x:v>SKU01412</x:v>
      </x:c>
      <x:c r="B1413" t="str">
        <x:v>Sample Product 01412</x:v>
      </x:c>
      <x:c r="C1413" t="str">
        <x:v>Blocked</x:v>
      </x:c>
      <x:c r="D1413" t="str">
        <x:v>2026-02</x:v>
      </x:c>
      <x:c r="E1413" s="12" t="n">
        <x:v>11.01</x:v>
      </x:c>
      <x:c r="F1413" s="10" t="n">
        <x:v>0.366</x:v>
      </x:c>
      <x:c r="G1413" t="str">
        <x:v>General Merchandise</x:v>
      </x:c>
      <x:c r="H1413" t="str">
        <x:v>Seasonal Care</x:v>
      </x:c>
      <x:c r="I1413" t="str">
        <x:v>MFG017</x:v>
      </x:c>
      <x:c r="J1413" t="str">
        <x:v>Manufacturer 017</x:v>
      </x:c>
      <x:c r="K1413" t="str">
        <x:v>SUP021</x:v>
      </x:c>
      <x:c r="L1413" t="str">
        <x:v>Supplier 021</x:v>
      </x:c>
      <x:c r="M1413" t="str">
        <x:v>REG-209780</x:v>
      </x:c>
      <x:c r="N1413" t="str">
        <x:v>Generic Ingredient 049</x:v>
      </x:c>
      <x:c r="O1413" t="str">
        <x:v>Pharmacy Only</x:v>
      </x:c>
      <x:c r="P1413" t="n">
        <x:v>49</x:v>
      </x:c>
      <x:c r="Q1413" t="n">
        <x:v>6</x:v>
      </x:c>
      <x:c r="R1413" t="n">
        <x:v>0</x:v>
      </x:c>
      <x:c r="S1413" s="12" t="n">
        <x:f>E1413*Q1413</x:f>
        <x:v>66.06</x:v>
      </x:c>
      <x:c r="T1413" s="12" t="n">
        <x:f>ROUND(S1413*F1413+0.000000001,2)</x:f>
        <x:v>24.18</x:v>
      </x:c>
      <x:c r="U1413" s="12" t="n">
        <x:f>E1413*R1413</x:f>
        <x:v>0</x:v>
      </x:c>
      <x:c r="V1413" t="str">
        <x:f>IF(AND(C1413="Active",Q1413=0),"Active Zero Sales","Not Zero Sales")</x:f>
        <x:v>Not Zero Sales</x:v>
      </x:c>
      <x:c r="W1413" s="12" t="n">
        <x:f>IF(V1413="Active Zero Sales",U1413,0)</x:f>
        <x:v>0</x:v>
      </x:c>
      <x:c r="X1413" t="str">
        <x:f>IF(E1413&lt;25,"Low &lt; 25",IF(E1413&lt;100,"Medium 25-99",IF(E1413&lt;300,"High 100-299","Premium 300+")))</x:f>
        <x:v>Low &lt; 25</x:v>
      </x:c>
      <x:c r="Y1413" t="n">
        <x:f>IF(C1413="Active",1,0)</x:f>
        <x:v>0</x:v>
      </x:c>
    </x:row>
    <x:row r="1414">
      <x:c r="A1414" t="str">
        <x:v>SKU01413</x:v>
      </x:c>
      <x:c r="B1414" t="str">
        <x:v>Sample Product 01413</x:v>
      </x:c>
      <x:c r="C1414" t="str">
        <x:v>Active</x:v>
      </x:c>
      <x:c r="D1414" t="str">
        <x:v>2026-02</x:v>
      </x:c>
      <x:c r="E1414" s="12" t="n">
        <x:v>43.03</x:v>
      </x:c>
      <x:c r="F1414" s="10" t="n">
        <x:v>0.332</x:v>
      </x:c>
      <x:c r="G1414" t="str">
        <x:v>General Merchandise</x:v>
      </x:c>
      <x:c r="H1414" t="str">
        <x:v>Baby Essentials</x:v>
      </x:c>
      <x:c r="I1414" t="str">
        <x:v>MFG013</x:v>
      </x:c>
      <x:c r="J1414" t="str">
        <x:v>Manufacturer 013</x:v>
      </x:c>
      <x:c r="K1414" t="str">
        <x:v>SUP010</x:v>
      </x:c>
      <x:c r="L1414" t="str">
        <x:v>Supplier 010</x:v>
      </x:c>
      <x:c r="M1414" t="str">
        <x:v>REG-909839</x:v>
      </x:c>
      <x:c r="N1414" t="str">
        <x:v>Generic Ingredient 013</x:v>
      </x:c>
      <x:c r="O1414" t="str">
        <x:v>Pharmacy Only</x:v>
      </x:c>
      <x:c r="P1414" t="n">
        <x:v>56</x:v>
      </x:c>
      <x:c r="Q1414" t="n">
        <x:v>36</x:v>
      </x:c>
      <x:c r="R1414" t="n">
        <x:v>28</x:v>
      </x:c>
      <x:c r="S1414" s="12" t="n">
        <x:f>E1414*Q1414</x:f>
        <x:v>1549.08</x:v>
      </x:c>
      <x:c r="T1414" s="12" t="n">
        <x:f>ROUND(S1414*F1414+0.000000001,2)</x:f>
        <x:v>514.29</x:v>
      </x:c>
      <x:c r="U1414" s="12" t="n">
        <x:f>E1414*R1414</x:f>
        <x:v>1204.8400000000001</x:v>
      </x:c>
      <x:c r="V1414" t="str">
        <x:f>IF(AND(C1414="Active",Q1414=0),"Active Zero Sales","Not Zero Sales")</x:f>
        <x:v>Not Zero Sales</x:v>
      </x:c>
      <x:c r="W1414" s="12" t="n">
        <x:f>IF(V1414="Active Zero Sales",U1414,0)</x:f>
        <x:v>0</x:v>
      </x:c>
      <x:c r="X1414" t="str">
        <x:f>IF(E1414&lt;25,"Low &lt; 25",IF(E1414&lt;100,"Medium 25-99",IF(E1414&lt;300,"High 100-299","Premium 300+")))</x:f>
        <x:v>Medium 25-99</x:v>
      </x:c>
      <x:c r="Y1414" t="n">
        <x:f>IF(C1414="Active",1,0)</x:f>
        <x:v>1</x:v>
      </x:c>
    </x:row>
    <x:row r="1415">
      <x:c r="A1415" t="str">
        <x:v>SKU01414</x:v>
      </x:c>
      <x:c r="B1415" t="str">
        <x:v>Sample Product 01414</x:v>
      </x:c>
      <x:c r="C1415" t="str">
        <x:v>Active</x:v>
      </x:c>
      <x:c r="D1415" t="str">
        <x:v>2026-02</x:v>
      </x:c>
      <x:c r="E1415" s="12" t="n">
        <x:v>7.47</x:v>
      </x:c>
      <x:c r="F1415" s="10" t="n">
        <x:v>0.333</x:v>
      </x:c>
      <x:c r="G1415" t="str">
        <x:v>Nutrition</x:v>
      </x:c>
      <x:c r="H1415" t="str">
        <x:v>Adult Nutrition</x:v>
      </x:c>
      <x:c r="I1415" t="str">
        <x:v>MFG005</x:v>
      </x:c>
      <x:c r="J1415" t="str">
        <x:v>Manufacturer 005</x:v>
      </x:c>
      <x:c r="K1415" t="str">
        <x:v>SUP005</x:v>
      </x:c>
      <x:c r="L1415" t="str">
        <x:v>Supplier 005</x:v>
      </x:c>
      <x:c r="M1415" t="str">
        <x:v>REG-991019</x:v>
      </x:c>
      <x:c r="N1415" t="str">
        <x:v>Generic Ingredient 059</x:v>
      </x:c>
      <x:c r="O1415" t="str">
        <x:v>General Sale</x:v>
      </x:c>
      <x:c r="P1415" t="n">
        <x:v>22</x:v>
      </x:c>
      <x:c r="Q1415" t="n">
        <x:v>9</x:v>
      </x:c>
      <x:c r="R1415" t="n">
        <x:v>17</x:v>
      </x:c>
      <x:c r="S1415" s="12" t="n">
        <x:f>E1415*Q1415</x:f>
        <x:v>67.23</x:v>
      </x:c>
      <x:c r="T1415" s="12" t="n">
        <x:f>ROUND(S1415*F1415+0.000000001,2)</x:f>
        <x:v>22.39</x:v>
      </x:c>
      <x:c r="U1415" s="12" t="n">
        <x:f>E1415*R1415</x:f>
        <x:v>126.99</x:v>
      </x:c>
      <x:c r="V1415" t="str">
        <x:f>IF(AND(C1415="Active",Q1415=0),"Active Zero Sales","Not Zero Sales")</x:f>
        <x:v>Not Zero Sales</x:v>
      </x:c>
      <x:c r="W1415" s="12" t="n">
        <x:f>IF(V1415="Active Zero Sales",U1415,0)</x:f>
        <x:v>0</x:v>
      </x:c>
      <x:c r="X1415" t="str">
        <x:f>IF(E1415&lt;25,"Low &lt; 25",IF(E1415&lt;100,"Medium 25-99",IF(E1415&lt;300,"High 100-299","Premium 300+")))</x:f>
        <x:v>Low &lt; 25</x:v>
      </x:c>
      <x:c r="Y1415" t="n">
        <x:f>IF(C1415="Active",1,0)</x:f>
        <x:v>1</x:v>
      </x:c>
    </x:row>
    <x:row r="1416">
      <x:c r="A1416" t="str">
        <x:v>SKU01415</x:v>
      </x:c>
      <x:c r="B1416" t="str">
        <x:v>Sample Product 01415</x:v>
      </x:c>
      <x:c r="C1416" t="str">
        <x:v>Active</x:v>
      </x:c>
      <x:c r="D1416" t="str">
        <x:v>2026-06</x:v>
      </x:c>
      <x:c r="E1416" s="12" t="n">
        <x:v>14</x:v>
      </x:c>
      <x:c r="F1416" s="10" t="n">
        <x:v>0.192</x:v>
      </x:c>
      <x:c r="G1416" t="str">
        <x:v>Medical Devices</x:v>
      </x:c>
      <x:c r="H1416" t="str">
        <x:v>Mobility Aids</x:v>
      </x:c>
      <x:c r="I1416" t="str">
        <x:v>MFG010</x:v>
      </x:c>
      <x:c r="J1416" t="str">
        <x:v>Manufacturer 010</x:v>
      </x:c>
      <x:c r="K1416" t="str">
        <x:v>SUP011</x:v>
      </x:c>
      <x:c r="L1416" t="str">
        <x:v>Supplier 011</x:v>
      </x:c>
      <x:c r="M1416" t="str">
        <x:v>REG-460366</x:v>
      </x:c>
      <x:c r="N1416" t="str">
        <x:v>Generic Ingredient 109</x:v>
      </x:c>
      <x:c r="O1416" t="str">
        <x:v>General Sale</x:v>
      </x:c>
      <x:c r="P1416" t="n">
        <x:v>31</x:v>
      </x:c>
      <x:c r="Q1416" t="n">
        <x:v>19</x:v>
      </x:c>
      <x:c r="R1416" t="n">
        <x:v>3</x:v>
      </x:c>
      <x:c r="S1416" s="12" t="n">
        <x:f>E1416*Q1416</x:f>
        <x:v>266</x:v>
      </x:c>
      <x:c r="T1416" s="12" t="n">
        <x:f>ROUND(S1416*F1416+0.000000001,2)</x:f>
        <x:v>51.07</x:v>
      </x:c>
      <x:c r="U1416" s="12" t="n">
        <x:f>E1416*R1416</x:f>
        <x:v>42</x:v>
      </x:c>
      <x:c r="V1416" t="str">
        <x:f>IF(AND(C1416="Active",Q1416=0),"Active Zero Sales","Not Zero Sales")</x:f>
        <x:v>Not Zero Sales</x:v>
      </x:c>
      <x:c r="W1416" s="12" t="n">
        <x:f>IF(V1416="Active Zero Sales",U1416,0)</x:f>
        <x:v>0</x:v>
      </x:c>
      <x:c r="X1416" t="str">
        <x:f>IF(E1416&lt;25,"Low &lt; 25",IF(E1416&lt;100,"Medium 25-99",IF(E1416&lt;300,"High 100-299","Premium 300+")))</x:f>
        <x:v>Low &lt; 25</x:v>
      </x:c>
      <x:c r="Y1416" t="n">
        <x:f>IF(C1416="Active",1,0)</x:f>
        <x:v>1</x:v>
      </x:c>
    </x:row>
    <x:row r="1417">
      <x:c r="A1417" t="str">
        <x:v>SKU01416</x:v>
      </x:c>
      <x:c r="B1417" t="str">
        <x:v>Sample Product 01416</x:v>
      </x:c>
      <x:c r="C1417" t="str">
        <x:v>Active</x:v>
      </x:c>
      <x:c r="D1417" t="str">
        <x:v>2026-01</x:v>
      </x:c>
      <x:c r="E1417" s="12" t="n">
        <x:v>254.08</x:v>
      </x:c>
      <x:c r="F1417" s="10" t="n">
        <x:v>0.285</x:v>
      </x:c>
      <x:c r="G1417" t="str">
        <x:v>General Merchandise</x:v>
      </x:c>
      <x:c r="H1417" t="str">
        <x:v>Seasonal Care</x:v>
      </x:c>
      <x:c r="I1417" t="str">
        <x:v>MFG015</x:v>
      </x:c>
      <x:c r="J1417" t="str">
        <x:v>Manufacturer 015</x:v>
      </x:c>
      <x:c r="K1417" t="str">
        <x:v>SUP025</x:v>
      </x:c>
      <x:c r="L1417" t="str">
        <x:v>Supplier 025</x:v>
      </x:c>
      <x:c r="M1417" t="str">
        <x:v>REG-891623</x:v>
      </x:c>
      <x:c r="N1417" t="str">
        <x:v>Generic Ingredient 030</x:v>
      </x:c>
      <x:c r="O1417" t="str">
        <x:v>General Sale</x:v>
      </x:c>
      <x:c r="P1417" t="n">
        <x:v>115</x:v>
      </x:c>
      <x:c r="Q1417" t="n">
        <x:v>53</x:v>
      </x:c>
      <x:c r="R1417" t="n">
        <x:v>23</x:v>
      </x:c>
      <x:c r="S1417" s="12" t="n">
        <x:f>E1417*Q1417</x:f>
        <x:v>13466.24</x:v>
      </x:c>
      <x:c r="T1417" s="12" t="n">
        <x:f>ROUND(S1417*F1417+0.000000001,2)</x:f>
        <x:v>3837.88</x:v>
      </x:c>
      <x:c r="U1417" s="12" t="n">
        <x:f>E1417*R1417</x:f>
        <x:v>5843.84</x:v>
      </x:c>
      <x:c r="V1417" t="str">
        <x:f>IF(AND(C1417="Active",Q1417=0),"Active Zero Sales","Not Zero Sales")</x:f>
        <x:v>Not Zero Sales</x:v>
      </x:c>
      <x:c r="W1417" s="12" t="n">
        <x:f>IF(V1417="Active Zero Sales",U1417,0)</x:f>
        <x:v>0</x:v>
      </x:c>
      <x:c r="X1417" t="str">
        <x:f>IF(E1417&lt;25,"Low &lt; 25",IF(E1417&lt;100,"Medium 25-99",IF(E1417&lt;300,"High 100-299","Premium 300+")))</x:f>
        <x:v>High 100-299</x:v>
      </x:c>
      <x:c r="Y1417" t="n">
        <x:f>IF(C1417="Active",1,0)</x:f>
        <x:v>1</x:v>
      </x:c>
    </x:row>
    <x:row r="1418">
      <x:c r="A1418" t="str">
        <x:v>SKU01417</x:v>
      </x:c>
      <x:c r="B1418" t="str">
        <x:v>Sample Product 01417</x:v>
      </x:c>
      <x:c r="C1418" t="str">
        <x:v>Active</x:v>
      </x:c>
      <x:c r="D1418" t="str">
        <x:v>2026-05</x:v>
      </x:c>
      <x:c r="E1418" s="12" t="n">
        <x:v>92.24</x:v>
      </x:c>
      <x:c r="F1418" s="10" t="n">
        <x:v>0.455</x:v>
      </x:c>
      <x:c r="G1418" t="str">
        <x:v>Personal Care</x:v>
      </x:c>
      <x:c r="H1418" t="str">
        <x:v>Hair Care</x:v>
      </x:c>
      <x:c r="I1418" t="str">
        <x:v>MFG014</x:v>
      </x:c>
      <x:c r="J1418" t="str">
        <x:v>Manufacturer 014</x:v>
      </x:c>
      <x:c r="K1418" t="str">
        <x:v>SUP021</x:v>
      </x:c>
      <x:c r="L1418" t="str">
        <x:v>Supplier 021</x:v>
      </x:c>
      <x:c r="M1418" t="str">
        <x:v>REG-941605</x:v>
      </x:c>
      <x:c r="N1418" t="str">
        <x:v>Generic Ingredient 060</x:v>
      </x:c>
      <x:c r="O1418" t="str">
        <x:v>General Sale</x:v>
      </x:c>
      <x:c r="P1418" t="n">
        <x:v>100</x:v>
      </x:c>
      <x:c r="Q1418" t="n">
        <x:v>53</x:v>
      </x:c>
      <x:c r="R1418" t="n">
        <x:v>28</x:v>
      </x:c>
      <x:c r="S1418" s="12" t="n">
        <x:f>E1418*Q1418</x:f>
        <x:v>4888.719999999999</x:v>
      </x:c>
      <x:c r="T1418" s="12" t="n">
        <x:f>ROUND(S1418*F1418+0.000000001,2)</x:f>
        <x:v>2224.37</x:v>
      </x:c>
      <x:c r="U1418" s="12" t="n">
        <x:f>E1418*R1418</x:f>
        <x:v>2582.72</x:v>
      </x:c>
      <x:c r="V1418" t="str">
        <x:f>IF(AND(C1418="Active",Q1418=0),"Active Zero Sales","Not Zero Sales")</x:f>
        <x:v>Not Zero Sales</x:v>
      </x:c>
      <x:c r="W1418" s="12" t="n">
        <x:f>IF(V1418="Active Zero Sales",U1418,0)</x:f>
        <x:v>0</x:v>
      </x:c>
      <x:c r="X1418" t="str">
        <x:f>IF(E1418&lt;25,"Low &lt; 25",IF(E1418&lt;100,"Medium 25-99",IF(E1418&lt;300,"High 100-299","Premium 300+")))</x:f>
        <x:v>Medium 25-99</x:v>
      </x:c>
      <x:c r="Y1418" t="n">
        <x:f>IF(C1418="Active",1,0)</x:f>
        <x:v>1</x:v>
      </x:c>
    </x:row>
    <x:row r="1419">
      <x:c r="A1419" t="str">
        <x:v>SKU01418</x:v>
      </x:c>
      <x:c r="B1419" t="str">
        <x:v>Sample Product 01418</x:v>
      </x:c>
      <x:c r="C1419" t="str">
        <x:v>Blocked</x:v>
      </x:c>
      <x:c r="D1419" t="str">
        <x:v>2026-04</x:v>
      </x:c>
      <x:c r="E1419" s="12" t="n">
        <x:v>68.23</x:v>
      </x:c>
      <x:c r="F1419" s="10" t="n">
        <x:v>0.336</x:v>
      </x:c>
      <x:c r="G1419" t="str">
        <x:v>Personal Care</x:v>
      </x:c>
      <x:c r="H1419" t="str">
        <x:v>Hair Care</x:v>
      </x:c>
      <x:c r="I1419" t="str">
        <x:v>MFG009</x:v>
      </x:c>
      <x:c r="J1419" t="str">
        <x:v>Manufacturer 009</x:v>
      </x:c>
      <x:c r="K1419" t="str">
        <x:v>SUP008</x:v>
      </x:c>
      <x:c r="L1419" t="str">
        <x:v>Supplier 008</x:v>
      </x:c>
      <x:c r="M1419" t="str">
        <x:v>REG-367154</x:v>
      </x:c>
      <x:c r="N1419" t="str">
        <x:v>Generic Ingredient 028</x:v>
      </x:c>
      <x:c r="O1419" t="str">
        <x:v>General Sale</x:v>
      </x:c>
      <x:c r="P1419" t="n">
        <x:v>2</x:v>
      </x:c>
      <x:c r="Q1419" t="n">
        <x:v>0</x:v>
      </x:c>
      <x:c r="R1419" t="n">
        <x:v>0</x:v>
      </x:c>
      <x:c r="S1419" s="12" t="n">
        <x:f>E1419*Q1419</x:f>
        <x:v>0</x:v>
      </x:c>
      <x:c r="T1419" s="12" t="n">
        <x:f>ROUND(S1419*F1419+0.000000001,2)</x:f>
        <x:v>0</x:v>
      </x:c>
      <x:c r="U1419" s="12" t="n">
        <x:f>E1419*R1419</x:f>
        <x:v>0</x:v>
      </x:c>
      <x:c r="V1419" t="str">
        <x:f>IF(AND(C1419="Active",Q1419=0),"Active Zero Sales","Not Zero Sales")</x:f>
        <x:v>Not Zero Sales</x:v>
      </x:c>
      <x:c r="W1419" s="12" t="n">
        <x:f>IF(V1419="Active Zero Sales",U1419,0)</x:f>
        <x:v>0</x:v>
      </x:c>
      <x:c r="X1419" t="str">
        <x:f>IF(E1419&lt;25,"Low &lt; 25",IF(E1419&lt;100,"Medium 25-99",IF(E1419&lt;300,"High 100-299","Premium 300+")))</x:f>
        <x:v>Medium 25-99</x:v>
      </x:c>
      <x:c r="Y1419" t="n">
        <x:f>IF(C1419="Active",1,0)</x:f>
        <x:v>0</x:v>
      </x:c>
    </x:row>
    <x:row r="1420">
      <x:c r="A1420" t="str">
        <x:v>SKU01419</x:v>
      </x:c>
      <x:c r="B1420" t="str">
        <x:v>Sample Product 01419</x:v>
      </x:c>
      <x:c r="C1420" t="str">
        <x:v>Active</x:v>
      </x:c>
      <x:c r="D1420" t="str">
        <x:v>2026-02</x:v>
      </x:c>
      <x:c r="E1420" s="12" t="n">
        <x:v>357.48</x:v>
      </x:c>
      <x:c r="F1420" s="10" t="n">
        <x:v>0.39</x:v>
      </x:c>
      <x:c r="G1420" t="str">
        <x:v>Medical Devices</x:v>
      </x:c>
      <x:c r="H1420" t="str">
        <x:v>First Aid</x:v>
      </x:c>
      <x:c r="I1420" t="str">
        <x:v>MFG016</x:v>
      </x:c>
      <x:c r="J1420" t="str">
        <x:v>Manufacturer 016</x:v>
      </x:c>
      <x:c r="K1420" t="str">
        <x:v>SUP005</x:v>
      </x:c>
      <x:c r="L1420" t="str">
        <x:v>Supplier 005</x:v>
      </x:c>
      <x:c r="M1420" t="str">
        <x:v>REG-434320</x:v>
      </x:c>
      <x:c r="N1420" t="str">
        <x:v>Generic Ingredient 127</x:v>
      </x:c>
      <x:c r="O1420" t="str">
        <x:v>General Sale</x:v>
      </x:c>
      <x:c r="P1420" t="n">
        <x:v>61</x:v>
      </x:c>
      <x:c r="Q1420" t="n">
        <x:v>40</x:v>
      </x:c>
      <x:c r="R1420" t="n">
        <x:v>4</x:v>
      </x:c>
      <x:c r="S1420" s="12" t="n">
        <x:f>E1420*Q1420</x:f>
        <x:v>14299.2</x:v>
      </x:c>
      <x:c r="T1420" s="12" t="n">
        <x:f>ROUND(S1420*F1420+0.000000001,2)</x:f>
        <x:v>5576.69</x:v>
      </x:c>
      <x:c r="U1420" s="12" t="n">
        <x:f>E1420*R1420</x:f>
        <x:v>1429.92</x:v>
      </x:c>
      <x:c r="V1420" t="str">
        <x:f>IF(AND(C1420="Active",Q1420=0),"Active Zero Sales","Not Zero Sales")</x:f>
        <x:v>Not Zero Sales</x:v>
      </x:c>
      <x:c r="W1420" s="12" t="n">
        <x:f>IF(V1420="Active Zero Sales",U1420,0)</x:f>
        <x:v>0</x:v>
      </x:c>
      <x:c r="X1420" t="str">
        <x:f>IF(E1420&lt;25,"Low &lt; 25",IF(E1420&lt;100,"Medium 25-99",IF(E1420&lt;300,"High 100-299","Premium 300+")))</x:f>
        <x:v>Premium 300+</x:v>
      </x:c>
      <x:c r="Y1420" t="n">
        <x:f>IF(C1420="Active",1,0)</x:f>
        <x:v>1</x:v>
      </x:c>
    </x:row>
    <x:row r="1421">
      <x:c r="A1421" t="str">
        <x:v>SKU01420</x:v>
      </x:c>
      <x:c r="B1421" t="str">
        <x:v>Sample Product 01420</x:v>
      </x:c>
      <x:c r="C1421" t="str">
        <x:v>Active</x:v>
      </x:c>
      <x:c r="D1421" t="str">
        <x:v>2026-06</x:v>
      </x:c>
      <x:c r="E1421" s="12" t="n">
        <x:v>23.38</x:v>
      </x:c>
      <x:c r="F1421" s="10" t="n">
        <x:v>0.425</x:v>
      </x:c>
      <x:c r="G1421" t="str">
        <x:v>Personal Care</x:v>
      </x:c>
      <x:c r="H1421" t="str">
        <x:v>Hair Care</x:v>
      </x:c>
      <x:c r="I1421" t="str">
        <x:v>MFG002</x:v>
      </x:c>
      <x:c r="J1421" t="str">
        <x:v>Manufacturer 002</x:v>
      </x:c>
      <x:c r="K1421" t="str">
        <x:v>SUP018</x:v>
      </x:c>
      <x:c r="L1421" t="str">
        <x:v>Supplier 018</x:v>
      </x:c>
      <x:c r="M1421" t="str">
        <x:v>REG-232434</x:v>
      </x:c>
      <x:c r="N1421" t="str">
        <x:v>Generic Ingredient 101</x:v>
      </x:c>
      <x:c r="O1421" t="str">
        <x:v>General Sale</x:v>
      </x:c>
      <x:c r="P1421" t="n">
        <x:v>76</x:v>
      </x:c>
      <x:c r="Q1421" t="n">
        <x:v>25</x:v>
      </x:c>
      <x:c r="R1421" t="n">
        <x:v>22</x:v>
      </x:c>
      <x:c r="S1421" s="12" t="n">
        <x:f>E1421*Q1421</x:f>
        <x:v>584.5</x:v>
      </x:c>
      <x:c r="T1421" s="12" t="n">
        <x:f>ROUND(S1421*F1421+0.000000001,2)</x:f>
        <x:v>248.41</x:v>
      </x:c>
      <x:c r="U1421" s="12" t="n">
        <x:f>E1421*R1421</x:f>
        <x:v>514.36</x:v>
      </x:c>
      <x:c r="V1421" t="str">
        <x:f>IF(AND(C1421="Active",Q1421=0),"Active Zero Sales","Not Zero Sales")</x:f>
        <x:v>Not Zero Sales</x:v>
      </x:c>
      <x:c r="W1421" s="12" t="n">
        <x:f>IF(V1421="Active Zero Sales",U1421,0)</x:f>
        <x:v>0</x:v>
      </x:c>
      <x:c r="X1421" t="str">
        <x:f>IF(E1421&lt;25,"Low &lt; 25",IF(E1421&lt;100,"Medium 25-99",IF(E1421&lt;300,"High 100-299","Premium 300+")))</x:f>
        <x:v>Low &lt; 25</x:v>
      </x:c>
      <x:c r="Y1421" t="n">
        <x:f>IF(C1421="Active",1,0)</x:f>
        <x:v>1</x:v>
      </x:c>
    </x:row>
    <x:row r="1422">
      <x:c r="A1422" t="str">
        <x:v>SKU01421</x:v>
      </x:c>
      <x:c r="B1422" t="str">
        <x:v>Sample Product 01421</x:v>
      </x:c>
      <x:c r="C1422" t="str">
        <x:v>Active</x:v>
      </x:c>
      <x:c r="D1422" t="str">
        <x:v>2026-04</x:v>
      </x:c>
      <x:c r="E1422" s="12" t="n">
        <x:v>79.38</x:v>
      </x:c>
      <x:c r="F1422" s="10" t="n">
        <x:v>0.382</x:v>
      </x:c>
      <x:c r="G1422" t="str">
        <x:v>Personal Care</x:v>
      </x:c>
      <x:c r="H1422" t="str">
        <x:v>Hair Care</x:v>
      </x:c>
      <x:c r="I1422" t="str">
        <x:v>MFG013</x:v>
      </x:c>
      <x:c r="J1422" t="str">
        <x:v>Manufacturer 013</x:v>
      </x:c>
      <x:c r="K1422" t="str">
        <x:v>SUP019</x:v>
      </x:c>
      <x:c r="L1422" t="str">
        <x:v>Supplier 019</x:v>
      </x:c>
      <x:c r="M1422" t="str">
        <x:v>REG-381618</x:v>
      </x:c>
      <x:c r="N1422" t="str">
        <x:v>Generic Ingredient 056</x:v>
      </x:c>
      <x:c r="O1422" t="str">
        <x:v>General Sale</x:v>
      </x:c>
      <x:c r="P1422" t="n">
        <x:v>38</x:v>
      </x:c>
      <x:c r="Q1422" t="n">
        <x:v>15</x:v>
      </x:c>
      <x:c r="R1422" t="n">
        <x:v>15</x:v>
      </x:c>
      <x:c r="S1422" s="12" t="n">
        <x:f>E1422*Q1422</x:f>
        <x:v>1190.6999999999998</x:v>
      </x:c>
      <x:c r="T1422" s="12" t="n">
        <x:f>ROUND(S1422*F1422+0.000000001,2)</x:f>
        <x:v>454.85</x:v>
      </x:c>
      <x:c r="U1422" s="12" t="n">
        <x:f>E1422*R1422</x:f>
        <x:v>1190.6999999999998</x:v>
      </x:c>
      <x:c r="V1422" t="str">
        <x:f>IF(AND(C1422="Active",Q1422=0),"Active Zero Sales","Not Zero Sales")</x:f>
        <x:v>Not Zero Sales</x:v>
      </x:c>
      <x:c r="W1422" s="12" t="n">
        <x:f>IF(V1422="Active Zero Sales",U1422,0)</x:f>
        <x:v>0</x:v>
      </x:c>
      <x:c r="X1422" t="str">
        <x:f>IF(E1422&lt;25,"Low &lt; 25",IF(E1422&lt;100,"Medium 25-99",IF(E1422&lt;300,"High 100-299","Premium 300+")))</x:f>
        <x:v>Medium 25-99</x:v>
      </x:c>
      <x:c r="Y1422" t="n">
        <x:f>IF(C1422="Active",1,0)</x:f>
        <x:v>1</x:v>
      </x:c>
    </x:row>
    <x:row r="1423">
      <x:c r="A1423" t="str">
        <x:v>SKU01422</x:v>
      </x:c>
      <x:c r="B1423" t="str">
        <x:v>Sample Product 01422</x:v>
      </x:c>
      <x:c r="C1423" t="str">
        <x:v>Active</x:v>
      </x:c>
      <x:c r="D1423" t="str">
        <x:v>2026-06</x:v>
      </x:c>
      <x:c r="E1423" s="12" t="n">
        <x:v>15.57</x:v>
      </x:c>
      <x:c r="F1423" s="10" t="n">
        <x:v>0.383</x:v>
      </x:c>
      <x:c r="G1423" t="str">
        <x:v>Personal Care</x:v>
      </x:c>
      <x:c r="H1423" t="str">
        <x:v>Hygiene</x:v>
      </x:c>
      <x:c r="I1423" t="str">
        <x:v>MFG010</x:v>
      </x:c>
      <x:c r="J1423" t="str">
        <x:v>Manufacturer 010</x:v>
      </x:c>
      <x:c r="K1423" t="str">
        <x:v>SUP019</x:v>
      </x:c>
      <x:c r="L1423" t="str">
        <x:v>Supplier 019</x:v>
      </x:c>
      <x:c r="M1423" t="str">
        <x:v>REG-738044</x:v>
      </x:c>
      <x:c r="N1423" t="str">
        <x:v>Generic Ingredient 150</x:v>
      </x:c>
      <x:c r="O1423" t="str">
        <x:v>General Sale</x:v>
      </x:c>
      <x:c r="P1423" t="n">
        <x:v>45</x:v>
      </x:c>
      <x:c r="Q1423" t="n">
        <x:v>14</x:v>
      </x:c>
      <x:c r="R1423" t="n">
        <x:v>10</x:v>
      </x:c>
      <x:c r="S1423" s="12" t="n">
        <x:f>E1423*Q1423</x:f>
        <x:v>217.98000000000002</x:v>
      </x:c>
      <x:c r="T1423" s="12" t="n">
        <x:f>ROUND(S1423*F1423+0.000000001,2)</x:f>
        <x:v>83.49</x:v>
      </x:c>
      <x:c r="U1423" s="12" t="n">
        <x:f>E1423*R1423</x:f>
        <x:v>155.7</x:v>
      </x:c>
      <x:c r="V1423" t="str">
        <x:f>IF(AND(C1423="Active",Q1423=0),"Active Zero Sales","Not Zero Sales")</x:f>
        <x:v>Not Zero Sales</x:v>
      </x:c>
      <x:c r="W1423" s="12" t="n">
        <x:f>IF(V1423="Active Zero Sales",U1423,0)</x:f>
        <x:v>0</x:v>
      </x:c>
      <x:c r="X1423" t="str">
        <x:f>IF(E1423&lt;25,"Low &lt; 25",IF(E1423&lt;100,"Medium 25-99",IF(E1423&lt;300,"High 100-299","Premium 300+")))</x:f>
        <x:v>Low &lt; 25</x:v>
      </x:c>
      <x:c r="Y1423" t="n">
        <x:f>IF(C1423="Active",1,0)</x:f>
        <x:v>1</x:v>
      </x:c>
    </x:row>
    <x:row r="1424">
      <x:c r="A1424" t="str">
        <x:v>SKU01423</x:v>
      </x:c>
      <x:c r="B1424" t="str">
        <x:v>Sample Product 01423</x:v>
      </x:c>
      <x:c r="C1424" t="str">
        <x:v>Active</x:v>
      </x:c>
      <x:c r="D1424" t="str">
        <x:v>2026-05</x:v>
      </x:c>
      <x:c r="E1424" s="12" t="n">
        <x:v>176.62</x:v>
      </x:c>
      <x:c r="F1424" s="10" t="n">
        <x:v>0.251</x:v>
      </x:c>
      <x:c r="G1424" t="str">
        <x:v>General Merchandise</x:v>
      </x:c>
      <x:c r="H1424" t="str">
        <x:v>Travel Health</x:v>
      </x:c>
      <x:c r="I1424" t="str">
        <x:v>MFG015</x:v>
      </x:c>
      <x:c r="J1424" t="str">
        <x:v>Manufacturer 015</x:v>
      </x:c>
      <x:c r="K1424" t="str">
        <x:v>SUP019</x:v>
      </x:c>
      <x:c r="L1424" t="str">
        <x:v>Supplier 019</x:v>
      </x:c>
      <x:c r="M1424" t="str">
        <x:v>REG-165337</x:v>
      </x:c>
      <x:c r="N1424" t="str">
        <x:v>Generic Ingredient 086</x:v>
      </x:c>
      <x:c r="O1424" t="str">
        <x:v>General Sale</x:v>
      </x:c>
      <x:c r="P1424" t="n">
        <x:v>202</x:v>
      </x:c>
      <x:c r="Q1424" t="n">
        <x:v>112</x:v>
      </x:c>
      <x:c r="R1424" t="n">
        <x:v>44</x:v>
      </x:c>
      <x:c r="S1424" s="12" t="n">
        <x:f>E1424*Q1424</x:f>
        <x:v>19781.440000000002</x:v>
      </x:c>
      <x:c r="T1424" s="12" t="n">
        <x:f>ROUND(S1424*F1424+0.000000001,2)</x:f>
        <x:v>4965.14</x:v>
      </x:c>
      <x:c r="U1424" s="12" t="n">
        <x:f>E1424*R1424</x:f>
        <x:v>7771.280000000001</x:v>
      </x:c>
      <x:c r="V1424" t="str">
        <x:f>IF(AND(C1424="Active",Q1424=0),"Active Zero Sales","Not Zero Sales")</x:f>
        <x:v>Not Zero Sales</x:v>
      </x:c>
      <x:c r="W1424" s="12" t="n">
        <x:f>IF(V1424="Active Zero Sales",U1424,0)</x:f>
        <x:v>0</x:v>
      </x:c>
      <x:c r="X1424" t="str">
        <x:f>IF(E1424&lt;25,"Low &lt; 25",IF(E1424&lt;100,"Medium 25-99",IF(E1424&lt;300,"High 100-299","Premium 300+")))</x:f>
        <x:v>High 100-299</x:v>
      </x:c>
      <x:c r="Y1424" t="n">
        <x:f>IF(C1424="Active",1,0)</x:f>
        <x:v>1</x:v>
      </x:c>
    </x:row>
    <x:row r="1425">
      <x:c r="A1425" t="str">
        <x:v>SKU01424</x:v>
      </x:c>
      <x:c r="B1425" t="str">
        <x:v>Sample Product 01424</x:v>
      </x:c>
      <x:c r="C1425" t="str">
        <x:v>Active</x:v>
      </x:c>
      <x:c r="D1425" t="str">
        <x:v>2026-04</x:v>
      </x:c>
      <x:c r="E1425" s="12" t="n">
        <x:v>14.64</x:v>
      </x:c>
      <x:c r="F1425" s="10" t="n">
        <x:v>0.493</x:v>
      </x:c>
      <x:c r="G1425" t="str">
        <x:v>OTC &amp; Wellness</x:v>
      </x:c>
      <x:c r="H1425" t="str">
        <x:v>Pain Relief</x:v>
      </x:c>
      <x:c r="I1425" t="str">
        <x:v>MFG014</x:v>
      </x:c>
      <x:c r="J1425" t="str">
        <x:v>Manufacturer 014</x:v>
      </x:c>
      <x:c r="K1425" t="str">
        <x:v>SUP004</x:v>
      </x:c>
      <x:c r="L1425" t="str">
        <x:v>Supplier 004</x:v>
      </x:c>
      <x:c r="M1425" t="str">
        <x:v>REG-776254</x:v>
      </x:c>
      <x:c r="N1425" t="str">
        <x:v>Generic Ingredient 133</x:v>
      </x:c>
      <x:c r="O1425" t="str">
        <x:v>Pharmacy Only</x:v>
      </x:c>
      <x:c r="P1425" t="n">
        <x:v>90</x:v>
      </x:c>
      <x:c r="Q1425" t="n">
        <x:v>48</x:v>
      </x:c>
      <x:c r="R1425" t="n">
        <x:v>34</x:v>
      </x:c>
      <x:c r="S1425" s="12" t="n">
        <x:f>E1425*Q1425</x:f>
        <x:v>702.72</x:v>
      </x:c>
      <x:c r="T1425" s="12" t="n">
        <x:f>ROUND(S1425*F1425+0.000000001,2)</x:f>
        <x:v>346.44</x:v>
      </x:c>
      <x:c r="U1425" s="12" t="n">
        <x:f>E1425*R1425</x:f>
        <x:v>497.76</x:v>
      </x:c>
      <x:c r="V1425" t="str">
        <x:f>IF(AND(C1425="Active",Q1425=0),"Active Zero Sales","Not Zero Sales")</x:f>
        <x:v>Not Zero Sales</x:v>
      </x:c>
      <x:c r="W1425" s="12" t="n">
        <x:f>IF(V1425="Active Zero Sales",U1425,0)</x:f>
        <x:v>0</x:v>
      </x:c>
      <x:c r="X1425" t="str">
        <x:f>IF(E1425&lt;25,"Low &lt; 25",IF(E1425&lt;100,"Medium 25-99",IF(E1425&lt;300,"High 100-299","Premium 300+")))</x:f>
        <x:v>Low &lt; 25</x:v>
      </x:c>
      <x:c r="Y1425" t="n">
        <x:f>IF(C1425="Active",1,0)</x:f>
        <x:v>1</x:v>
      </x:c>
    </x:row>
    <x:row r="1426">
      <x:c r="A1426" t="str">
        <x:v>SKU01425</x:v>
      </x:c>
      <x:c r="B1426" t="str">
        <x:v>Sample Product 01425</x:v>
      </x:c>
      <x:c r="C1426" t="str">
        <x:v>Blocked</x:v>
      </x:c>
      <x:c r="D1426" t="str">
        <x:v>2026-03</x:v>
      </x:c>
      <x:c r="E1426" s="12" t="n">
        <x:v>52.2</x:v>
      </x:c>
      <x:c r="F1426" s="10" t="n">
        <x:v>0.294</x:v>
      </x:c>
      <x:c r="G1426" t="str">
        <x:v>Personal Care</x:v>
      </x:c>
      <x:c r="H1426" t="str">
        <x:v>Hair Care</x:v>
      </x:c>
      <x:c r="I1426" t="str">
        <x:v>MFG018</x:v>
      </x:c>
      <x:c r="J1426" t="str">
        <x:v>Manufacturer 018</x:v>
      </x:c>
      <x:c r="K1426" t="str">
        <x:v>SUP002</x:v>
      </x:c>
      <x:c r="L1426" t="str">
        <x:v>Supplier 002</x:v>
      </x:c>
      <x:c r="M1426" t="str">
        <x:v>REG-288183</x:v>
      </x:c>
      <x:c r="N1426" t="str">
        <x:v>Generic Ingredient 077</x:v>
      </x:c>
      <x:c r="O1426" t="str">
        <x:v>General Sale</x:v>
      </x:c>
      <x:c r="P1426" t="n">
        <x:v>42</x:v>
      </x:c>
      <x:c r="Q1426" t="n">
        <x:v>0</x:v>
      </x:c>
      <x:c r="R1426" t="n">
        <x:v>0</x:v>
      </x:c>
      <x:c r="S1426" s="12" t="n">
        <x:f>E1426*Q1426</x:f>
        <x:v>0</x:v>
      </x:c>
      <x:c r="T1426" s="12" t="n">
        <x:f>ROUND(S1426*F1426+0.000000001,2)</x:f>
        <x:v>0</x:v>
      </x:c>
      <x:c r="U1426" s="12" t="n">
        <x:f>E1426*R1426</x:f>
        <x:v>0</x:v>
      </x:c>
      <x:c r="V1426" t="str">
        <x:f>IF(AND(C1426="Active",Q1426=0),"Active Zero Sales","Not Zero Sales")</x:f>
        <x:v>Not Zero Sales</x:v>
      </x:c>
      <x:c r="W1426" s="12" t="n">
        <x:f>IF(V1426="Active Zero Sales",U1426,0)</x:f>
        <x:v>0</x:v>
      </x:c>
      <x:c r="X1426" t="str">
        <x:f>IF(E1426&lt;25,"Low &lt; 25",IF(E1426&lt;100,"Medium 25-99",IF(E1426&lt;300,"High 100-299","Premium 300+")))</x:f>
        <x:v>Medium 25-99</x:v>
      </x:c>
      <x:c r="Y1426" t="n">
        <x:f>IF(C1426="Active",1,0)</x:f>
        <x:v>0</x:v>
      </x:c>
    </x:row>
    <x:row r="1427">
      <x:c r="A1427" t="str">
        <x:v>SKU01426</x:v>
      </x:c>
      <x:c r="B1427" t="str">
        <x:v>Sample Product 01426</x:v>
      </x:c>
      <x:c r="C1427" t="str">
        <x:v>Active</x:v>
      </x:c>
      <x:c r="D1427" t="str">
        <x:v>2026-06</x:v>
      </x:c>
      <x:c r="E1427" s="12" t="n">
        <x:v>57.09</x:v>
      </x:c>
      <x:c r="F1427" s="10" t="n">
        <x:v>0.292</x:v>
      </x:c>
      <x:c r="G1427" t="str">
        <x:v>Nutrition</x:v>
      </x:c>
      <x:c r="H1427" t="str">
        <x:v>Adult Nutrition</x:v>
      </x:c>
      <x:c r="I1427" t="str">
        <x:v>MFG016</x:v>
      </x:c>
      <x:c r="J1427" t="str">
        <x:v>Manufacturer 016</x:v>
      </x:c>
      <x:c r="K1427" t="str">
        <x:v>SUP026</x:v>
      </x:c>
      <x:c r="L1427" t="str">
        <x:v>Supplier 026</x:v>
      </x:c>
      <x:c r="M1427" t="str">
        <x:v>REG-347012</x:v>
      </x:c>
      <x:c r="N1427" t="str">
        <x:v>Generic Ingredient 073</x:v>
      </x:c>
      <x:c r="O1427" t="str">
        <x:v>General Sale</x:v>
      </x:c>
      <x:c r="P1427" t="n">
        <x:v>17</x:v>
      </x:c>
      <x:c r="Q1427" t="n">
        <x:v>0</x:v>
      </x:c>
      <x:c r="R1427" t="n">
        <x:v>19</x:v>
      </x:c>
      <x:c r="S1427" s="12" t="n">
        <x:f>E1427*Q1427</x:f>
        <x:v>0</x:v>
      </x:c>
      <x:c r="T1427" s="12" t="n">
        <x:f>ROUND(S1427*F1427+0.000000001,2)</x:f>
        <x:v>0</x:v>
      </x:c>
      <x:c r="U1427" s="12" t="n">
        <x:f>E1427*R1427</x:f>
        <x:v>1084.71</x:v>
      </x:c>
      <x:c r="V1427" t="str">
        <x:f>IF(AND(C1427="Active",Q1427=0),"Active Zero Sales","Not Zero Sales")</x:f>
        <x:v>Active Zero Sales</x:v>
      </x:c>
      <x:c r="W1427" s="12" t="n">
        <x:f>IF(V1427="Active Zero Sales",U1427,0)</x:f>
        <x:v>1084.71</x:v>
      </x:c>
      <x:c r="X1427" t="str">
        <x:f>IF(E1427&lt;25,"Low &lt; 25",IF(E1427&lt;100,"Medium 25-99",IF(E1427&lt;300,"High 100-299","Premium 300+")))</x:f>
        <x:v>Medium 25-99</x:v>
      </x:c>
      <x:c r="Y1427" t="n">
        <x:f>IF(C1427="Active",1,0)</x:f>
        <x:v>1</x:v>
      </x:c>
    </x:row>
    <x:row r="1428">
      <x:c r="A1428" t="str">
        <x:v>SKU01427</x:v>
      </x:c>
      <x:c r="B1428" t="str">
        <x:v>Sample Product 01427</x:v>
      </x:c>
      <x:c r="C1428" t="str">
        <x:v>Active</x:v>
      </x:c>
      <x:c r="D1428" t="str">
        <x:v>2026-01</x:v>
      </x:c>
      <x:c r="E1428" s="12" t="n">
        <x:v>44.85</x:v>
      </x:c>
      <x:c r="F1428" s="10" t="n">
        <x:v>0.179</x:v>
      </x:c>
      <x:c r="G1428" t="str">
        <x:v>Nutrition</x:v>
      </x:c>
      <x:c r="H1428" t="str">
        <x:v>Hydration</x:v>
      </x:c>
      <x:c r="I1428" t="str">
        <x:v>MFG003</x:v>
      </x:c>
      <x:c r="J1428" t="str">
        <x:v>Manufacturer 003</x:v>
      </x:c>
      <x:c r="K1428" t="str">
        <x:v>SUP015</x:v>
      </x:c>
      <x:c r="L1428" t="str">
        <x:v>Supplier 015</x:v>
      </x:c>
      <x:c r="M1428" t="str">
        <x:v>REG-662649</x:v>
      </x:c>
      <x:c r="N1428" t="str">
        <x:v>Generic Ingredient 083</x:v>
      </x:c>
      <x:c r="O1428" t="str">
        <x:v>General Sale</x:v>
      </x:c>
      <x:c r="P1428" t="n">
        <x:v>16</x:v>
      </x:c>
      <x:c r="Q1428" t="n">
        <x:v>16</x:v>
      </x:c>
      <x:c r="R1428" t="n">
        <x:v>1</x:v>
      </x:c>
      <x:c r="S1428" s="12" t="n">
        <x:f>E1428*Q1428</x:f>
        <x:v>717.6</x:v>
      </x:c>
      <x:c r="T1428" s="12" t="n">
        <x:f>ROUND(S1428*F1428+0.000000001,2)</x:f>
        <x:v>128.45</x:v>
      </x:c>
      <x:c r="U1428" s="12" t="n">
        <x:f>E1428*R1428</x:f>
        <x:v>44.85</x:v>
      </x:c>
      <x:c r="V1428" t="str">
        <x:f>IF(AND(C1428="Active",Q1428=0),"Active Zero Sales","Not Zero Sales")</x:f>
        <x:v>Not Zero Sales</x:v>
      </x:c>
      <x:c r="W1428" s="12" t="n">
        <x:f>IF(V1428="Active Zero Sales",U1428,0)</x:f>
        <x:v>0</x:v>
      </x:c>
      <x:c r="X1428" t="str">
        <x:f>IF(E1428&lt;25,"Low &lt; 25",IF(E1428&lt;100,"Medium 25-99",IF(E1428&lt;300,"High 100-299","Premium 300+")))</x:f>
        <x:v>Medium 25-99</x:v>
      </x:c>
      <x:c r="Y1428" t="n">
        <x:f>IF(C1428="Active",1,0)</x:f>
        <x:v>1</x:v>
      </x:c>
    </x:row>
    <x:row r="1429">
      <x:c r="A1429" t="str">
        <x:v>SKU01428</x:v>
      </x:c>
      <x:c r="B1429" t="str">
        <x:v>Sample Product 01428</x:v>
      </x:c>
      <x:c r="C1429" t="str">
        <x:v>Active</x:v>
      </x:c>
      <x:c r="D1429" t="str">
        <x:v>2026-01</x:v>
      </x:c>
      <x:c r="E1429" s="12" t="n">
        <x:v>113.21</x:v>
      </x:c>
      <x:c r="F1429" s="10" t="n">
        <x:v>0.426</x:v>
      </x:c>
      <x:c r="G1429" t="str">
        <x:v>Personal Care</x:v>
      </x:c>
      <x:c r="H1429" t="str">
        <x:v>Hair Care</x:v>
      </x:c>
      <x:c r="I1429" t="str">
        <x:v>MFG018</x:v>
      </x:c>
      <x:c r="J1429" t="str">
        <x:v>Manufacturer 018</x:v>
      </x:c>
      <x:c r="K1429" t="str">
        <x:v>SUP006</x:v>
      </x:c>
      <x:c r="L1429" t="str">
        <x:v>Supplier 006</x:v>
      </x:c>
      <x:c r="M1429" t="str">
        <x:v>REG-441291</x:v>
      </x:c>
      <x:c r="N1429" t="str">
        <x:v>Generic Ingredient 095</x:v>
      </x:c>
      <x:c r="O1429" t="str">
        <x:v>Pharmacy Only</x:v>
      </x:c>
      <x:c r="P1429" t="n">
        <x:v>133</x:v>
      </x:c>
      <x:c r="Q1429" t="n">
        <x:v>69</x:v>
      </x:c>
      <x:c r="R1429" t="n">
        <x:v>22</x:v>
      </x:c>
      <x:c r="S1429" s="12" t="n">
        <x:f>E1429*Q1429</x:f>
        <x:v>7811.49</x:v>
      </x:c>
      <x:c r="T1429" s="12" t="n">
        <x:f>ROUND(S1429*F1429+0.000000001,2)</x:f>
        <x:v>3327.69</x:v>
      </x:c>
      <x:c r="U1429" s="12" t="n">
        <x:f>E1429*R1429</x:f>
        <x:v>2490.62</x:v>
      </x:c>
      <x:c r="V1429" t="str">
        <x:f>IF(AND(C1429="Active",Q1429=0),"Active Zero Sales","Not Zero Sales")</x:f>
        <x:v>Not Zero Sales</x:v>
      </x:c>
      <x:c r="W1429" s="12" t="n">
        <x:f>IF(V1429="Active Zero Sales",U1429,0)</x:f>
        <x:v>0</x:v>
      </x:c>
      <x:c r="X1429" t="str">
        <x:f>IF(E1429&lt;25,"Low &lt; 25",IF(E1429&lt;100,"Medium 25-99",IF(E1429&lt;300,"High 100-299","Premium 300+")))</x:f>
        <x:v>High 100-299</x:v>
      </x:c>
      <x:c r="Y1429" t="n">
        <x:f>IF(C1429="Active",1,0)</x:f>
        <x:v>1</x:v>
      </x:c>
    </x:row>
    <x:row r="1430">
      <x:c r="A1430" t="str">
        <x:v>SKU01429</x:v>
      </x:c>
      <x:c r="B1430" t="str">
        <x:v>Sample Product 01429</x:v>
      </x:c>
      <x:c r="C1430" t="str">
        <x:v>Blocked</x:v>
      </x:c>
      <x:c r="D1430" t="str">
        <x:v>2026-03</x:v>
      </x:c>
      <x:c r="E1430" s="12" t="n">
        <x:v>21.5</x:v>
      </x:c>
      <x:c r="F1430" s="10" t="n">
        <x:v>0.334</x:v>
      </x:c>
      <x:c r="G1430" t="str">
        <x:v>Medical Devices</x:v>
      </x:c>
      <x:c r="H1430" t="str">
        <x:v>Home Diagnostics</x:v>
      </x:c>
      <x:c r="I1430" t="str">
        <x:v>MFG004</x:v>
      </x:c>
      <x:c r="J1430" t="str">
        <x:v>Manufacturer 004</x:v>
      </x:c>
      <x:c r="K1430" t="str">
        <x:v>SUP003</x:v>
      </x:c>
      <x:c r="L1430" t="str">
        <x:v>Supplier 003</x:v>
      </x:c>
      <x:c r="M1430" t="str">
        <x:v>REG-453923</x:v>
      </x:c>
      <x:c r="N1430" t="str">
        <x:v>Generic Ingredient 030</x:v>
      </x:c>
      <x:c r="O1430" t="str">
        <x:v>Pharmacy Only</x:v>
      </x:c>
      <x:c r="P1430" t="n">
        <x:v>31</x:v>
      </x:c>
      <x:c r="Q1430" t="n">
        <x:v>0</x:v>
      </x:c>
      <x:c r="R1430" t="n">
        <x:v>0</x:v>
      </x:c>
      <x:c r="S1430" s="12" t="n">
        <x:f>E1430*Q1430</x:f>
        <x:v>0</x:v>
      </x:c>
      <x:c r="T1430" s="12" t="n">
        <x:f>ROUND(S1430*F1430+0.000000001,2)</x:f>
        <x:v>0</x:v>
      </x:c>
      <x:c r="U1430" s="12" t="n">
        <x:f>E1430*R1430</x:f>
        <x:v>0</x:v>
      </x:c>
      <x:c r="V1430" t="str">
        <x:f>IF(AND(C1430="Active",Q1430=0),"Active Zero Sales","Not Zero Sales")</x:f>
        <x:v>Not Zero Sales</x:v>
      </x:c>
      <x:c r="W1430" s="12" t="n">
        <x:f>IF(V1430="Active Zero Sales",U1430,0)</x:f>
        <x:v>0</x:v>
      </x:c>
      <x:c r="X1430" t="str">
        <x:f>IF(E1430&lt;25,"Low &lt; 25",IF(E1430&lt;100,"Medium 25-99",IF(E1430&lt;300,"High 100-299","Premium 300+")))</x:f>
        <x:v>Low &lt; 25</x:v>
      </x:c>
      <x:c r="Y1430" t="n">
        <x:f>IF(C1430="Active",1,0)</x:f>
        <x:v>0</x:v>
      </x:c>
    </x:row>
    <x:row r="1431">
      <x:c r="A1431" t="str">
        <x:v>SKU01430</x:v>
      </x:c>
      <x:c r="B1431" t="str">
        <x:v>Sample Product 01430</x:v>
      </x:c>
      <x:c r="C1431" t="str">
        <x:v>Active</x:v>
      </x:c>
      <x:c r="D1431" t="str">
        <x:v>2026-04</x:v>
      </x:c>
      <x:c r="E1431" s="12" t="n">
        <x:v>34.1</x:v>
      </x:c>
      <x:c r="F1431" s="10" t="n">
        <x:v>0.349</x:v>
      </x:c>
      <x:c r="G1431" t="str">
        <x:v>Nutrition</x:v>
      </x:c>
      <x:c r="H1431" t="str">
        <x:v>Healthy Snacks</x:v>
      </x:c>
      <x:c r="I1431" t="str">
        <x:v>MFG020</x:v>
      </x:c>
      <x:c r="J1431" t="str">
        <x:v>Manufacturer 020</x:v>
      </x:c>
      <x:c r="K1431" t="str">
        <x:v>SUP028</x:v>
      </x:c>
      <x:c r="L1431" t="str">
        <x:v>Supplier 028</x:v>
      </x:c>
      <x:c r="M1431" t="str">
        <x:v>REG-286165</x:v>
      </x:c>
      <x:c r="N1431" t="str">
        <x:v>Generic Ingredient 157</x:v>
      </x:c>
      <x:c r="O1431" t="str">
        <x:v>General Sale</x:v>
      </x:c>
      <x:c r="P1431" t="n">
        <x:v>16</x:v>
      </x:c>
      <x:c r="Q1431" t="n">
        <x:v>24</x:v>
      </x:c>
      <x:c r="R1431" t="n">
        <x:v>0</x:v>
      </x:c>
      <x:c r="S1431" s="12" t="n">
        <x:f>E1431*Q1431</x:f>
        <x:v>818.4000000000001</x:v>
      </x:c>
      <x:c r="T1431" s="12" t="n">
        <x:f>ROUND(S1431*F1431+0.000000001,2)</x:f>
        <x:v>285.62</x:v>
      </x:c>
      <x:c r="U1431" s="12" t="n">
        <x:f>E1431*R1431</x:f>
        <x:v>0</x:v>
      </x:c>
      <x:c r="V1431" t="str">
        <x:f>IF(AND(C1431="Active",Q1431=0),"Active Zero Sales","Not Zero Sales")</x:f>
        <x:v>Not Zero Sales</x:v>
      </x:c>
      <x:c r="W1431" s="12" t="n">
        <x:f>IF(V1431="Active Zero Sales",U1431,0)</x:f>
        <x:v>0</x:v>
      </x:c>
      <x:c r="X1431" t="str">
        <x:f>IF(E1431&lt;25,"Low &lt; 25",IF(E1431&lt;100,"Medium 25-99",IF(E1431&lt;300,"High 100-299","Premium 300+")))</x:f>
        <x:v>Medium 25-99</x:v>
      </x:c>
      <x:c r="Y1431" t="n">
        <x:f>IF(C1431="Active",1,0)</x:f>
        <x:v>1</x:v>
      </x:c>
    </x:row>
    <x:row r="1432">
      <x:c r="A1432" t="str">
        <x:v>SKU01431</x:v>
      </x:c>
      <x:c r="B1432" t="str">
        <x:v>Sample Product 01431</x:v>
      </x:c>
      <x:c r="C1432" t="str">
        <x:v>Active</x:v>
      </x:c>
      <x:c r="D1432" t="str">
        <x:v>2026-01</x:v>
      </x:c>
      <x:c r="E1432" s="12" t="n">
        <x:v>218.17</x:v>
      </x:c>
      <x:c r="F1432" s="10" t="n">
        <x:v>0.34</x:v>
      </x:c>
      <x:c r="G1432" t="str">
        <x:v>Nutrition</x:v>
      </x:c>
      <x:c r="H1432" t="str">
        <x:v>Sports Nutrition</x:v>
      </x:c>
      <x:c r="I1432" t="str">
        <x:v>MFG014</x:v>
      </x:c>
      <x:c r="J1432" t="str">
        <x:v>Manufacturer 014</x:v>
      </x:c>
      <x:c r="K1432" t="str">
        <x:v>SUP018</x:v>
      </x:c>
      <x:c r="L1432" t="str">
        <x:v>Supplier 018</x:v>
      </x:c>
      <x:c r="M1432" t="str">
        <x:v>REG-574134</x:v>
      </x:c>
      <x:c r="N1432" t="str">
        <x:v>Generic Ingredient 087</x:v>
      </x:c>
      <x:c r="O1432" t="str">
        <x:v>General Sale</x:v>
      </x:c>
      <x:c r="P1432" t="n">
        <x:v>141</x:v>
      </x:c>
      <x:c r="Q1432" t="n">
        <x:v>70</x:v>
      </x:c>
      <x:c r="R1432" t="n">
        <x:v>24</x:v>
      </x:c>
      <x:c r="S1432" s="12" t="n">
        <x:f>E1432*Q1432</x:f>
        <x:v>15271.9</x:v>
      </x:c>
      <x:c r="T1432" s="12" t="n">
        <x:f>ROUND(S1432*F1432+0.000000001,2)</x:f>
        <x:v>5192.45</x:v>
      </x:c>
      <x:c r="U1432" s="12" t="n">
        <x:f>E1432*R1432</x:f>
        <x:v>5236.08</x:v>
      </x:c>
      <x:c r="V1432" t="str">
        <x:f>IF(AND(C1432="Active",Q1432=0),"Active Zero Sales","Not Zero Sales")</x:f>
        <x:v>Not Zero Sales</x:v>
      </x:c>
      <x:c r="W1432" s="12" t="n">
        <x:f>IF(V1432="Active Zero Sales",U1432,0)</x:f>
        <x:v>0</x:v>
      </x:c>
      <x:c r="X1432" t="str">
        <x:f>IF(E1432&lt;25,"Low &lt; 25",IF(E1432&lt;100,"Medium 25-99",IF(E1432&lt;300,"High 100-299","Premium 300+")))</x:f>
        <x:v>High 100-299</x:v>
      </x:c>
      <x:c r="Y1432" t="n">
        <x:f>IF(C1432="Active",1,0)</x:f>
        <x:v>1</x:v>
      </x:c>
    </x:row>
    <x:row r="1433">
      <x:c r="A1433" t="str">
        <x:v>SKU01432</x:v>
      </x:c>
      <x:c r="B1433" t="str">
        <x:v>Sample Product 01432</x:v>
      </x:c>
      <x:c r="C1433" t="str">
        <x:v>Active</x:v>
      </x:c>
      <x:c r="D1433" t="str">
        <x:v>2026-04</x:v>
      </x:c>
      <x:c r="E1433" s="12" t="n">
        <x:v>33.09</x:v>
      </x:c>
      <x:c r="F1433" s="10" t="n">
        <x:v>0.524</x:v>
      </x:c>
      <x:c r="G1433" t="str">
        <x:v>Personal Care</x:v>
      </x:c>
      <x:c r="H1433" t="str">
        <x:v>Hair Care</x:v>
      </x:c>
      <x:c r="I1433" t="str">
        <x:v>MFG006</x:v>
      </x:c>
      <x:c r="J1433" t="str">
        <x:v>Manufacturer 006</x:v>
      </x:c>
      <x:c r="K1433" t="str">
        <x:v>SUP023</x:v>
      </x:c>
      <x:c r="L1433" t="str">
        <x:v>Supplier 023</x:v>
      </x:c>
      <x:c r="M1433" t="str">
        <x:v>REG-659315</x:v>
      </x:c>
      <x:c r="N1433" t="str">
        <x:v>Generic Ingredient 047</x:v>
      </x:c>
      <x:c r="O1433" t="str">
        <x:v>Restricted Sale</x:v>
      </x:c>
      <x:c r="P1433" t="n">
        <x:v>63</x:v>
      </x:c>
      <x:c r="Q1433" t="n">
        <x:v>49</x:v>
      </x:c>
      <x:c r="R1433" t="n">
        <x:v>1</x:v>
      </x:c>
      <x:c r="S1433" s="12" t="n">
        <x:f>E1433*Q1433</x:f>
        <x:v>1621.41</x:v>
      </x:c>
      <x:c r="T1433" s="12" t="n">
        <x:f>ROUND(S1433*F1433+0.000000001,2)</x:f>
        <x:v>849.62</x:v>
      </x:c>
      <x:c r="U1433" s="12" t="n">
        <x:f>E1433*R1433</x:f>
        <x:v>33.09</x:v>
      </x:c>
      <x:c r="V1433" t="str">
        <x:f>IF(AND(C1433="Active",Q1433=0),"Active Zero Sales","Not Zero Sales")</x:f>
        <x:v>Not Zero Sales</x:v>
      </x:c>
      <x:c r="W1433" s="12" t="n">
        <x:f>IF(V1433="Active Zero Sales",U1433,0)</x:f>
        <x:v>0</x:v>
      </x:c>
      <x:c r="X1433" t="str">
        <x:f>IF(E1433&lt;25,"Low &lt; 25",IF(E1433&lt;100,"Medium 25-99",IF(E1433&lt;300,"High 100-299","Premium 300+")))</x:f>
        <x:v>Medium 25-99</x:v>
      </x:c>
      <x:c r="Y1433" t="n">
        <x:f>IF(C1433="Active",1,0)</x:f>
        <x:v>1</x:v>
      </x:c>
    </x:row>
    <x:row r="1434">
      <x:c r="A1434" t="str">
        <x:v>SKU01433</x:v>
      </x:c>
      <x:c r="B1434" t="str">
        <x:v>Sample Product 01433</x:v>
      </x:c>
      <x:c r="C1434" t="str">
        <x:v>Blocked</x:v>
      </x:c>
      <x:c r="D1434" t="str">
        <x:v>2026-01</x:v>
      </x:c>
      <x:c r="E1434" s="12" t="n">
        <x:v>94.53</x:v>
      </x:c>
      <x:c r="F1434" s="10" t="n">
        <x:v>0.296</x:v>
      </x:c>
      <x:c r="G1434" t="str">
        <x:v>Medical Devices</x:v>
      </x:c>
      <x:c r="H1434" t="str">
        <x:v>First Aid</x:v>
      </x:c>
      <x:c r="I1434" t="str">
        <x:v>MFG009</x:v>
      </x:c>
      <x:c r="J1434" t="str">
        <x:v>Manufacturer 009</x:v>
      </x:c>
      <x:c r="K1434" t="str">
        <x:v>SUP030</x:v>
      </x:c>
      <x:c r="L1434" t="str">
        <x:v>Supplier 030</x:v>
      </x:c>
      <x:c r="M1434" t="str">
        <x:v>REG-961065</x:v>
      </x:c>
      <x:c r="N1434" t="str">
        <x:v>Generic Ingredient 145</x:v>
      </x:c>
      <x:c r="O1434" t="str">
        <x:v>Pharmacy Only</x:v>
      </x:c>
      <x:c r="P1434" t="n">
        <x:v>7</x:v>
      </x:c>
      <x:c r="Q1434" t="n">
        <x:v>0</x:v>
      </x:c>
      <x:c r="R1434" t="n">
        <x:v>0</x:v>
      </x:c>
      <x:c r="S1434" s="12" t="n">
        <x:f>E1434*Q1434</x:f>
        <x:v>0</x:v>
      </x:c>
      <x:c r="T1434" s="12" t="n">
        <x:f>ROUND(S1434*F1434+0.000000001,2)</x:f>
        <x:v>0</x:v>
      </x:c>
      <x:c r="U1434" s="12" t="n">
        <x:f>E1434*R1434</x:f>
        <x:v>0</x:v>
      </x:c>
      <x:c r="V1434" t="str">
        <x:f>IF(AND(C1434="Active",Q1434=0),"Active Zero Sales","Not Zero Sales")</x:f>
        <x:v>Not Zero Sales</x:v>
      </x:c>
      <x:c r="W1434" s="12" t="n">
        <x:f>IF(V1434="Active Zero Sales",U1434,0)</x:f>
        <x:v>0</x:v>
      </x:c>
      <x:c r="X1434" t="str">
        <x:f>IF(E1434&lt;25,"Low &lt; 25",IF(E1434&lt;100,"Medium 25-99",IF(E1434&lt;300,"High 100-299","Premium 300+")))</x:f>
        <x:v>Medium 25-99</x:v>
      </x:c>
      <x:c r="Y1434" t="n">
        <x:f>IF(C1434="Active",1,0)</x:f>
        <x:v>0</x:v>
      </x:c>
    </x:row>
    <x:row r="1435">
      <x:c r="A1435" t="str">
        <x:v>SKU01434</x:v>
      </x:c>
      <x:c r="B1435" t="str">
        <x:v>Sample Product 01434</x:v>
      </x:c>
      <x:c r="C1435" t="str">
        <x:v>Blocked</x:v>
      </x:c>
      <x:c r="D1435" t="str">
        <x:v>2026-01</x:v>
      </x:c>
      <x:c r="E1435" s="12" t="n">
        <x:v>51.5</x:v>
      </x:c>
      <x:c r="F1435" s="10" t="n">
        <x:v>0.203</x:v>
      </x:c>
      <x:c r="G1435" t="str">
        <x:v>Nutrition</x:v>
      </x:c>
      <x:c r="H1435" t="str">
        <x:v>Healthy Snacks</x:v>
      </x:c>
      <x:c r="I1435" t="str">
        <x:v>MFG002</x:v>
      </x:c>
      <x:c r="J1435" t="str">
        <x:v>Manufacturer 002</x:v>
      </x:c>
      <x:c r="K1435" t="str">
        <x:v>SUP010</x:v>
      </x:c>
      <x:c r="L1435" t="str">
        <x:v>Supplier 010</x:v>
      </x:c>
      <x:c r="M1435" t="str">
        <x:v>REG-410347</x:v>
      </x:c>
      <x:c r="N1435" t="str">
        <x:v>Generic Ingredient 106</x:v>
      </x:c>
      <x:c r="O1435" t="str">
        <x:v>General Sale</x:v>
      </x:c>
      <x:c r="P1435" t="n">
        <x:v>32</x:v>
      </x:c>
      <x:c r="Q1435" t="n">
        <x:v>0</x:v>
      </x:c>
      <x:c r="R1435" t="n">
        <x:v>0</x:v>
      </x:c>
      <x:c r="S1435" s="12" t="n">
        <x:f>E1435*Q1435</x:f>
        <x:v>0</x:v>
      </x:c>
      <x:c r="T1435" s="12" t="n">
        <x:f>ROUND(S1435*F1435+0.000000001,2)</x:f>
        <x:v>0</x:v>
      </x:c>
      <x:c r="U1435" s="12" t="n">
        <x:f>E1435*R1435</x:f>
        <x:v>0</x:v>
      </x:c>
      <x:c r="V1435" t="str">
        <x:f>IF(AND(C1435="Active",Q1435=0),"Active Zero Sales","Not Zero Sales")</x:f>
        <x:v>Not Zero Sales</x:v>
      </x:c>
      <x:c r="W1435" s="12" t="n">
        <x:f>IF(V1435="Active Zero Sales",U1435,0)</x:f>
        <x:v>0</x:v>
      </x:c>
      <x:c r="X1435" t="str">
        <x:f>IF(E1435&lt;25,"Low &lt; 25",IF(E1435&lt;100,"Medium 25-99",IF(E1435&lt;300,"High 100-299","Premium 300+")))</x:f>
        <x:v>Medium 25-99</x:v>
      </x:c>
      <x:c r="Y1435" t="n">
        <x:f>IF(C1435="Active",1,0)</x:f>
        <x:v>0</x:v>
      </x:c>
    </x:row>
    <x:row r="1436">
      <x:c r="A1436" t="str">
        <x:v>SKU01435</x:v>
      </x:c>
      <x:c r="B1436" t="str">
        <x:v>Sample Product 01435</x:v>
      </x:c>
      <x:c r="C1436" t="str">
        <x:v>Active</x:v>
      </x:c>
      <x:c r="D1436" t="str">
        <x:v>2026-04</x:v>
      </x:c>
      <x:c r="E1436" s="12" t="n">
        <x:v>96.61</x:v>
      </x:c>
      <x:c r="F1436" s="10" t="n">
        <x:v>0.404</x:v>
      </x:c>
      <x:c r="G1436" t="str">
        <x:v>Personal Care</x:v>
      </x:c>
      <x:c r="H1436" t="str">
        <x:v>Hair Care</x:v>
      </x:c>
      <x:c r="I1436" t="str">
        <x:v>MFG008</x:v>
      </x:c>
      <x:c r="J1436" t="str">
        <x:v>Manufacturer 008</x:v>
      </x:c>
      <x:c r="K1436" t="str">
        <x:v>SUP022</x:v>
      </x:c>
      <x:c r="L1436" t="str">
        <x:v>Supplier 022</x:v>
      </x:c>
      <x:c r="M1436" t="str">
        <x:v>REG-922490</x:v>
      </x:c>
      <x:c r="N1436" t="str">
        <x:v>Generic Ingredient 136</x:v>
      </x:c>
      <x:c r="O1436" t="str">
        <x:v>General Sale</x:v>
      </x:c>
      <x:c r="P1436" t="n">
        <x:v>156</x:v>
      </x:c>
      <x:c r="Q1436" t="n">
        <x:v>113</x:v>
      </x:c>
      <x:c r="R1436" t="n">
        <x:v>44</x:v>
      </x:c>
      <x:c r="S1436" s="12" t="n">
        <x:f>E1436*Q1436</x:f>
        <x:v>10916.93</x:v>
      </x:c>
      <x:c r="T1436" s="12" t="n">
        <x:f>ROUND(S1436*F1436+0.000000001,2)</x:f>
        <x:v>4410.44</x:v>
      </x:c>
      <x:c r="U1436" s="12" t="n">
        <x:f>E1436*R1436</x:f>
        <x:v>4250.84</x:v>
      </x:c>
      <x:c r="V1436" t="str">
        <x:f>IF(AND(C1436="Active",Q1436=0),"Active Zero Sales","Not Zero Sales")</x:f>
        <x:v>Not Zero Sales</x:v>
      </x:c>
      <x:c r="W1436" s="12" t="n">
        <x:f>IF(V1436="Active Zero Sales",U1436,0)</x:f>
        <x:v>0</x:v>
      </x:c>
      <x:c r="X1436" t="str">
        <x:f>IF(E1436&lt;25,"Low &lt; 25",IF(E1436&lt;100,"Medium 25-99",IF(E1436&lt;300,"High 100-299","Premium 300+")))</x:f>
        <x:v>Medium 25-99</x:v>
      </x:c>
      <x:c r="Y1436" t="n">
        <x:f>IF(C1436="Active",1,0)</x:f>
        <x:v>1</x:v>
      </x:c>
    </x:row>
    <x:row r="1437">
      <x:c r="A1437" t="str">
        <x:v>SKU01436</x:v>
      </x:c>
      <x:c r="B1437" t="str">
        <x:v>Sample Product 01436</x:v>
      </x:c>
      <x:c r="C1437" t="str">
        <x:v>Active</x:v>
      </x:c>
      <x:c r="D1437" t="str">
        <x:v>2026-02</x:v>
      </x:c>
      <x:c r="E1437" s="12" t="n">
        <x:v>15.63</x:v>
      </x:c>
      <x:c r="F1437" s="10" t="n">
        <x:v>0.325</x:v>
      </x:c>
      <x:c r="G1437" t="str">
        <x:v>General Merchandise</x:v>
      </x:c>
      <x:c r="H1437" t="str">
        <x:v>Seasonal Care</x:v>
      </x:c>
      <x:c r="I1437" t="str">
        <x:v>MFG016</x:v>
      </x:c>
      <x:c r="J1437" t="str">
        <x:v>Manufacturer 016</x:v>
      </x:c>
      <x:c r="K1437" t="str">
        <x:v>SUP012</x:v>
      </x:c>
      <x:c r="L1437" t="str">
        <x:v>Supplier 012</x:v>
      </x:c>
      <x:c r="M1437" t="str">
        <x:v>REG-962977</x:v>
      </x:c>
      <x:c r="N1437" t="str">
        <x:v>Generic Ingredient 035</x:v>
      </x:c>
      <x:c r="O1437" t="str">
        <x:v>Pharmacy Only</x:v>
      </x:c>
      <x:c r="P1437" t="n">
        <x:v>72</x:v>
      </x:c>
      <x:c r="Q1437" t="n">
        <x:v>51</x:v>
      </x:c>
      <x:c r="R1437" t="n">
        <x:v>18</x:v>
      </x:c>
      <x:c r="S1437" s="12" t="n">
        <x:f>E1437*Q1437</x:f>
        <x:v>797.13</x:v>
      </x:c>
      <x:c r="T1437" s="12" t="n">
        <x:f>ROUND(S1437*F1437+0.000000001,2)</x:f>
        <x:v>259.07</x:v>
      </x:c>
      <x:c r="U1437" s="12" t="n">
        <x:f>E1437*R1437</x:f>
        <x:v>281.34000000000003</x:v>
      </x:c>
      <x:c r="V1437" t="str">
        <x:f>IF(AND(C1437="Active",Q1437=0),"Active Zero Sales","Not Zero Sales")</x:f>
        <x:v>Not Zero Sales</x:v>
      </x:c>
      <x:c r="W1437" s="12" t="n">
        <x:f>IF(V1437="Active Zero Sales",U1437,0)</x:f>
        <x:v>0</x:v>
      </x:c>
      <x:c r="X1437" t="str">
        <x:f>IF(E1437&lt;25,"Low &lt; 25",IF(E1437&lt;100,"Medium 25-99",IF(E1437&lt;300,"High 100-299","Premium 300+")))</x:f>
        <x:v>Low &lt; 25</x:v>
      </x:c>
      <x:c r="Y1437" t="n">
        <x:f>IF(C1437="Active",1,0)</x:f>
        <x:v>1</x:v>
      </x:c>
    </x:row>
    <x:row r="1438">
      <x:c r="A1438" t="str">
        <x:v>SKU01437</x:v>
      </x:c>
      <x:c r="B1438" t="str">
        <x:v>Sample Product 01437</x:v>
      </x:c>
      <x:c r="C1438" t="str">
        <x:v>Active</x:v>
      </x:c>
      <x:c r="D1438" t="str">
        <x:v>2026-03</x:v>
      </x:c>
      <x:c r="E1438" s="12" t="n">
        <x:v>10.94</x:v>
      </x:c>
      <x:c r="F1438" s="10" t="n">
        <x:v>0.346</x:v>
      </x:c>
      <x:c r="G1438" t="str">
        <x:v>Nutrition</x:v>
      </x:c>
      <x:c r="H1438" t="str">
        <x:v>Adult Nutrition</x:v>
      </x:c>
      <x:c r="I1438" t="str">
        <x:v>MFG010</x:v>
      </x:c>
      <x:c r="J1438" t="str">
        <x:v>Manufacturer 010</x:v>
      </x:c>
      <x:c r="K1438" t="str">
        <x:v>SUP029</x:v>
      </x:c>
      <x:c r="L1438" t="str">
        <x:v>Supplier 029</x:v>
      </x:c>
      <x:c r="M1438" t="str">
        <x:v>REG-359190</x:v>
      </x:c>
      <x:c r="N1438" t="str">
        <x:v>Generic Ingredient 172</x:v>
      </x:c>
      <x:c r="O1438" t="str">
        <x:v>Pharmacy Only</x:v>
      </x:c>
      <x:c r="P1438" t="n">
        <x:v>132</x:v>
      </x:c>
      <x:c r="Q1438" t="n">
        <x:v>73</x:v>
      </x:c>
      <x:c r="R1438" t="n">
        <x:v>28</x:v>
      </x:c>
      <x:c r="S1438" s="12" t="n">
        <x:f>E1438*Q1438</x:f>
        <x:v>798.62</x:v>
      </x:c>
      <x:c r="T1438" s="12" t="n">
        <x:f>ROUND(S1438*F1438+0.000000001,2)</x:f>
        <x:v>276.32</x:v>
      </x:c>
      <x:c r="U1438" s="12" t="n">
        <x:f>E1438*R1438</x:f>
        <x:v>306.32</x:v>
      </x:c>
      <x:c r="V1438" t="str">
        <x:f>IF(AND(C1438="Active",Q1438=0),"Active Zero Sales","Not Zero Sales")</x:f>
        <x:v>Not Zero Sales</x:v>
      </x:c>
      <x:c r="W1438" s="12" t="n">
        <x:f>IF(V1438="Active Zero Sales",U1438,0)</x:f>
        <x:v>0</x:v>
      </x:c>
      <x:c r="X1438" t="str">
        <x:f>IF(E1438&lt;25,"Low &lt; 25",IF(E1438&lt;100,"Medium 25-99",IF(E1438&lt;300,"High 100-299","Premium 300+")))</x:f>
        <x:v>Low &lt; 25</x:v>
      </x:c>
      <x:c r="Y1438" t="n">
        <x:f>IF(C1438="Active",1,0)</x:f>
        <x:v>1</x:v>
      </x:c>
    </x:row>
    <x:row r="1439">
      <x:c r="A1439" t="str">
        <x:v>SKU01438</x:v>
      </x:c>
      <x:c r="B1439" t="str">
        <x:v>Sample Product 01438</x:v>
      </x:c>
      <x:c r="C1439" t="str">
        <x:v>Active</x:v>
      </x:c>
      <x:c r="D1439" t="str">
        <x:v>2026-03</x:v>
      </x:c>
      <x:c r="E1439" s="12" t="n">
        <x:v>4.24</x:v>
      </x:c>
      <x:c r="F1439" s="10" t="n">
        <x:v>0.382</x:v>
      </x:c>
      <x:c r="G1439" t="str">
        <x:v>OTC &amp; Wellness</x:v>
      </x:c>
      <x:c r="H1439" t="str">
        <x:v>Vitamins</x:v>
      </x:c>
      <x:c r="I1439" t="str">
        <x:v>MFG017</x:v>
      </x:c>
      <x:c r="J1439" t="str">
        <x:v>Manufacturer 017</x:v>
      </x:c>
      <x:c r="K1439" t="str">
        <x:v>SUP014</x:v>
      </x:c>
      <x:c r="L1439" t="str">
        <x:v>Supplier 014</x:v>
      </x:c>
      <x:c r="M1439" t="str">
        <x:v>REG-992687</x:v>
      </x:c>
      <x:c r="N1439" t="str">
        <x:v>Generic Ingredient 097</x:v>
      </x:c>
      <x:c r="O1439" t="str">
        <x:v>Pharmacy Only</x:v>
      </x:c>
      <x:c r="P1439" t="n">
        <x:v>289</x:v>
      </x:c>
      <x:c r="Q1439" t="n">
        <x:v>202</x:v>
      </x:c>
      <x:c r="R1439" t="n">
        <x:v>72</x:v>
      </x:c>
      <x:c r="S1439" s="12" t="n">
        <x:f>E1439*Q1439</x:f>
        <x:v>856.48</x:v>
      </x:c>
      <x:c r="T1439" s="12" t="n">
        <x:f>ROUND(S1439*F1439+0.000000001,2)</x:f>
        <x:v>327.18</x:v>
      </x:c>
      <x:c r="U1439" s="12" t="n">
        <x:f>E1439*R1439</x:f>
        <x:v>305.28000000000003</x:v>
      </x:c>
      <x:c r="V1439" t="str">
        <x:f>IF(AND(C1439="Active",Q1439=0),"Active Zero Sales","Not Zero Sales")</x:f>
        <x:v>Not Zero Sales</x:v>
      </x:c>
      <x:c r="W1439" s="12" t="n">
        <x:f>IF(V1439="Active Zero Sales",U1439,0)</x:f>
        <x:v>0</x:v>
      </x:c>
      <x:c r="X1439" t="str">
        <x:f>IF(E1439&lt;25,"Low &lt; 25",IF(E1439&lt;100,"Medium 25-99",IF(E1439&lt;300,"High 100-299","Premium 300+")))</x:f>
        <x:v>Low &lt; 25</x:v>
      </x:c>
      <x:c r="Y1439" t="n">
        <x:f>IF(C1439="Active",1,0)</x:f>
        <x:v>1</x:v>
      </x:c>
    </x:row>
    <x:row r="1440">
      <x:c r="A1440" t="str">
        <x:v>SKU01439</x:v>
      </x:c>
      <x:c r="B1440" t="str">
        <x:v>Sample Product 01439</x:v>
      </x:c>
      <x:c r="C1440" t="str">
        <x:v>Active</x:v>
      </x:c>
      <x:c r="D1440" t="str">
        <x:v>2026-04</x:v>
      </x:c>
      <x:c r="E1440" s="12" t="n">
        <x:v>45.54</x:v>
      </x:c>
      <x:c r="F1440" s="10" t="n">
        <x:v>0.353</x:v>
      </x:c>
      <x:c r="G1440" t="str">
        <x:v>Nutrition</x:v>
      </x:c>
      <x:c r="H1440" t="str">
        <x:v>Sports Nutrition</x:v>
      </x:c>
      <x:c r="I1440" t="str">
        <x:v>MFG016</x:v>
      </x:c>
      <x:c r="J1440" t="str">
        <x:v>Manufacturer 016</x:v>
      </x:c>
      <x:c r="K1440" t="str">
        <x:v>SUP001</x:v>
      </x:c>
      <x:c r="L1440" t="str">
        <x:v>Supplier 001</x:v>
      </x:c>
      <x:c r="M1440" t="str">
        <x:v>REG-854267</x:v>
      </x:c>
      <x:c r="N1440" t="str">
        <x:v>Generic Ingredient 134</x:v>
      </x:c>
      <x:c r="O1440" t="str">
        <x:v>General Sale</x:v>
      </x:c>
      <x:c r="P1440" t="n">
        <x:v>95</x:v>
      </x:c>
      <x:c r="Q1440" t="n">
        <x:v>27</x:v>
      </x:c>
      <x:c r="R1440" t="n">
        <x:v>24</x:v>
      </x:c>
      <x:c r="S1440" s="12" t="n">
        <x:f>E1440*Q1440</x:f>
        <x:v>1229.58</x:v>
      </x:c>
      <x:c r="T1440" s="12" t="n">
        <x:f>ROUND(S1440*F1440+0.000000001,2)</x:f>
        <x:v>434.04</x:v>
      </x:c>
      <x:c r="U1440" s="12" t="n">
        <x:f>E1440*R1440</x:f>
        <x:v>1092.96</x:v>
      </x:c>
      <x:c r="V1440" t="str">
        <x:f>IF(AND(C1440="Active",Q1440=0),"Active Zero Sales","Not Zero Sales")</x:f>
        <x:v>Not Zero Sales</x:v>
      </x:c>
      <x:c r="W1440" s="12" t="n">
        <x:f>IF(V1440="Active Zero Sales",U1440,0)</x:f>
        <x:v>0</x:v>
      </x:c>
      <x:c r="X1440" t="str">
        <x:f>IF(E1440&lt;25,"Low &lt; 25",IF(E1440&lt;100,"Medium 25-99",IF(E1440&lt;300,"High 100-299","Premium 300+")))</x:f>
        <x:v>Medium 25-99</x:v>
      </x:c>
      <x:c r="Y1440" t="n">
        <x:f>IF(C1440="Active",1,0)</x:f>
        <x:v>1</x:v>
      </x:c>
    </x:row>
    <x:row r="1441">
      <x:c r="A1441" t="str">
        <x:v>SKU01440</x:v>
      </x:c>
      <x:c r="B1441" t="str">
        <x:v>Sample Product 01440</x:v>
      </x:c>
      <x:c r="C1441" t="str">
        <x:v>Active</x:v>
      </x:c>
      <x:c r="D1441" t="str">
        <x:v>2026-03</x:v>
      </x:c>
      <x:c r="E1441" s="12" t="n">
        <x:v>129.45</x:v>
      </x:c>
      <x:c r="F1441" s="10" t="n">
        <x:v>0.257</x:v>
      </x:c>
      <x:c r="G1441" t="str">
        <x:v>Medical Devices</x:v>
      </x:c>
      <x:c r="H1441" t="str">
        <x:v>First Aid</x:v>
      </x:c>
      <x:c r="I1441" t="str">
        <x:v>MFG005</x:v>
      </x:c>
      <x:c r="J1441" t="str">
        <x:v>Manufacturer 005</x:v>
      </x:c>
      <x:c r="K1441" t="str">
        <x:v>SUP011</x:v>
      </x:c>
      <x:c r="L1441" t="str">
        <x:v>Supplier 011</x:v>
      </x:c>
      <x:c r="M1441" t="str">
        <x:v>REG-335905</x:v>
      </x:c>
      <x:c r="N1441" t="str">
        <x:v>Generic Ingredient 074</x:v>
      </x:c>
      <x:c r="O1441" t="str">
        <x:v>Pharmacy Only</x:v>
      </x:c>
      <x:c r="P1441" t="n">
        <x:v>65</x:v>
      </x:c>
      <x:c r="Q1441" t="n">
        <x:v>6</x:v>
      </x:c>
      <x:c r="R1441" t="n">
        <x:v>30</x:v>
      </x:c>
      <x:c r="S1441" s="12" t="n">
        <x:f>E1441*Q1441</x:f>
        <x:v>776.6999999999999</x:v>
      </x:c>
      <x:c r="T1441" s="12" t="n">
        <x:f>ROUND(S1441*F1441+0.000000001,2)</x:f>
        <x:v>199.61</x:v>
      </x:c>
      <x:c r="U1441" s="12" t="n">
        <x:f>E1441*R1441</x:f>
        <x:v>3883.4999999999995</x:v>
      </x:c>
      <x:c r="V1441" t="str">
        <x:f>IF(AND(C1441="Active",Q1441=0),"Active Zero Sales","Not Zero Sales")</x:f>
        <x:v>Not Zero Sales</x:v>
      </x:c>
      <x:c r="W1441" s="12" t="n">
        <x:f>IF(V1441="Active Zero Sales",U1441,0)</x:f>
        <x:v>0</x:v>
      </x:c>
      <x:c r="X1441" t="str">
        <x:f>IF(E1441&lt;25,"Low &lt; 25",IF(E1441&lt;100,"Medium 25-99",IF(E1441&lt;300,"High 100-299","Premium 300+")))</x:f>
        <x:v>High 100-299</x:v>
      </x:c>
      <x:c r="Y1441" t="n">
        <x:f>IF(C1441="Active",1,0)</x:f>
        <x:v>1</x:v>
      </x:c>
    </x:row>
    <x:row r="1442">
      <x:c r="A1442" t="str">
        <x:v>SKU01441</x:v>
      </x:c>
      <x:c r="B1442" t="str">
        <x:v>Sample Product 01441</x:v>
      </x:c>
      <x:c r="C1442" t="str">
        <x:v>Blocked</x:v>
      </x:c>
      <x:c r="D1442" t="str">
        <x:v>2026-05</x:v>
      </x:c>
      <x:c r="E1442" s="12" t="n">
        <x:v>226.89</x:v>
      </x:c>
      <x:c r="F1442" s="10" t="n">
        <x:v>0.54</x:v>
      </x:c>
      <x:c r="G1442" t="str">
        <x:v>Personal Care</x:v>
      </x:c>
      <x:c r="H1442" t="str">
        <x:v>Hair Care</x:v>
      </x:c>
      <x:c r="I1442" t="str">
        <x:v>MFG018</x:v>
      </x:c>
      <x:c r="J1442" t="str">
        <x:v>Manufacturer 018</x:v>
      </x:c>
      <x:c r="K1442" t="str">
        <x:v>SUP022</x:v>
      </x:c>
      <x:c r="L1442" t="str">
        <x:v>Supplier 022</x:v>
      </x:c>
      <x:c r="M1442" t="str">
        <x:v>REG-113385</x:v>
      </x:c>
      <x:c r="N1442" t="str">
        <x:v>Generic Ingredient 077</x:v>
      </x:c>
      <x:c r="O1442" t="str">
        <x:v>General Sale</x:v>
      </x:c>
      <x:c r="P1442" t="n">
        <x:v>64</x:v>
      </x:c>
      <x:c r="Q1442" t="n">
        <x:v>27</x:v>
      </x:c>
      <x:c r="R1442" t="n">
        <x:v>0</x:v>
      </x:c>
      <x:c r="S1442" s="12" t="n">
        <x:f>E1442*Q1442</x:f>
        <x:v>6126.03</x:v>
      </x:c>
      <x:c r="T1442" s="12" t="n">
        <x:f>ROUND(S1442*F1442+0.000000001,2)</x:f>
        <x:v>3308.06</x:v>
      </x:c>
      <x:c r="U1442" s="12" t="n">
        <x:f>E1442*R1442</x:f>
        <x:v>0</x:v>
      </x:c>
      <x:c r="V1442" t="str">
        <x:f>IF(AND(C1442="Active",Q1442=0),"Active Zero Sales","Not Zero Sales")</x:f>
        <x:v>Not Zero Sales</x:v>
      </x:c>
      <x:c r="W1442" s="12" t="n">
        <x:f>IF(V1442="Active Zero Sales",U1442,0)</x:f>
        <x:v>0</x:v>
      </x:c>
      <x:c r="X1442" t="str">
        <x:f>IF(E1442&lt;25,"Low &lt; 25",IF(E1442&lt;100,"Medium 25-99",IF(E1442&lt;300,"High 100-299","Premium 300+")))</x:f>
        <x:v>High 100-299</x:v>
      </x:c>
      <x:c r="Y1442" t="n">
        <x:f>IF(C1442="Active",1,0)</x:f>
        <x:v>0</x:v>
      </x:c>
    </x:row>
    <x:row r="1443">
      <x:c r="A1443" t="str">
        <x:v>SKU01442</x:v>
      </x:c>
      <x:c r="B1443" t="str">
        <x:v>Sample Product 01442</x:v>
      </x:c>
      <x:c r="C1443" t="str">
        <x:v>Active</x:v>
      </x:c>
      <x:c r="D1443" t="str">
        <x:v>2026-05</x:v>
      </x:c>
      <x:c r="E1443" s="12" t="n">
        <x:v>74.99</x:v>
      </x:c>
      <x:c r="F1443" s="10" t="n">
        <x:v>0.33</x:v>
      </x:c>
      <x:c r="G1443" t="str">
        <x:v>Nutrition</x:v>
      </x:c>
      <x:c r="H1443" t="str">
        <x:v>Hydration</x:v>
      </x:c>
      <x:c r="I1443" t="str">
        <x:v>MFG006</x:v>
      </x:c>
      <x:c r="J1443" t="str">
        <x:v>Manufacturer 006</x:v>
      </x:c>
      <x:c r="K1443" t="str">
        <x:v>SUP029</x:v>
      </x:c>
      <x:c r="L1443" t="str">
        <x:v>Supplier 029</x:v>
      </x:c>
      <x:c r="M1443" t="str">
        <x:v>REG-521600</x:v>
      </x:c>
      <x:c r="N1443" t="str">
        <x:v>Generic Ingredient 106</x:v>
      </x:c>
      <x:c r="O1443" t="str">
        <x:v>General Sale</x:v>
      </x:c>
      <x:c r="P1443" t="n">
        <x:v>18</x:v>
      </x:c>
      <x:c r="Q1443" t="n">
        <x:v>9</x:v>
      </x:c>
      <x:c r="R1443" t="n">
        <x:v>0</x:v>
      </x:c>
      <x:c r="S1443" s="12" t="n">
        <x:f>E1443*Q1443</x:f>
        <x:v>674.91</x:v>
      </x:c>
      <x:c r="T1443" s="12" t="n">
        <x:f>ROUND(S1443*F1443+0.000000001,2)</x:f>
        <x:v>222.72</x:v>
      </x:c>
      <x:c r="U1443" s="12" t="n">
        <x:f>E1443*R1443</x:f>
        <x:v>0</x:v>
      </x:c>
      <x:c r="V1443" t="str">
        <x:f>IF(AND(C1443="Active",Q1443=0),"Active Zero Sales","Not Zero Sales")</x:f>
        <x:v>Not Zero Sales</x:v>
      </x:c>
      <x:c r="W1443" s="12" t="n">
        <x:f>IF(V1443="Active Zero Sales",U1443,0)</x:f>
        <x:v>0</x:v>
      </x:c>
      <x:c r="X1443" t="str">
        <x:f>IF(E1443&lt;25,"Low &lt; 25",IF(E1443&lt;100,"Medium 25-99",IF(E1443&lt;300,"High 100-299","Premium 300+")))</x:f>
        <x:v>Medium 25-99</x:v>
      </x:c>
      <x:c r="Y1443" t="n">
        <x:f>IF(C1443="Active",1,0)</x:f>
        <x:v>1</x:v>
      </x:c>
    </x:row>
    <x:row r="1444">
      <x:c r="A1444" t="str">
        <x:v>SKU01443</x:v>
      </x:c>
      <x:c r="B1444" t="str">
        <x:v>Sample Product 01443</x:v>
      </x:c>
      <x:c r="C1444" t="str">
        <x:v>Active</x:v>
      </x:c>
      <x:c r="D1444" t="str">
        <x:v>2026-04</x:v>
      </x:c>
      <x:c r="E1444" s="12" t="n">
        <x:v>593.13</x:v>
      </x:c>
      <x:c r="F1444" s="10" t="n">
        <x:v>0.315</x:v>
      </x:c>
      <x:c r="G1444" t="str">
        <x:v>OTC &amp; Wellness</x:v>
      </x:c>
      <x:c r="H1444" t="str">
        <x:v>Cold &amp; Allergy</x:v>
      </x:c>
      <x:c r="I1444" t="str">
        <x:v>MFG004</x:v>
      </x:c>
      <x:c r="J1444" t="str">
        <x:v>Manufacturer 004</x:v>
      </x:c>
      <x:c r="K1444" t="str">
        <x:v>SUP015</x:v>
      </x:c>
      <x:c r="L1444" t="str">
        <x:v>Supplier 015</x:v>
      </x:c>
      <x:c r="M1444" t="str">
        <x:v>REG-345049</x:v>
      </x:c>
      <x:c r="N1444" t="str">
        <x:v>Generic Ingredient 094</x:v>
      </x:c>
      <x:c r="O1444" t="str">
        <x:v>General Sale</x:v>
      </x:c>
      <x:c r="P1444" t="n">
        <x:v>53</x:v>
      </x:c>
      <x:c r="Q1444" t="n">
        <x:v>14</x:v>
      </x:c>
      <x:c r="R1444" t="n">
        <x:v>21</x:v>
      </x:c>
      <x:c r="S1444" s="12" t="n">
        <x:f>E1444*Q1444</x:f>
        <x:v>8303.82</x:v>
      </x:c>
      <x:c r="T1444" s="12" t="n">
        <x:f>ROUND(S1444*F1444+0.000000001,2)</x:f>
        <x:v>2615.7</x:v>
      </x:c>
      <x:c r="U1444" s="12" t="n">
        <x:f>E1444*R1444</x:f>
        <x:v>12455.73</x:v>
      </x:c>
      <x:c r="V1444" t="str">
        <x:f>IF(AND(C1444="Active",Q1444=0),"Active Zero Sales","Not Zero Sales")</x:f>
        <x:v>Not Zero Sales</x:v>
      </x:c>
      <x:c r="W1444" s="12" t="n">
        <x:f>IF(V1444="Active Zero Sales",U1444,0)</x:f>
        <x:v>0</x:v>
      </x:c>
      <x:c r="X1444" t="str">
        <x:f>IF(E1444&lt;25,"Low &lt; 25",IF(E1444&lt;100,"Medium 25-99",IF(E1444&lt;300,"High 100-299","Premium 300+")))</x:f>
        <x:v>Premium 300+</x:v>
      </x:c>
      <x:c r="Y1444" t="n">
        <x:f>IF(C1444="Active",1,0)</x:f>
        <x:v>1</x:v>
      </x:c>
    </x:row>
    <x:row r="1445">
      <x:c r="A1445" t="str">
        <x:v>SKU01444</x:v>
      </x:c>
      <x:c r="B1445" t="str">
        <x:v>Sample Product 01444</x:v>
      </x:c>
      <x:c r="C1445" t="str">
        <x:v>Blocked</x:v>
      </x:c>
      <x:c r="D1445" t="str">
        <x:v>2026-06</x:v>
      </x:c>
      <x:c r="E1445" s="12" t="n">
        <x:v>62.8</x:v>
      </x:c>
      <x:c r="F1445" s="10" t="n">
        <x:v>0.309</x:v>
      </x:c>
      <x:c r="G1445" t="str">
        <x:v>Medical Devices</x:v>
      </x:c>
      <x:c r="H1445" t="str">
        <x:v>Home Diagnostics</x:v>
      </x:c>
      <x:c r="I1445" t="str">
        <x:v>MFG009</x:v>
      </x:c>
      <x:c r="J1445" t="str">
        <x:v>Manufacturer 009</x:v>
      </x:c>
      <x:c r="K1445" t="str">
        <x:v>SUP003</x:v>
      </x:c>
      <x:c r="L1445" t="str">
        <x:v>Supplier 003</x:v>
      </x:c>
      <x:c r="M1445" t="str">
        <x:v>REG-912325</x:v>
      </x:c>
      <x:c r="N1445" t="str">
        <x:v>Generic Ingredient 107</x:v>
      </x:c>
      <x:c r="O1445" t="str">
        <x:v>General Sale</x:v>
      </x:c>
      <x:c r="P1445" t="n">
        <x:v>9</x:v>
      </x:c>
      <x:c r="Q1445" t="n">
        <x:v>0</x:v>
      </x:c>
      <x:c r="R1445" t="n">
        <x:v>0</x:v>
      </x:c>
      <x:c r="S1445" s="12" t="n">
        <x:f>E1445*Q1445</x:f>
        <x:v>0</x:v>
      </x:c>
      <x:c r="T1445" s="12" t="n">
        <x:f>ROUND(S1445*F1445+0.000000001,2)</x:f>
        <x:v>0</x:v>
      </x:c>
      <x:c r="U1445" s="12" t="n">
        <x:f>E1445*R1445</x:f>
        <x:v>0</x:v>
      </x:c>
      <x:c r="V1445" t="str">
        <x:f>IF(AND(C1445="Active",Q1445=0),"Active Zero Sales","Not Zero Sales")</x:f>
        <x:v>Not Zero Sales</x:v>
      </x:c>
      <x:c r="W1445" s="12" t="n">
        <x:f>IF(V1445="Active Zero Sales",U1445,0)</x:f>
        <x:v>0</x:v>
      </x:c>
      <x:c r="X1445" t="str">
        <x:f>IF(E1445&lt;25,"Low &lt; 25",IF(E1445&lt;100,"Medium 25-99",IF(E1445&lt;300,"High 100-299","Premium 300+")))</x:f>
        <x:v>Medium 25-99</x:v>
      </x:c>
      <x:c r="Y1445" t="n">
        <x:f>IF(C1445="Active",1,0)</x:f>
        <x:v>0</x:v>
      </x:c>
    </x:row>
    <x:row r="1446">
      <x:c r="A1446" t="str">
        <x:v>SKU01445</x:v>
      </x:c>
      <x:c r="B1446" t="str">
        <x:v>Sample Product 01445</x:v>
      </x:c>
      <x:c r="C1446" t="str">
        <x:v>Active</x:v>
      </x:c>
      <x:c r="D1446" t="str">
        <x:v>2026-06</x:v>
      </x:c>
      <x:c r="E1446" s="12" t="n">
        <x:v>54.68</x:v>
      </x:c>
      <x:c r="F1446" s="10" t="n">
        <x:v>0.424</x:v>
      </x:c>
      <x:c r="G1446" t="str">
        <x:v>Personal Care</x:v>
      </x:c>
      <x:c r="H1446" t="str">
        <x:v>Hygiene</x:v>
      </x:c>
      <x:c r="I1446" t="str">
        <x:v>MFG010</x:v>
      </x:c>
      <x:c r="J1446" t="str">
        <x:v>Manufacturer 010</x:v>
      </x:c>
      <x:c r="K1446" t="str">
        <x:v>SUP013</x:v>
      </x:c>
      <x:c r="L1446" t="str">
        <x:v>Supplier 013</x:v>
      </x:c>
      <x:c r="M1446" t="str">
        <x:v>REG-833349</x:v>
      </x:c>
      <x:c r="N1446" t="str">
        <x:v>Generic Ingredient 166</x:v>
      </x:c>
      <x:c r="O1446" t="str">
        <x:v>General Sale</x:v>
      </x:c>
      <x:c r="P1446" t="n">
        <x:v>117</x:v>
      </x:c>
      <x:c r="Q1446" t="n">
        <x:v>68</x:v>
      </x:c>
      <x:c r="R1446" t="n">
        <x:v>25</x:v>
      </x:c>
      <x:c r="S1446" s="12" t="n">
        <x:f>E1446*Q1446</x:f>
        <x:v>3718.24</x:v>
      </x:c>
      <x:c r="T1446" s="12" t="n">
        <x:f>ROUND(S1446*F1446+0.000000001,2)</x:f>
        <x:v>1576.53</x:v>
      </x:c>
      <x:c r="U1446" s="12" t="n">
        <x:f>E1446*R1446</x:f>
        <x:v>1367</x:v>
      </x:c>
      <x:c r="V1446" t="str">
        <x:f>IF(AND(C1446="Active",Q1446=0),"Active Zero Sales","Not Zero Sales")</x:f>
        <x:v>Not Zero Sales</x:v>
      </x:c>
      <x:c r="W1446" s="12" t="n">
        <x:f>IF(V1446="Active Zero Sales",U1446,0)</x:f>
        <x:v>0</x:v>
      </x:c>
      <x:c r="X1446" t="str">
        <x:f>IF(E1446&lt;25,"Low &lt; 25",IF(E1446&lt;100,"Medium 25-99",IF(E1446&lt;300,"High 100-299","Premium 300+")))</x:f>
        <x:v>Medium 25-99</x:v>
      </x:c>
      <x:c r="Y1446" t="n">
        <x:f>IF(C1446="Active",1,0)</x:f>
        <x:v>1</x:v>
      </x:c>
    </x:row>
    <x:row r="1447">
      <x:c r="A1447" t="str">
        <x:v>SKU01446</x:v>
      </x:c>
      <x:c r="B1447" t="str">
        <x:v>Sample Product 01446</x:v>
      </x:c>
      <x:c r="C1447" t="str">
        <x:v>Active</x:v>
      </x:c>
      <x:c r="D1447" t="str">
        <x:v>2026-01</x:v>
      </x:c>
      <x:c r="E1447" s="12" t="n">
        <x:v>208.46</x:v>
      </x:c>
      <x:c r="F1447" s="10" t="n">
        <x:v>0.328</x:v>
      </x:c>
      <x:c r="G1447" t="str">
        <x:v>General Merchandise</x:v>
      </x:c>
      <x:c r="H1447" t="str">
        <x:v>Baby Essentials</x:v>
      </x:c>
      <x:c r="I1447" t="str">
        <x:v>MFG013</x:v>
      </x:c>
      <x:c r="J1447" t="str">
        <x:v>Manufacturer 013</x:v>
      </x:c>
      <x:c r="K1447" t="str">
        <x:v>SUP014</x:v>
      </x:c>
      <x:c r="L1447" t="str">
        <x:v>Supplier 014</x:v>
      </x:c>
      <x:c r="M1447" t="str">
        <x:v>REG-426433</x:v>
      </x:c>
      <x:c r="N1447" t="str">
        <x:v>Generic Ingredient 120</x:v>
      </x:c>
      <x:c r="O1447" t="str">
        <x:v>Pharmacy Only</x:v>
      </x:c>
      <x:c r="P1447" t="n">
        <x:v>26</x:v>
      </x:c>
      <x:c r="Q1447" t="n">
        <x:v>24</x:v>
      </x:c>
      <x:c r="R1447" t="n">
        <x:v>10</x:v>
      </x:c>
      <x:c r="S1447" s="12" t="n">
        <x:f>E1447*Q1447</x:f>
        <x:v>5003.04</x:v>
      </x:c>
      <x:c r="T1447" s="12" t="n">
        <x:f>ROUND(S1447*F1447+0.000000001,2)</x:f>
        <x:v>1641</x:v>
      </x:c>
      <x:c r="U1447" s="12" t="n">
        <x:f>E1447*R1447</x:f>
        <x:v>2084.6</x:v>
      </x:c>
      <x:c r="V1447" t="str">
        <x:f>IF(AND(C1447="Active",Q1447=0),"Active Zero Sales","Not Zero Sales")</x:f>
        <x:v>Not Zero Sales</x:v>
      </x:c>
      <x:c r="W1447" s="12" t="n">
        <x:f>IF(V1447="Active Zero Sales",U1447,0)</x:f>
        <x:v>0</x:v>
      </x:c>
      <x:c r="X1447" t="str">
        <x:f>IF(E1447&lt;25,"Low &lt; 25",IF(E1447&lt;100,"Medium 25-99",IF(E1447&lt;300,"High 100-299","Premium 300+")))</x:f>
        <x:v>High 100-299</x:v>
      </x:c>
      <x:c r="Y1447" t="n">
        <x:f>IF(C1447="Active",1,0)</x:f>
        <x:v>1</x:v>
      </x:c>
    </x:row>
    <x:row r="1448">
      <x:c r="A1448" t="str">
        <x:v>SKU01447</x:v>
      </x:c>
      <x:c r="B1448" t="str">
        <x:v>Sample Product 01447</x:v>
      </x:c>
      <x:c r="C1448" t="str">
        <x:v>Active</x:v>
      </x:c>
      <x:c r="D1448" t="str">
        <x:v>2026-01</x:v>
      </x:c>
      <x:c r="E1448" s="12" t="n">
        <x:v>20.39</x:v>
      </x:c>
      <x:c r="F1448" s="10" t="n">
        <x:v>0.444</x:v>
      </x:c>
      <x:c r="G1448" t="str">
        <x:v>General Merchandise</x:v>
      </x:c>
      <x:c r="H1448" t="str">
        <x:v>Accessories</x:v>
      </x:c>
      <x:c r="I1448" t="str">
        <x:v>MFG002</x:v>
      </x:c>
      <x:c r="J1448" t="str">
        <x:v>Manufacturer 002</x:v>
      </x:c>
      <x:c r="K1448" t="str">
        <x:v>SUP011</x:v>
      </x:c>
      <x:c r="L1448" t="str">
        <x:v>Supplier 011</x:v>
      </x:c>
      <x:c r="M1448" t="str">
        <x:v>REG-916831</x:v>
      </x:c>
      <x:c r="N1448" t="str">
        <x:v>Generic Ingredient 102</x:v>
      </x:c>
      <x:c r="O1448" t="str">
        <x:v>Pharmacy Only</x:v>
      </x:c>
      <x:c r="P1448" t="n">
        <x:v>35</x:v>
      </x:c>
      <x:c r="Q1448" t="n">
        <x:v>10</x:v>
      </x:c>
      <x:c r="R1448" t="n">
        <x:v>6</x:v>
      </x:c>
      <x:c r="S1448" s="12" t="n">
        <x:f>E1448*Q1448</x:f>
        <x:v>203.9</x:v>
      </x:c>
      <x:c r="T1448" s="12" t="n">
        <x:f>ROUND(S1448*F1448+0.000000001,2)</x:f>
        <x:v>90.53</x:v>
      </x:c>
      <x:c r="U1448" s="12" t="n">
        <x:f>E1448*R1448</x:f>
        <x:v>122.34</x:v>
      </x:c>
      <x:c r="V1448" t="str">
        <x:f>IF(AND(C1448="Active",Q1448=0),"Active Zero Sales","Not Zero Sales")</x:f>
        <x:v>Not Zero Sales</x:v>
      </x:c>
      <x:c r="W1448" s="12" t="n">
        <x:f>IF(V1448="Active Zero Sales",U1448,0)</x:f>
        <x:v>0</x:v>
      </x:c>
      <x:c r="X1448" t="str">
        <x:f>IF(E1448&lt;25,"Low &lt; 25",IF(E1448&lt;100,"Medium 25-99",IF(E1448&lt;300,"High 100-299","Premium 300+")))</x:f>
        <x:v>Low &lt; 25</x:v>
      </x:c>
      <x:c r="Y1448" t="n">
        <x:f>IF(C1448="Active",1,0)</x:f>
        <x:v>1</x:v>
      </x:c>
    </x:row>
    <x:row r="1449">
      <x:c r="A1449" t="str">
        <x:v>SKU01448</x:v>
      </x:c>
      <x:c r="B1449" t="str">
        <x:v>Sample Product 01448</x:v>
      </x:c>
      <x:c r="C1449" t="str">
        <x:v>Active</x:v>
      </x:c>
      <x:c r="D1449" t="str">
        <x:v>2026-04</x:v>
      </x:c>
      <x:c r="E1449" s="12" t="n">
        <x:v>55.45</x:v>
      </x:c>
      <x:c r="F1449" s="10" t="n">
        <x:v>0.334</x:v>
      </x:c>
      <x:c r="G1449" t="str">
        <x:v>Medical Devices</x:v>
      </x:c>
      <x:c r="H1449" t="str">
        <x:v>Monitoring Supplies</x:v>
      </x:c>
      <x:c r="I1449" t="str">
        <x:v>MFG005</x:v>
      </x:c>
      <x:c r="J1449" t="str">
        <x:v>Manufacturer 005</x:v>
      </x:c>
      <x:c r="K1449" t="str">
        <x:v>SUP030</x:v>
      </x:c>
      <x:c r="L1449" t="str">
        <x:v>Supplier 030</x:v>
      </x:c>
      <x:c r="M1449" t="str">
        <x:v>REG-377499</x:v>
      </x:c>
      <x:c r="N1449" t="str">
        <x:v>Generic Ingredient 091</x:v>
      </x:c>
      <x:c r="O1449" t="str">
        <x:v>Pharmacy Only</x:v>
      </x:c>
      <x:c r="P1449" t="n">
        <x:v>44</x:v>
      </x:c>
      <x:c r="Q1449" t="n">
        <x:v>5</x:v>
      </x:c>
      <x:c r="R1449" t="n">
        <x:v>19</x:v>
      </x:c>
      <x:c r="S1449" s="12" t="n">
        <x:f>E1449*Q1449</x:f>
        <x:v>277.25</x:v>
      </x:c>
      <x:c r="T1449" s="12" t="n">
        <x:f>ROUND(S1449*F1449+0.000000001,2)</x:f>
        <x:v>92.6</x:v>
      </x:c>
      <x:c r="U1449" s="12" t="n">
        <x:f>E1449*R1449</x:f>
        <x:v>1053.55</x:v>
      </x:c>
      <x:c r="V1449" t="str">
        <x:f>IF(AND(C1449="Active",Q1449=0),"Active Zero Sales","Not Zero Sales")</x:f>
        <x:v>Not Zero Sales</x:v>
      </x:c>
      <x:c r="W1449" s="12" t="n">
        <x:f>IF(V1449="Active Zero Sales",U1449,0)</x:f>
        <x:v>0</x:v>
      </x:c>
      <x:c r="X1449" t="str">
        <x:f>IF(E1449&lt;25,"Low &lt; 25",IF(E1449&lt;100,"Medium 25-99",IF(E1449&lt;300,"High 100-299","Premium 300+")))</x:f>
        <x:v>Medium 25-99</x:v>
      </x:c>
      <x:c r="Y1449" t="n">
        <x:f>IF(C1449="Active",1,0)</x:f>
        <x:v>1</x:v>
      </x:c>
    </x:row>
    <x:row r="1450">
      <x:c r="A1450" t="str">
        <x:v>SKU01449</x:v>
      </x:c>
      <x:c r="B1450" t="str">
        <x:v>Sample Product 01449</x:v>
      </x:c>
      <x:c r="C1450" t="str">
        <x:v>Active</x:v>
      </x:c>
      <x:c r="D1450" t="str">
        <x:v>2026-05</x:v>
      </x:c>
      <x:c r="E1450" s="12" t="n">
        <x:v>66.5</x:v>
      </x:c>
      <x:c r="F1450" s="10" t="n">
        <x:v>0.37</x:v>
      </x:c>
      <x:c r="G1450" t="str">
        <x:v>Personal Care</x:v>
      </x:c>
      <x:c r="H1450" t="str">
        <x:v>Hygiene</x:v>
      </x:c>
      <x:c r="I1450" t="str">
        <x:v>MFG013</x:v>
      </x:c>
      <x:c r="J1450" t="str">
        <x:v>Manufacturer 013</x:v>
      </x:c>
      <x:c r="K1450" t="str">
        <x:v>SUP002</x:v>
      </x:c>
      <x:c r="L1450" t="str">
        <x:v>Supplier 002</x:v>
      </x:c>
      <x:c r="M1450" t="str">
        <x:v>REG-646547</x:v>
      </x:c>
      <x:c r="N1450" t="str">
        <x:v>Generic Ingredient 078</x:v>
      </x:c>
      <x:c r="O1450" t="str">
        <x:v>General Sale</x:v>
      </x:c>
      <x:c r="P1450" t="n">
        <x:v>80</x:v>
      </x:c>
      <x:c r="Q1450" t="n">
        <x:v>41</x:v>
      </x:c>
      <x:c r="R1450" t="n">
        <x:v>0</x:v>
      </x:c>
      <x:c r="S1450" s="12" t="n">
        <x:f>E1450*Q1450</x:f>
        <x:v>2726.5</x:v>
      </x:c>
      <x:c r="T1450" s="12" t="n">
        <x:f>ROUND(S1450*F1450+0.000000001,2)</x:f>
        <x:v>1008.81</x:v>
      </x:c>
      <x:c r="U1450" s="12" t="n">
        <x:f>E1450*R1450</x:f>
        <x:v>0</x:v>
      </x:c>
      <x:c r="V1450" t="str">
        <x:f>IF(AND(C1450="Active",Q1450=0),"Active Zero Sales","Not Zero Sales")</x:f>
        <x:v>Not Zero Sales</x:v>
      </x:c>
      <x:c r="W1450" s="12" t="n">
        <x:f>IF(V1450="Active Zero Sales",U1450,0)</x:f>
        <x:v>0</x:v>
      </x:c>
      <x:c r="X1450" t="str">
        <x:f>IF(E1450&lt;25,"Low &lt; 25",IF(E1450&lt;100,"Medium 25-99",IF(E1450&lt;300,"High 100-299","Premium 300+")))</x:f>
        <x:v>Medium 25-99</x:v>
      </x:c>
      <x:c r="Y1450" t="n">
        <x:f>IF(C1450="Active",1,0)</x:f>
        <x:v>1</x:v>
      </x:c>
    </x:row>
    <x:row r="1451">
      <x:c r="A1451" t="str">
        <x:v>SKU01450</x:v>
      </x:c>
      <x:c r="B1451" t="str">
        <x:v>Sample Product 01450</x:v>
      </x:c>
      <x:c r="C1451" t="str">
        <x:v>Active</x:v>
      </x:c>
      <x:c r="D1451" t="str">
        <x:v>2026-06</x:v>
      </x:c>
      <x:c r="E1451" s="12" t="n">
        <x:v>89.25</x:v>
      </x:c>
      <x:c r="F1451" s="10" t="n">
        <x:v>0.369</x:v>
      </x:c>
      <x:c r="G1451" t="str">
        <x:v>OTC &amp; Wellness</x:v>
      </x:c>
      <x:c r="H1451" t="str">
        <x:v>Vitamins</x:v>
      </x:c>
      <x:c r="I1451" t="str">
        <x:v>MFG003</x:v>
      </x:c>
      <x:c r="J1451" t="str">
        <x:v>Manufacturer 003</x:v>
      </x:c>
      <x:c r="K1451" t="str">
        <x:v>SUP011</x:v>
      </x:c>
      <x:c r="L1451" t="str">
        <x:v>Supplier 011</x:v>
      </x:c>
      <x:c r="M1451" t="str">
        <x:v>REG-440236</x:v>
      </x:c>
      <x:c r="N1451" t="str">
        <x:v>Generic Ingredient 155</x:v>
      </x:c>
      <x:c r="O1451" t="str">
        <x:v>General Sale</x:v>
      </x:c>
      <x:c r="P1451" t="n">
        <x:v>77</x:v>
      </x:c>
      <x:c r="Q1451" t="n">
        <x:v>0</x:v>
      </x:c>
      <x:c r="R1451" t="n">
        <x:v>58</x:v>
      </x:c>
      <x:c r="S1451" s="12" t="n">
        <x:f>E1451*Q1451</x:f>
        <x:v>0</x:v>
      </x:c>
      <x:c r="T1451" s="12" t="n">
        <x:f>ROUND(S1451*F1451+0.000000001,2)</x:f>
        <x:v>0</x:v>
      </x:c>
      <x:c r="U1451" s="12" t="n">
        <x:f>E1451*R1451</x:f>
        <x:v>5176.5</x:v>
      </x:c>
      <x:c r="V1451" t="str">
        <x:f>IF(AND(C1451="Active",Q1451=0),"Active Zero Sales","Not Zero Sales")</x:f>
        <x:v>Active Zero Sales</x:v>
      </x:c>
      <x:c r="W1451" s="12" t="n">
        <x:f>IF(V1451="Active Zero Sales",U1451,0)</x:f>
        <x:v>5176.5</x:v>
      </x:c>
      <x:c r="X1451" t="str">
        <x:f>IF(E1451&lt;25,"Low &lt; 25",IF(E1451&lt;100,"Medium 25-99",IF(E1451&lt;300,"High 100-299","Premium 300+")))</x:f>
        <x:v>Medium 25-99</x:v>
      </x:c>
      <x:c r="Y1451" t="n">
        <x:f>IF(C1451="Active",1,0)</x:f>
        <x:v>1</x:v>
      </x:c>
    </x:row>
    <x:row r="1452">
      <x:c r="A1452" t="str">
        <x:v>SKU01451</x:v>
      </x:c>
      <x:c r="B1452" t="str">
        <x:v>Sample Product 01451</x:v>
      </x:c>
      <x:c r="C1452" t="str">
        <x:v>Blocked</x:v>
      </x:c>
      <x:c r="D1452" t="str">
        <x:v>2026-03</x:v>
      </x:c>
      <x:c r="E1452" s="12" t="n">
        <x:v>40.31</x:v>
      </x:c>
      <x:c r="F1452" s="10" t="n">
        <x:v>0.327</x:v>
      </x:c>
      <x:c r="G1452" t="str">
        <x:v>General Merchandise</x:v>
      </x:c>
      <x:c r="H1452" t="str">
        <x:v>Travel Health</x:v>
      </x:c>
      <x:c r="I1452" t="str">
        <x:v>MFG015</x:v>
      </x:c>
      <x:c r="J1452" t="str">
        <x:v>Manufacturer 015</x:v>
      </x:c>
      <x:c r="K1452" t="str">
        <x:v>SUP019</x:v>
      </x:c>
      <x:c r="L1452" t="str">
        <x:v>Supplier 019</x:v>
      </x:c>
      <x:c r="M1452" t="str">
        <x:v>REG-770455</x:v>
      </x:c>
      <x:c r="N1452" t="str">
        <x:v>Generic Ingredient 078</x:v>
      </x:c>
      <x:c r="O1452" t="str">
        <x:v>Pharmacy Only</x:v>
      </x:c>
      <x:c r="P1452" t="n">
        <x:v>47</x:v>
      </x:c>
      <x:c r="Q1452" t="n">
        <x:v>0</x:v>
      </x:c>
      <x:c r="R1452" t="n">
        <x:v>0</x:v>
      </x:c>
      <x:c r="S1452" s="12" t="n">
        <x:f>E1452*Q1452</x:f>
        <x:v>0</x:v>
      </x:c>
      <x:c r="T1452" s="12" t="n">
        <x:f>ROUND(S1452*F1452+0.000000001,2)</x:f>
        <x:v>0</x:v>
      </x:c>
      <x:c r="U1452" s="12" t="n">
        <x:f>E1452*R1452</x:f>
        <x:v>0</x:v>
      </x:c>
      <x:c r="V1452" t="str">
        <x:f>IF(AND(C1452="Active",Q1452=0),"Active Zero Sales","Not Zero Sales")</x:f>
        <x:v>Not Zero Sales</x:v>
      </x:c>
      <x:c r="W1452" s="12" t="n">
        <x:f>IF(V1452="Active Zero Sales",U1452,0)</x:f>
        <x:v>0</x:v>
      </x:c>
      <x:c r="X1452" t="str">
        <x:f>IF(E1452&lt;25,"Low &lt; 25",IF(E1452&lt;100,"Medium 25-99",IF(E1452&lt;300,"High 100-299","Premium 300+")))</x:f>
        <x:v>Medium 25-99</x:v>
      </x:c>
      <x:c r="Y1452" t="n">
        <x:f>IF(C1452="Active",1,0)</x:f>
        <x:v>0</x:v>
      </x:c>
    </x:row>
    <x:row r="1453">
      <x:c r="A1453" t="str">
        <x:v>SKU01452</x:v>
      </x:c>
      <x:c r="B1453" t="str">
        <x:v>Sample Product 01452</x:v>
      </x:c>
      <x:c r="C1453" t="str">
        <x:v>Active</x:v>
      </x:c>
      <x:c r="D1453" t="str">
        <x:v>2026-06</x:v>
      </x:c>
      <x:c r="E1453" s="12" t="n">
        <x:v>44.1</x:v>
      </x:c>
      <x:c r="F1453" s="10" t="n">
        <x:v>0.325</x:v>
      </x:c>
      <x:c r="G1453" t="str">
        <x:v>Nutrition</x:v>
      </x:c>
      <x:c r="H1453" t="str">
        <x:v>Sports Nutrition</x:v>
      </x:c>
      <x:c r="I1453" t="str">
        <x:v>MFG017</x:v>
      </x:c>
      <x:c r="J1453" t="str">
        <x:v>Manufacturer 017</x:v>
      </x:c>
      <x:c r="K1453" t="str">
        <x:v>SUP001</x:v>
      </x:c>
      <x:c r="L1453" t="str">
        <x:v>Supplier 001</x:v>
      </x:c>
      <x:c r="M1453" t="str">
        <x:v>REG-622760</x:v>
      </x:c>
      <x:c r="N1453" t="str">
        <x:v>Generic Ingredient 105</x:v>
      </x:c>
      <x:c r="O1453" t="str">
        <x:v>General Sale</x:v>
      </x:c>
      <x:c r="P1453" t="n">
        <x:v>74</x:v>
      </x:c>
      <x:c r="Q1453" t="n">
        <x:v>26</x:v>
      </x:c>
      <x:c r="R1453" t="n">
        <x:v>21</x:v>
      </x:c>
      <x:c r="S1453" s="12" t="n">
        <x:f>E1453*Q1453</x:f>
        <x:v>1146.6000000000001</x:v>
      </x:c>
      <x:c r="T1453" s="12" t="n">
        <x:f>ROUND(S1453*F1453+0.000000001,2)</x:f>
        <x:v>372.65</x:v>
      </x:c>
      <x:c r="U1453" s="12" t="n">
        <x:f>E1453*R1453</x:f>
        <x:v>926.1</x:v>
      </x:c>
      <x:c r="V1453" t="str">
        <x:f>IF(AND(C1453="Active",Q1453=0),"Active Zero Sales","Not Zero Sales")</x:f>
        <x:v>Not Zero Sales</x:v>
      </x:c>
      <x:c r="W1453" s="12" t="n">
        <x:f>IF(V1453="Active Zero Sales",U1453,0)</x:f>
        <x:v>0</x:v>
      </x:c>
      <x:c r="X1453" t="str">
        <x:f>IF(E1453&lt;25,"Low &lt; 25",IF(E1453&lt;100,"Medium 25-99",IF(E1453&lt;300,"High 100-299","Premium 300+")))</x:f>
        <x:v>Medium 25-99</x:v>
      </x:c>
      <x:c r="Y1453" t="n">
        <x:f>IF(C1453="Active",1,0)</x:f>
        <x:v>1</x:v>
      </x:c>
    </x:row>
    <x:row r="1454">
      <x:c r="A1454" t="str">
        <x:v>SKU01453</x:v>
      </x:c>
      <x:c r="B1454" t="str">
        <x:v>Sample Product 01453</x:v>
      </x:c>
      <x:c r="C1454" t="str">
        <x:v>Active</x:v>
      </x:c>
      <x:c r="D1454" t="str">
        <x:v>2026-02</x:v>
      </x:c>
      <x:c r="E1454" s="12" t="n">
        <x:v>92.74</x:v>
      </x:c>
      <x:c r="F1454" s="10" t="n">
        <x:v>0.42</x:v>
      </x:c>
      <x:c r="G1454" t="str">
        <x:v>Medical Devices</x:v>
      </x:c>
      <x:c r="H1454" t="str">
        <x:v>Monitoring Supplies</x:v>
      </x:c>
      <x:c r="I1454" t="str">
        <x:v>MFG005</x:v>
      </x:c>
      <x:c r="J1454" t="str">
        <x:v>Manufacturer 005</x:v>
      </x:c>
      <x:c r="K1454" t="str">
        <x:v>SUP024</x:v>
      </x:c>
      <x:c r="L1454" t="str">
        <x:v>Supplier 024</x:v>
      </x:c>
      <x:c r="M1454" t="str">
        <x:v>REG-287028</x:v>
      </x:c>
      <x:c r="N1454" t="str">
        <x:v>Generic Ingredient 081</x:v>
      </x:c>
      <x:c r="O1454" t="str">
        <x:v>Pharmacy Only</x:v>
      </x:c>
      <x:c r="P1454" t="n">
        <x:v>158</x:v>
      </x:c>
      <x:c r="Q1454" t="n">
        <x:v>83</x:v>
      </x:c>
      <x:c r="R1454" t="n">
        <x:v>42</x:v>
      </x:c>
      <x:c r="S1454" s="12" t="n">
        <x:f>E1454*Q1454</x:f>
        <x:v>7697.419999999999</x:v>
      </x:c>
      <x:c r="T1454" s="12" t="n">
        <x:f>ROUND(S1454*F1454+0.000000001,2)</x:f>
        <x:v>3232.92</x:v>
      </x:c>
      <x:c r="U1454" s="12" t="n">
        <x:f>E1454*R1454</x:f>
        <x:v>3895.08</x:v>
      </x:c>
      <x:c r="V1454" t="str">
        <x:f>IF(AND(C1454="Active",Q1454=0),"Active Zero Sales","Not Zero Sales")</x:f>
        <x:v>Not Zero Sales</x:v>
      </x:c>
      <x:c r="W1454" s="12" t="n">
        <x:f>IF(V1454="Active Zero Sales",U1454,0)</x:f>
        <x:v>0</x:v>
      </x:c>
      <x:c r="X1454" t="str">
        <x:f>IF(E1454&lt;25,"Low &lt; 25",IF(E1454&lt;100,"Medium 25-99",IF(E1454&lt;300,"High 100-299","Premium 300+")))</x:f>
        <x:v>Medium 25-99</x:v>
      </x:c>
      <x:c r="Y1454" t="n">
        <x:f>IF(C1454="Active",1,0)</x:f>
        <x:v>1</x:v>
      </x:c>
    </x:row>
    <x:row r="1455">
      <x:c r="A1455" t="str">
        <x:v>SKU01454</x:v>
      </x:c>
      <x:c r="B1455" t="str">
        <x:v>Sample Product 01454</x:v>
      </x:c>
      <x:c r="C1455" t="str">
        <x:v>Active</x:v>
      </x:c>
      <x:c r="D1455" t="str">
        <x:v>2026-01</x:v>
      </x:c>
      <x:c r="E1455" s="12" t="n">
        <x:v>80.17</x:v>
      </x:c>
      <x:c r="F1455" s="10" t="n">
        <x:v>0.278</x:v>
      </x:c>
      <x:c r="G1455" t="str">
        <x:v>Medical Devices</x:v>
      </x:c>
      <x:c r="H1455" t="str">
        <x:v>Home Diagnostics</x:v>
      </x:c>
      <x:c r="I1455" t="str">
        <x:v>MFG014</x:v>
      </x:c>
      <x:c r="J1455" t="str">
        <x:v>Manufacturer 014</x:v>
      </x:c>
      <x:c r="K1455" t="str">
        <x:v>SUP003</x:v>
      </x:c>
      <x:c r="L1455" t="str">
        <x:v>Supplier 003</x:v>
      </x:c>
      <x:c r="M1455" t="str">
        <x:v>REG-493664</x:v>
      </x:c>
      <x:c r="N1455" t="str">
        <x:v>Generic Ingredient 104</x:v>
      </x:c>
      <x:c r="O1455" t="str">
        <x:v>General Sale</x:v>
      </x:c>
      <x:c r="P1455" t="n">
        <x:v>32</x:v>
      </x:c>
      <x:c r="Q1455" t="n">
        <x:v>7</x:v>
      </x:c>
      <x:c r="R1455" t="n">
        <x:v>15</x:v>
      </x:c>
      <x:c r="S1455" s="12" t="n">
        <x:f>E1455*Q1455</x:f>
        <x:v>561.19</x:v>
      </x:c>
      <x:c r="T1455" s="12" t="n">
        <x:f>ROUND(S1455*F1455+0.000000001,2)</x:f>
        <x:v>156.01</x:v>
      </x:c>
      <x:c r="U1455" s="12" t="n">
        <x:f>E1455*R1455</x:f>
        <x:v>1202.55</x:v>
      </x:c>
      <x:c r="V1455" t="str">
        <x:f>IF(AND(C1455="Active",Q1455=0),"Active Zero Sales","Not Zero Sales")</x:f>
        <x:v>Not Zero Sales</x:v>
      </x:c>
      <x:c r="W1455" s="12" t="n">
        <x:f>IF(V1455="Active Zero Sales",U1455,0)</x:f>
        <x:v>0</x:v>
      </x:c>
      <x:c r="X1455" t="str">
        <x:f>IF(E1455&lt;25,"Low &lt; 25",IF(E1455&lt;100,"Medium 25-99",IF(E1455&lt;300,"High 100-299","Premium 300+")))</x:f>
        <x:v>Medium 25-99</x:v>
      </x:c>
      <x:c r="Y1455" t="n">
        <x:f>IF(C1455="Active",1,0)</x:f>
        <x:v>1</x:v>
      </x:c>
    </x:row>
    <x:row r="1456">
      <x:c r="A1456" t="str">
        <x:v>SKU01455</x:v>
      </x:c>
      <x:c r="B1456" t="str">
        <x:v>Sample Product 01455</x:v>
      </x:c>
      <x:c r="C1456" t="str">
        <x:v>Blocked</x:v>
      </x:c>
      <x:c r="D1456" t="str">
        <x:v>2026-06</x:v>
      </x:c>
      <x:c r="E1456" s="12" t="n">
        <x:v>11.14</x:v>
      </x:c>
      <x:c r="F1456" s="10" t="n">
        <x:v>0.329</x:v>
      </x:c>
      <x:c r="G1456" t="str">
        <x:v>Medical Devices</x:v>
      </x:c>
      <x:c r="H1456" t="str">
        <x:v>Monitoring Supplies</x:v>
      </x:c>
      <x:c r="I1456" t="str">
        <x:v>MFG010</x:v>
      </x:c>
      <x:c r="J1456" t="str">
        <x:v>Manufacturer 010</x:v>
      </x:c>
      <x:c r="K1456" t="str">
        <x:v>SUP002</x:v>
      </x:c>
      <x:c r="L1456" t="str">
        <x:v>Supplier 002</x:v>
      </x:c>
      <x:c r="M1456" t="str">
        <x:v>REG-835088</x:v>
      </x:c>
      <x:c r="N1456" t="str">
        <x:v>Generic Ingredient 016</x:v>
      </x:c>
      <x:c r="O1456" t="str">
        <x:v>General Sale</x:v>
      </x:c>
      <x:c r="P1456" t="n">
        <x:v>46</x:v>
      </x:c>
      <x:c r="Q1456" t="n">
        <x:v>0</x:v>
      </x:c>
      <x:c r="R1456" t="n">
        <x:v>0</x:v>
      </x:c>
      <x:c r="S1456" s="12" t="n">
        <x:f>E1456*Q1456</x:f>
        <x:v>0</x:v>
      </x:c>
      <x:c r="T1456" s="12" t="n">
        <x:f>ROUND(S1456*F1456+0.000000001,2)</x:f>
        <x:v>0</x:v>
      </x:c>
      <x:c r="U1456" s="12" t="n">
        <x:f>E1456*R1456</x:f>
        <x:v>0</x:v>
      </x:c>
      <x:c r="V1456" t="str">
        <x:f>IF(AND(C1456="Active",Q1456=0),"Active Zero Sales","Not Zero Sales")</x:f>
        <x:v>Not Zero Sales</x:v>
      </x:c>
      <x:c r="W1456" s="12" t="n">
        <x:f>IF(V1456="Active Zero Sales",U1456,0)</x:f>
        <x:v>0</x:v>
      </x:c>
      <x:c r="X1456" t="str">
        <x:f>IF(E1456&lt;25,"Low &lt; 25",IF(E1456&lt;100,"Medium 25-99",IF(E1456&lt;300,"High 100-299","Premium 300+")))</x:f>
        <x:v>Low &lt; 25</x:v>
      </x:c>
      <x:c r="Y1456" t="n">
        <x:f>IF(C1456="Active",1,0)</x:f>
        <x:v>0</x:v>
      </x:c>
    </x:row>
    <x:row r="1457">
      <x:c r="A1457" t="str">
        <x:v>SKU01456</x:v>
      </x:c>
      <x:c r="B1457" t="str">
        <x:v>Sample Product 01456</x:v>
      </x:c>
      <x:c r="C1457" t="str">
        <x:v>Active</x:v>
      </x:c>
      <x:c r="D1457" t="str">
        <x:v>2026-01</x:v>
      </x:c>
      <x:c r="E1457" s="12" t="n">
        <x:v>168.12</x:v>
      </x:c>
      <x:c r="F1457" s="10" t="n">
        <x:v>0.388</x:v>
      </x:c>
      <x:c r="G1457" t="str">
        <x:v>Personal Care</x:v>
      </x:c>
      <x:c r="H1457" t="str">
        <x:v>Hygiene</x:v>
      </x:c>
      <x:c r="I1457" t="str">
        <x:v>MFG004</x:v>
      </x:c>
      <x:c r="J1457" t="str">
        <x:v>Manufacturer 004</x:v>
      </x:c>
      <x:c r="K1457" t="str">
        <x:v>SUP001</x:v>
      </x:c>
      <x:c r="L1457" t="str">
        <x:v>Supplier 001</x:v>
      </x:c>
      <x:c r="M1457" t="str">
        <x:v>REG-178086</x:v>
      </x:c>
      <x:c r="N1457" t="str">
        <x:v>Generic Ingredient 026</x:v>
      </x:c>
      <x:c r="O1457" t="str">
        <x:v>Pharmacy Only</x:v>
      </x:c>
      <x:c r="P1457" t="n">
        <x:v>68</x:v>
      </x:c>
      <x:c r="Q1457" t="n">
        <x:v>25</x:v>
      </x:c>
      <x:c r="R1457" t="n">
        <x:v>0</x:v>
      </x:c>
      <x:c r="S1457" s="12" t="n">
        <x:f>E1457*Q1457</x:f>
        <x:v>4203</x:v>
      </x:c>
      <x:c r="T1457" s="12" t="n">
        <x:f>ROUND(S1457*F1457+0.000000001,2)</x:f>
        <x:v>1630.76</x:v>
      </x:c>
      <x:c r="U1457" s="12" t="n">
        <x:f>E1457*R1457</x:f>
        <x:v>0</x:v>
      </x:c>
      <x:c r="V1457" t="str">
        <x:f>IF(AND(C1457="Active",Q1457=0),"Active Zero Sales","Not Zero Sales")</x:f>
        <x:v>Not Zero Sales</x:v>
      </x:c>
      <x:c r="W1457" s="12" t="n">
        <x:f>IF(V1457="Active Zero Sales",U1457,0)</x:f>
        <x:v>0</x:v>
      </x:c>
      <x:c r="X1457" t="str">
        <x:f>IF(E1457&lt;25,"Low &lt; 25",IF(E1457&lt;100,"Medium 25-99",IF(E1457&lt;300,"High 100-299","Premium 300+")))</x:f>
        <x:v>High 100-299</x:v>
      </x:c>
      <x:c r="Y1457" t="n">
        <x:f>IF(C1457="Active",1,0)</x:f>
        <x:v>1</x:v>
      </x:c>
    </x:row>
    <x:row r="1458">
      <x:c r="A1458" t="str">
        <x:v>SKU01457</x:v>
      </x:c>
      <x:c r="B1458" t="str">
        <x:v>Sample Product 01457</x:v>
      </x:c>
      <x:c r="C1458" t="str">
        <x:v>Blocked</x:v>
      </x:c>
      <x:c r="D1458" t="str">
        <x:v>2026-01</x:v>
      </x:c>
      <x:c r="E1458" s="12" t="n">
        <x:v>65.64</x:v>
      </x:c>
      <x:c r="F1458" s="10" t="n">
        <x:v>0.416</x:v>
      </x:c>
      <x:c r="G1458" t="str">
        <x:v>General Merchandise</x:v>
      </x:c>
      <x:c r="H1458" t="str">
        <x:v>Baby Essentials</x:v>
      </x:c>
      <x:c r="I1458" t="str">
        <x:v>MFG020</x:v>
      </x:c>
      <x:c r="J1458" t="str">
        <x:v>Manufacturer 020</x:v>
      </x:c>
      <x:c r="K1458" t="str">
        <x:v>SUP025</x:v>
      </x:c>
      <x:c r="L1458" t="str">
        <x:v>Supplier 025</x:v>
      </x:c>
      <x:c r="M1458" t="str">
        <x:v>REG-416411</x:v>
      </x:c>
      <x:c r="N1458" t="str">
        <x:v>Generic Ingredient 020</x:v>
      </x:c>
      <x:c r="O1458" t="str">
        <x:v>General Sale</x:v>
      </x:c>
      <x:c r="P1458" t="n">
        <x:v>40</x:v>
      </x:c>
      <x:c r="Q1458" t="n">
        <x:v>23</x:v>
      </x:c>
      <x:c r="R1458" t="n">
        <x:v>5</x:v>
      </x:c>
      <x:c r="S1458" s="12" t="n">
        <x:f>E1458*Q1458</x:f>
        <x:v>1509.72</x:v>
      </x:c>
      <x:c r="T1458" s="12" t="n">
        <x:f>ROUND(S1458*F1458+0.000000001,2)</x:f>
        <x:v>628.04</x:v>
      </x:c>
      <x:c r="U1458" s="12" t="n">
        <x:f>E1458*R1458</x:f>
        <x:v>328.2</x:v>
      </x:c>
      <x:c r="V1458" t="str">
        <x:f>IF(AND(C1458="Active",Q1458=0),"Active Zero Sales","Not Zero Sales")</x:f>
        <x:v>Not Zero Sales</x:v>
      </x:c>
      <x:c r="W1458" s="12" t="n">
        <x:f>IF(V1458="Active Zero Sales",U1458,0)</x:f>
        <x:v>0</x:v>
      </x:c>
      <x:c r="X1458" t="str">
        <x:f>IF(E1458&lt;25,"Low &lt; 25",IF(E1458&lt;100,"Medium 25-99",IF(E1458&lt;300,"High 100-299","Premium 300+")))</x:f>
        <x:v>Medium 25-99</x:v>
      </x:c>
      <x:c r="Y1458" t="n">
        <x:f>IF(C1458="Active",1,0)</x:f>
        <x:v>0</x:v>
      </x:c>
    </x:row>
    <x:row r="1459">
      <x:c r="A1459" t="str">
        <x:v>SKU01458</x:v>
      </x:c>
      <x:c r="B1459" t="str">
        <x:v>Sample Product 01458</x:v>
      </x:c>
      <x:c r="C1459" t="str">
        <x:v>Active</x:v>
      </x:c>
      <x:c r="D1459" t="str">
        <x:v>2026-06</x:v>
      </x:c>
      <x:c r="E1459" s="12" t="n">
        <x:v>54.57</x:v>
      </x:c>
      <x:c r="F1459" s="10" t="n">
        <x:v>0.26</x:v>
      </x:c>
      <x:c r="G1459" t="str">
        <x:v>Medical Devices</x:v>
      </x:c>
      <x:c r="H1459" t="str">
        <x:v>First Aid</x:v>
      </x:c>
      <x:c r="I1459" t="str">
        <x:v>MFG007</x:v>
      </x:c>
      <x:c r="J1459" t="str">
        <x:v>Manufacturer 007</x:v>
      </x:c>
      <x:c r="K1459" t="str">
        <x:v>SUP027</x:v>
      </x:c>
      <x:c r="L1459" t="str">
        <x:v>Supplier 027</x:v>
      </x:c>
      <x:c r="M1459" t="str">
        <x:v>REG-817601</x:v>
      </x:c>
      <x:c r="N1459" t="str">
        <x:v>Generic Ingredient 068</x:v>
      </x:c>
      <x:c r="O1459" t="str">
        <x:v>General Sale</x:v>
      </x:c>
      <x:c r="P1459" t="n">
        <x:v>164</x:v>
      </x:c>
      <x:c r="Q1459" t="n">
        <x:v>79</x:v>
      </x:c>
      <x:c r="R1459" t="n">
        <x:v>39</x:v>
      </x:c>
      <x:c r="S1459" s="12" t="n">
        <x:f>E1459*Q1459</x:f>
        <x:v>4311.03</x:v>
      </x:c>
      <x:c r="T1459" s="12" t="n">
        <x:f>ROUND(S1459*F1459+0.000000001,2)</x:f>
        <x:v>1120.87</x:v>
      </x:c>
      <x:c r="U1459" s="12" t="n">
        <x:f>E1459*R1459</x:f>
        <x:v>2128.23</x:v>
      </x:c>
      <x:c r="V1459" t="str">
        <x:f>IF(AND(C1459="Active",Q1459=0),"Active Zero Sales","Not Zero Sales")</x:f>
        <x:v>Not Zero Sales</x:v>
      </x:c>
      <x:c r="W1459" s="12" t="n">
        <x:f>IF(V1459="Active Zero Sales",U1459,0)</x:f>
        <x:v>0</x:v>
      </x:c>
      <x:c r="X1459" t="str">
        <x:f>IF(E1459&lt;25,"Low &lt; 25",IF(E1459&lt;100,"Medium 25-99",IF(E1459&lt;300,"High 100-299","Premium 300+")))</x:f>
        <x:v>Medium 25-99</x:v>
      </x:c>
      <x:c r="Y1459" t="n">
        <x:f>IF(C1459="Active",1,0)</x:f>
        <x:v>1</x:v>
      </x:c>
    </x:row>
    <x:row r="1460">
      <x:c r="A1460" t="str">
        <x:v>SKU01459</x:v>
      </x:c>
      <x:c r="B1460" t="str">
        <x:v>Sample Product 01459</x:v>
      </x:c>
      <x:c r="C1460" t="str">
        <x:v>Active</x:v>
      </x:c>
      <x:c r="D1460" t="str">
        <x:v>2026-02</x:v>
      </x:c>
      <x:c r="E1460" s="12" t="n">
        <x:v>14.74</x:v>
      </x:c>
      <x:c r="F1460" s="10" t="n">
        <x:v>0.348</x:v>
      </x:c>
      <x:c r="G1460" t="str">
        <x:v>Personal Care</x:v>
      </x:c>
      <x:c r="H1460" t="str">
        <x:v>Oral Care</x:v>
      </x:c>
      <x:c r="I1460" t="str">
        <x:v>MFG016</x:v>
      </x:c>
      <x:c r="J1460" t="str">
        <x:v>Manufacturer 016</x:v>
      </x:c>
      <x:c r="K1460" t="str">
        <x:v>SUP017</x:v>
      </x:c>
      <x:c r="L1460" t="str">
        <x:v>Supplier 017</x:v>
      </x:c>
      <x:c r="M1460" t="str">
        <x:v>REG-712123</x:v>
      </x:c>
      <x:c r="N1460" t="str">
        <x:v>Generic Ingredient 169</x:v>
      </x:c>
      <x:c r="O1460" t="str">
        <x:v>Pharmacy Only</x:v>
      </x:c>
      <x:c r="P1460" t="n">
        <x:v>41</x:v>
      </x:c>
      <x:c r="Q1460" t="n">
        <x:v>9</x:v>
      </x:c>
      <x:c r="R1460" t="n">
        <x:v>0</x:v>
      </x:c>
      <x:c r="S1460" s="12" t="n">
        <x:f>E1460*Q1460</x:f>
        <x:v>132.66</x:v>
      </x:c>
      <x:c r="T1460" s="12" t="n">
        <x:f>ROUND(S1460*F1460+0.000000001,2)</x:f>
        <x:v>46.17</x:v>
      </x:c>
      <x:c r="U1460" s="12" t="n">
        <x:f>E1460*R1460</x:f>
        <x:v>0</x:v>
      </x:c>
      <x:c r="V1460" t="str">
        <x:f>IF(AND(C1460="Active",Q1460=0),"Active Zero Sales","Not Zero Sales")</x:f>
        <x:v>Not Zero Sales</x:v>
      </x:c>
      <x:c r="W1460" s="12" t="n">
        <x:f>IF(V1460="Active Zero Sales",U1460,0)</x:f>
        <x:v>0</x:v>
      </x:c>
      <x:c r="X1460" t="str">
        <x:f>IF(E1460&lt;25,"Low &lt; 25",IF(E1460&lt;100,"Medium 25-99",IF(E1460&lt;300,"High 100-299","Premium 300+")))</x:f>
        <x:v>Low &lt; 25</x:v>
      </x:c>
      <x:c r="Y1460" t="n">
        <x:f>IF(C1460="Active",1,0)</x:f>
        <x:v>1</x:v>
      </x:c>
    </x:row>
    <x:row r="1461">
      <x:c r="A1461" t="str">
        <x:v>SKU01460</x:v>
      </x:c>
      <x:c r="B1461" t="str">
        <x:v>Sample Product 01460</x:v>
      </x:c>
      <x:c r="C1461" t="str">
        <x:v>Active</x:v>
      </x:c>
      <x:c r="D1461" t="str">
        <x:v>2026-01</x:v>
      </x:c>
      <x:c r="E1461" s="12" t="n">
        <x:v>227.95</x:v>
      </x:c>
      <x:c r="F1461" s="10" t="n">
        <x:v>0.544</x:v>
      </x:c>
      <x:c r="G1461" t="str">
        <x:v>General Merchandise</x:v>
      </x:c>
      <x:c r="H1461" t="str">
        <x:v>Accessories</x:v>
      </x:c>
      <x:c r="I1461" t="str">
        <x:v>MFG004</x:v>
      </x:c>
      <x:c r="J1461" t="str">
        <x:v>Manufacturer 004</x:v>
      </x:c>
      <x:c r="K1461" t="str">
        <x:v>SUP018</x:v>
      </x:c>
      <x:c r="L1461" t="str">
        <x:v>Supplier 018</x:v>
      </x:c>
      <x:c r="M1461" t="str">
        <x:v>REG-309254</x:v>
      </x:c>
      <x:c r="N1461" t="str">
        <x:v>Generic Ingredient 119</x:v>
      </x:c>
      <x:c r="O1461" t="str">
        <x:v>General Sale</x:v>
      </x:c>
      <x:c r="P1461" t="n">
        <x:v>102</x:v>
      </x:c>
      <x:c r="Q1461" t="n">
        <x:v>65</x:v>
      </x:c>
      <x:c r="R1461" t="n">
        <x:v>23</x:v>
      </x:c>
      <x:c r="S1461" s="12" t="n">
        <x:f>E1461*Q1461</x:f>
        <x:v>14816.75</x:v>
      </x:c>
      <x:c r="T1461" s="12" t="n">
        <x:f>ROUND(S1461*F1461+0.000000001,2)</x:f>
        <x:v>8060.31</x:v>
      </x:c>
      <x:c r="U1461" s="12" t="n">
        <x:f>E1461*R1461</x:f>
        <x:v>5242.849999999999</x:v>
      </x:c>
      <x:c r="V1461" t="str">
        <x:f>IF(AND(C1461="Active",Q1461=0),"Active Zero Sales","Not Zero Sales")</x:f>
        <x:v>Not Zero Sales</x:v>
      </x:c>
      <x:c r="W1461" s="12" t="n">
        <x:f>IF(V1461="Active Zero Sales",U1461,0)</x:f>
        <x:v>0</x:v>
      </x:c>
      <x:c r="X1461" t="str">
        <x:f>IF(E1461&lt;25,"Low &lt; 25",IF(E1461&lt;100,"Medium 25-99",IF(E1461&lt;300,"High 100-299","Premium 300+")))</x:f>
        <x:v>High 100-299</x:v>
      </x:c>
      <x:c r="Y1461" t="n">
        <x:f>IF(C1461="Active",1,0)</x:f>
        <x:v>1</x:v>
      </x:c>
    </x:row>
    <x:row r="1462">
      <x:c r="A1462" t="str">
        <x:v>SKU01461</x:v>
      </x:c>
      <x:c r="B1462" t="str">
        <x:v>Sample Product 01461</x:v>
      </x:c>
      <x:c r="C1462" t="str">
        <x:v>Active</x:v>
      </x:c>
      <x:c r="D1462" t="str">
        <x:v>2026-05</x:v>
      </x:c>
      <x:c r="E1462" s="12" t="n">
        <x:v>62.73</x:v>
      </x:c>
      <x:c r="F1462" s="10" t="n">
        <x:v>0.319</x:v>
      </x:c>
      <x:c r="G1462" t="str">
        <x:v>OTC &amp; Wellness</x:v>
      </x:c>
      <x:c r="H1462" t="str">
        <x:v>Pain Relief</x:v>
      </x:c>
      <x:c r="I1462" t="str">
        <x:v>MFG014</x:v>
      </x:c>
      <x:c r="J1462" t="str">
        <x:v>Manufacturer 014</x:v>
      </x:c>
      <x:c r="K1462" t="str">
        <x:v>SUP015</x:v>
      </x:c>
      <x:c r="L1462" t="str">
        <x:v>Supplier 015</x:v>
      </x:c>
      <x:c r="M1462" t="str">
        <x:v>REG-705488</x:v>
      </x:c>
      <x:c r="N1462" t="str">
        <x:v>Generic Ingredient 109</x:v>
      </x:c>
      <x:c r="O1462" t="str">
        <x:v>General Sale</x:v>
      </x:c>
      <x:c r="P1462" t="n">
        <x:v>39</x:v>
      </x:c>
      <x:c r="Q1462" t="n">
        <x:v>17</x:v>
      </x:c>
      <x:c r="R1462" t="n">
        <x:v>0</x:v>
      </x:c>
      <x:c r="S1462" s="12" t="n">
        <x:f>E1462*Q1462</x:f>
        <x:v>1066.4099999999999</x:v>
      </x:c>
      <x:c r="T1462" s="12" t="n">
        <x:f>ROUND(S1462*F1462+0.000000001,2)</x:f>
        <x:v>340.18</x:v>
      </x:c>
      <x:c r="U1462" s="12" t="n">
        <x:f>E1462*R1462</x:f>
        <x:v>0</x:v>
      </x:c>
      <x:c r="V1462" t="str">
        <x:f>IF(AND(C1462="Active",Q1462=0),"Active Zero Sales","Not Zero Sales")</x:f>
        <x:v>Not Zero Sales</x:v>
      </x:c>
      <x:c r="W1462" s="12" t="n">
        <x:f>IF(V1462="Active Zero Sales",U1462,0)</x:f>
        <x:v>0</x:v>
      </x:c>
      <x:c r="X1462" t="str">
        <x:f>IF(E1462&lt;25,"Low &lt; 25",IF(E1462&lt;100,"Medium 25-99",IF(E1462&lt;300,"High 100-299","Premium 300+")))</x:f>
        <x:v>Medium 25-99</x:v>
      </x:c>
      <x:c r="Y1462" t="n">
        <x:f>IF(C1462="Active",1,0)</x:f>
        <x:v>1</x:v>
      </x:c>
    </x:row>
    <x:row r="1463">
      <x:c r="A1463" t="str">
        <x:v>SKU01462</x:v>
      </x:c>
      <x:c r="B1463" t="str">
        <x:v>Sample Product 01462</x:v>
      </x:c>
      <x:c r="C1463" t="str">
        <x:v>Active</x:v>
      </x:c>
      <x:c r="D1463" t="str">
        <x:v>2026-03</x:v>
      </x:c>
      <x:c r="E1463" s="12" t="n">
        <x:v>12.82</x:v>
      </x:c>
      <x:c r="F1463" s="10" t="n">
        <x:v>0.39</x:v>
      </x:c>
      <x:c r="G1463" t="str">
        <x:v>OTC &amp; Wellness</x:v>
      </x:c>
      <x:c r="H1463" t="str">
        <x:v>Pain Relief</x:v>
      </x:c>
      <x:c r="I1463" t="str">
        <x:v>MFG007</x:v>
      </x:c>
      <x:c r="J1463" t="str">
        <x:v>Manufacturer 007</x:v>
      </x:c>
      <x:c r="K1463" t="str">
        <x:v>SUP027</x:v>
      </x:c>
      <x:c r="L1463" t="str">
        <x:v>Supplier 027</x:v>
      </x:c>
      <x:c r="M1463" t="str">
        <x:v>REG-334137</x:v>
      </x:c>
      <x:c r="N1463" t="str">
        <x:v>Generic Ingredient 011</x:v>
      </x:c>
      <x:c r="O1463" t="str">
        <x:v>Pharmacy Only</x:v>
      </x:c>
      <x:c r="P1463" t="n">
        <x:v>45</x:v>
      </x:c>
      <x:c r="Q1463" t="n">
        <x:v>25</x:v>
      </x:c>
      <x:c r="R1463" t="n">
        <x:v>9</x:v>
      </x:c>
      <x:c r="S1463" s="12" t="n">
        <x:f>E1463*Q1463</x:f>
        <x:v>320.5</x:v>
      </x:c>
      <x:c r="T1463" s="12" t="n">
        <x:f>ROUND(S1463*F1463+0.000000001,2)</x:f>
        <x:v>125</x:v>
      </x:c>
      <x:c r="U1463" s="12" t="n">
        <x:f>E1463*R1463</x:f>
        <x:v>115.38</x:v>
      </x:c>
      <x:c r="V1463" t="str">
        <x:f>IF(AND(C1463="Active",Q1463=0),"Active Zero Sales","Not Zero Sales")</x:f>
        <x:v>Not Zero Sales</x:v>
      </x:c>
      <x:c r="W1463" s="12" t="n">
        <x:f>IF(V1463="Active Zero Sales",U1463,0)</x:f>
        <x:v>0</x:v>
      </x:c>
      <x:c r="X1463" t="str">
        <x:f>IF(E1463&lt;25,"Low &lt; 25",IF(E1463&lt;100,"Medium 25-99",IF(E1463&lt;300,"High 100-299","Premium 300+")))</x:f>
        <x:v>Low &lt; 25</x:v>
      </x:c>
      <x:c r="Y1463" t="n">
        <x:f>IF(C1463="Active",1,0)</x:f>
        <x:v>1</x:v>
      </x:c>
    </x:row>
    <x:row r="1464">
      <x:c r="A1464" t="str">
        <x:v>SKU01463</x:v>
      </x:c>
      <x:c r="B1464" t="str">
        <x:v>Sample Product 01463</x:v>
      </x:c>
      <x:c r="C1464" t="str">
        <x:v>Active</x:v>
      </x:c>
      <x:c r="D1464" t="str">
        <x:v>2026-06</x:v>
      </x:c>
      <x:c r="E1464" s="12" t="n">
        <x:v>177.62</x:v>
      </x:c>
      <x:c r="F1464" s="10" t="n">
        <x:v>0.247</x:v>
      </x:c>
      <x:c r="G1464" t="str">
        <x:v>Medical Devices</x:v>
      </x:c>
      <x:c r="H1464" t="str">
        <x:v>First Aid</x:v>
      </x:c>
      <x:c r="I1464" t="str">
        <x:v>MFG018</x:v>
      </x:c>
      <x:c r="J1464" t="str">
        <x:v>Manufacturer 018</x:v>
      </x:c>
      <x:c r="K1464" t="str">
        <x:v>SUP004</x:v>
      </x:c>
      <x:c r="L1464" t="str">
        <x:v>Supplier 004</x:v>
      </x:c>
      <x:c r="M1464" t="str">
        <x:v>REG-362440</x:v>
      </x:c>
      <x:c r="N1464" t="str">
        <x:v>Generic Ingredient 134</x:v>
      </x:c>
      <x:c r="O1464" t="str">
        <x:v>Pharmacy Only</x:v>
      </x:c>
      <x:c r="P1464" t="n">
        <x:v>98</x:v>
      </x:c>
      <x:c r="Q1464" t="n">
        <x:v>41</x:v>
      </x:c>
      <x:c r="R1464" t="n">
        <x:v>16</x:v>
      </x:c>
      <x:c r="S1464" s="12" t="n">
        <x:f>E1464*Q1464</x:f>
        <x:v>7282.42</x:v>
      </x:c>
      <x:c r="T1464" s="12" t="n">
        <x:f>ROUND(S1464*F1464+0.000000001,2)</x:f>
        <x:v>1798.76</x:v>
      </x:c>
      <x:c r="U1464" s="12" t="n">
        <x:f>E1464*R1464</x:f>
        <x:v>2841.92</x:v>
      </x:c>
      <x:c r="V1464" t="str">
        <x:f>IF(AND(C1464="Active",Q1464=0),"Active Zero Sales","Not Zero Sales")</x:f>
        <x:v>Not Zero Sales</x:v>
      </x:c>
      <x:c r="W1464" s="12" t="n">
        <x:f>IF(V1464="Active Zero Sales",U1464,0)</x:f>
        <x:v>0</x:v>
      </x:c>
      <x:c r="X1464" t="str">
        <x:f>IF(E1464&lt;25,"Low &lt; 25",IF(E1464&lt;100,"Medium 25-99",IF(E1464&lt;300,"High 100-299","Premium 300+")))</x:f>
        <x:v>High 100-299</x:v>
      </x:c>
      <x:c r="Y1464" t="n">
        <x:f>IF(C1464="Active",1,0)</x:f>
        <x:v>1</x:v>
      </x:c>
    </x:row>
    <x:row r="1465">
      <x:c r="A1465" t="str">
        <x:v>SKU01464</x:v>
      </x:c>
      <x:c r="B1465" t="str">
        <x:v>Sample Product 01464</x:v>
      </x:c>
      <x:c r="C1465" t="str">
        <x:v>Active</x:v>
      </x:c>
      <x:c r="D1465" t="str">
        <x:v>2026-05</x:v>
      </x:c>
      <x:c r="E1465" s="12" t="n">
        <x:v>19.89</x:v>
      </x:c>
      <x:c r="F1465" s="10" t="n">
        <x:v>0.376</x:v>
      </x:c>
      <x:c r="G1465" t="str">
        <x:v>General Merchandise</x:v>
      </x:c>
      <x:c r="H1465" t="str">
        <x:v>Travel Health</x:v>
      </x:c>
      <x:c r="I1465" t="str">
        <x:v>MFG013</x:v>
      </x:c>
      <x:c r="J1465" t="str">
        <x:v>Manufacturer 013</x:v>
      </x:c>
      <x:c r="K1465" t="str">
        <x:v>SUP019</x:v>
      </x:c>
      <x:c r="L1465" t="str">
        <x:v>Supplier 019</x:v>
      </x:c>
      <x:c r="M1465" t="str">
        <x:v>REG-592709</x:v>
      </x:c>
      <x:c r="N1465" t="str">
        <x:v>Generic Ingredient 013</x:v>
      </x:c>
      <x:c r="O1465" t="str">
        <x:v>General Sale</x:v>
      </x:c>
      <x:c r="P1465" t="n">
        <x:v>52</x:v>
      </x:c>
      <x:c r="Q1465" t="n">
        <x:v>5</x:v>
      </x:c>
      <x:c r="R1465" t="n">
        <x:v>7</x:v>
      </x:c>
      <x:c r="S1465" s="12" t="n">
        <x:f>E1465*Q1465</x:f>
        <x:v>99.45</x:v>
      </x:c>
      <x:c r="T1465" s="12" t="n">
        <x:f>ROUND(S1465*F1465+0.000000001,2)</x:f>
        <x:v>37.39</x:v>
      </x:c>
      <x:c r="U1465" s="12" t="n">
        <x:f>E1465*R1465</x:f>
        <x:v>139.23000000000002</x:v>
      </x:c>
      <x:c r="V1465" t="str">
        <x:f>IF(AND(C1465="Active",Q1465=0),"Active Zero Sales","Not Zero Sales")</x:f>
        <x:v>Not Zero Sales</x:v>
      </x:c>
      <x:c r="W1465" s="12" t="n">
        <x:f>IF(V1465="Active Zero Sales",U1465,0)</x:f>
        <x:v>0</x:v>
      </x:c>
      <x:c r="X1465" t="str">
        <x:f>IF(E1465&lt;25,"Low &lt; 25",IF(E1465&lt;100,"Medium 25-99",IF(E1465&lt;300,"High 100-299","Premium 300+")))</x:f>
        <x:v>Low &lt; 25</x:v>
      </x:c>
      <x:c r="Y1465" t="n">
        <x:f>IF(C1465="Active",1,0)</x:f>
        <x:v>1</x:v>
      </x:c>
    </x:row>
    <x:row r="1466">
      <x:c r="A1466" t="str">
        <x:v>SKU01465</x:v>
      </x:c>
      <x:c r="B1466" t="str">
        <x:v>Sample Product 01465</x:v>
      </x:c>
      <x:c r="C1466" t="str">
        <x:v>Blocked</x:v>
      </x:c>
      <x:c r="D1466" t="str">
        <x:v>2026-03</x:v>
      </x:c>
      <x:c r="E1466" s="12" t="n">
        <x:v>12.37</x:v>
      </x:c>
      <x:c r="F1466" s="10" t="n">
        <x:v>0.198</x:v>
      </x:c>
      <x:c r="G1466" t="str">
        <x:v>Medical Devices</x:v>
      </x:c>
      <x:c r="H1466" t="str">
        <x:v>Home Diagnostics</x:v>
      </x:c>
      <x:c r="I1466" t="str">
        <x:v>MFG011</x:v>
      </x:c>
      <x:c r="J1466" t="str">
        <x:v>Manufacturer 011</x:v>
      </x:c>
      <x:c r="K1466" t="str">
        <x:v>SUP003</x:v>
      </x:c>
      <x:c r="L1466" t="str">
        <x:v>Supplier 003</x:v>
      </x:c>
      <x:c r="M1466" t="str">
        <x:v>REG-593433</x:v>
      </x:c>
      <x:c r="N1466" t="str">
        <x:v>Generic Ingredient 018</x:v>
      </x:c>
      <x:c r="O1466" t="str">
        <x:v>General Sale</x:v>
      </x:c>
      <x:c r="P1466" t="n">
        <x:v>4</x:v>
      </x:c>
      <x:c r="Q1466" t="n">
        <x:v>0</x:v>
      </x:c>
      <x:c r="R1466" t="n">
        <x:v>0</x:v>
      </x:c>
      <x:c r="S1466" s="12" t="n">
        <x:f>E1466*Q1466</x:f>
        <x:v>0</x:v>
      </x:c>
      <x:c r="T1466" s="12" t="n">
        <x:f>ROUND(S1466*F1466+0.000000001,2)</x:f>
        <x:v>0</x:v>
      </x:c>
      <x:c r="U1466" s="12" t="n">
        <x:f>E1466*R1466</x:f>
        <x:v>0</x:v>
      </x:c>
      <x:c r="V1466" t="str">
        <x:f>IF(AND(C1466="Active",Q1466=0),"Active Zero Sales","Not Zero Sales")</x:f>
        <x:v>Not Zero Sales</x:v>
      </x:c>
      <x:c r="W1466" s="12" t="n">
        <x:f>IF(V1466="Active Zero Sales",U1466,0)</x:f>
        <x:v>0</x:v>
      </x:c>
      <x:c r="X1466" t="str">
        <x:f>IF(E1466&lt;25,"Low &lt; 25",IF(E1466&lt;100,"Medium 25-99",IF(E1466&lt;300,"High 100-299","Premium 300+")))</x:f>
        <x:v>Low &lt; 25</x:v>
      </x:c>
      <x:c r="Y1466" t="n">
        <x:f>IF(C1466="Active",1,0)</x:f>
        <x:v>0</x:v>
      </x:c>
    </x:row>
    <x:row r="1467">
      <x:c r="A1467" t="str">
        <x:v>SKU01466</x:v>
      </x:c>
      <x:c r="B1467" t="str">
        <x:v>Sample Product 01466</x:v>
      </x:c>
      <x:c r="C1467" t="str">
        <x:v>Active</x:v>
      </x:c>
      <x:c r="D1467" t="str">
        <x:v>2026-02</x:v>
      </x:c>
      <x:c r="E1467" s="12" t="n">
        <x:v>15.88</x:v>
      </x:c>
      <x:c r="F1467" s="10" t="n">
        <x:v>0.253</x:v>
      </x:c>
      <x:c r="G1467" t="str">
        <x:v>Medical Devices</x:v>
      </x:c>
      <x:c r="H1467" t="str">
        <x:v>Home Diagnostics</x:v>
      </x:c>
      <x:c r="I1467" t="str">
        <x:v>MFG013</x:v>
      </x:c>
      <x:c r="J1467" t="str">
        <x:v>Manufacturer 013</x:v>
      </x:c>
      <x:c r="K1467" t="str">
        <x:v>SUP003</x:v>
      </x:c>
      <x:c r="L1467" t="str">
        <x:v>Supplier 003</x:v>
      </x:c>
      <x:c r="M1467" t="str">
        <x:v>REG-762190</x:v>
      </x:c>
      <x:c r="N1467" t="str">
        <x:v>Generic Ingredient 152</x:v>
      </x:c>
      <x:c r="O1467" t="str">
        <x:v>General Sale</x:v>
      </x:c>
      <x:c r="P1467" t="n">
        <x:v>60</x:v>
      </x:c>
      <x:c r="Q1467" t="n">
        <x:v>29</x:v>
      </x:c>
      <x:c r="R1467" t="n">
        <x:v>0</x:v>
      </x:c>
      <x:c r="S1467" s="12" t="n">
        <x:f>E1467*Q1467</x:f>
        <x:v>460.52000000000004</x:v>
      </x:c>
      <x:c r="T1467" s="12" t="n">
        <x:f>ROUND(S1467*F1467+0.000000001,2)</x:f>
        <x:v>116.51</x:v>
      </x:c>
      <x:c r="U1467" s="12" t="n">
        <x:f>E1467*R1467</x:f>
        <x:v>0</x:v>
      </x:c>
      <x:c r="V1467" t="str">
        <x:f>IF(AND(C1467="Active",Q1467=0),"Active Zero Sales","Not Zero Sales")</x:f>
        <x:v>Not Zero Sales</x:v>
      </x:c>
      <x:c r="W1467" s="12" t="n">
        <x:f>IF(V1467="Active Zero Sales",U1467,0)</x:f>
        <x:v>0</x:v>
      </x:c>
      <x:c r="X1467" t="str">
        <x:f>IF(E1467&lt;25,"Low &lt; 25",IF(E1467&lt;100,"Medium 25-99",IF(E1467&lt;300,"High 100-299","Premium 300+")))</x:f>
        <x:v>Low &lt; 25</x:v>
      </x:c>
      <x:c r="Y1467" t="n">
        <x:f>IF(C1467="Active",1,0)</x:f>
        <x:v>1</x:v>
      </x:c>
    </x:row>
    <x:row r="1468">
      <x:c r="A1468" t="str">
        <x:v>SKU01467</x:v>
      </x:c>
      <x:c r="B1468" t="str">
        <x:v>Sample Product 01467</x:v>
      </x:c>
      <x:c r="C1468" t="str">
        <x:v>Active</x:v>
      </x:c>
      <x:c r="D1468" t="str">
        <x:v>2026-01</x:v>
      </x:c>
      <x:c r="E1468" s="12" t="n">
        <x:v>12.69</x:v>
      </x:c>
      <x:c r="F1468" s="10" t="n">
        <x:v>0.311</x:v>
      </x:c>
      <x:c r="G1468" t="str">
        <x:v>Nutrition</x:v>
      </x:c>
      <x:c r="H1468" t="str">
        <x:v>Adult Nutrition</x:v>
      </x:c>
      <x:c r="I1468" t="str">
        <x:v>MFG010</x:v>
      </x:c>
      <x:c r="J1468" t="str">
        <x:v>Manufacturer 010</x:v>
      </x:c>
      <x:c r="K1468" t="str">
        <x:v>SUP001</x:v>
      </x:c>
      <x:c r="L1468" t="str">
        <x:v>Supplier 001</x:v>
      </x:c>
      <x:c r="M1468" t="str">
        <x:v>REG-817288</x:v>
      </x:c>
      <x:c r="N1468" t="str">
        <x:v>Generic Ingredient 180</x:v>
      </x:c>
      <x:c r="O1468" t="str">
        <x:v>General Sale</x:v>
      </x:c>
      <x:c r="P1468" t="n">
        <x:v>28</x:v>
      </x:c>
      <x:c r="Q1468" t="n">
        <x:v>12</x:v>
      </x:c>
      <x:c r="R1468" t="n">
        <x:v>16</x:v>
      </x:c>
      <x:c r="S1468" s="12" t="n">
        <x:f>E1468*Q1468</x:f>
        <x:v>152.28</x:v>
      </x:c>
      <x:c r="T1468" s="12" t="n">
        <x:f>ROUND(S1468*F1468+0.000000001,2)</x:f>
        <x:v>47.36</x:v>
      </x:c>
      <x:c r="U1468" s="12" t="n">
        <x:f>E1468*R1468</x:f>
        <x:v>203.04</x:v>
      </x:c>
      <x:c r="V1468" t="str">
        <x:f>IF(AND(C1468="Active",Q1468=0),"Active Zero Sales","Not Zero Sales")</x:f>
        <x:v>Not Zero Sales</x:v>
      </x:c>
      <x:c r="W1468" s="12" t="n">
        <x:f>IF(V1468="Active Zero Sales",U1468,0)</x:f>
        <x:v>0</x:v>
      </x:c>
      <x:c r="X1468" t="str">
        <x:f>IF(E1468&lt;25,"Low &lt; 25",IF(E1468&lt;100,"Medium 25-99",IF(E1468&lt;300,"High 100-299","Premium 300+")))</x:f>
        <x:v>Low &lt; 25</x:v>
      </x:c>
      <x:c r="Y1468" t="n">
        <x:f>IF(C1468="Active",1,0)</x:f>
        <x:v>1</x:v>
      </x:c>
    </x:row>
    <x:row r="1469">
      <x:c r="A1469" t="str">
        <x:v>SKU01468</x:v>
      </x:c>
      <x:c r="B1469" t="str">
        <x:v>Sample Product 01468</x:v>
      </x:c>
      <x:c r="C1469" t="str">
        <x:v>Active</x:v>
      </x:c>
      <x:c r="D1469" t="str">
        <x:v>2026-02</x:v>
      </x:c>
      <x:c r="E1469" s="12" t="n">
        <x:v>218.52</x:v>
      </x:c>
      <x:c r="F1469" s="10" t="n">
        <x:v>0.263</x:v>
      </x:c>
      <x:c r="G1469" t="str">
        <x:v>OTC &amp; Wellness</x:v>
      </x:c>
      <x:c r="H1469" t="str">
        <x:v>Vitamins</x:v>
      </x:c>
      <x:c r="I1469" t="str">
        <x:v>MFG019</x:v>
      </x:c>
      <x:c r="J1469" t="str">
        <x:v>Manufacturer 019</x:v>
      </x:c>
      <x:c r="K1469" t="str">
        <x:v>SUP001</x:v>
      </x:c>
      <x:c r="L1469" t="str">
        <x:v>Supplier 001</x:v>
      </x:c>
      <x:c r="M1469" t="str">
        <x:v>REG-577832</x:v>
      </x:c>
      <x:c r="N1469" t="str">
        <x:v>Generic Ingredient 078</x:v>
      </x:c>
      <x:c r="O1469" t="str">
        <x:v>General Sale</x:v>
      </x:c>
      <x:c r="P1469" t="n">
        <x:v>47</x:v>
      </x:c>
      <x:c r="Q1469" t="n">
        <x:v>36</x:v>
      </x:c>
      <x:c r="R1469" t="n">
        <x:v>17</x:v>
      </x:c>
      <x:c r="S1469" s="12" t="n">
        <x:f>E1469*Q1469</x:f>
        <x:v>7866.72</x:v>
      </x:c>
      <x:c r="T1469" s="12" t="n">
        <x:f>ROUND(S1469*F1469+0.000000001,2)</x:f>
        <x:v>2068.95</x:v>
      </x:c>
      <x:c r="U1469" s="12" t="n">
        <x:f>E1469*R1469</x:f>
        <x:v>3714.84</x:v>
      </x:c>
      <x:c r="V1469" t="str">
        <x:f>IF(AND(C1469="Active",Q1469=0),"Active Zero Sales","Not Zero Sales")</x:f>
        <x:v>Not Zero Sales</x:v>
      </x:c>
      <x:c r="W1469" s="12" t="n">
        <x:f>IF(V1469="Active Zero Sales",U1469,0)</x:f>
        <x:v>0</x:v>
      </x:c>
      <x:c r="X1469" t="str">
        <x:f>IF(E1469&lt;25,"Low &lt; 25",IF(E1469&lt;100,"Medium 25-99",IF(E1469&lt;300,"High 100-299","Premium 300+")))</x:f>
        <x:v>High 100-299</x:v>
      </x:c>
      <x:c r="Y1469" t="n">
        <x:f>IF(C1469="Active",1,0)</x:f>
        <x:v>1</x:v>
      </x:c>
    </x:row>
    <x:row r="1470">
      <x:c r="A1470" t="str">
        <x:v>SKU01469</x:v>
      </x:c>
      <x:c r="B1470" t="str">
        <x:v>Sample Product 01469</x:v>
      </x:c>
      <x:c r="C1470" t="str">
        <x:v>Active</x:v>
      </x:c>
      <x:c r="D1470" t="str">
        <x:v>2026-02</x:v>
      </x:c>
      <x:c r="E1470" s="12" t="n">
        <x:v>64.71</x:v>
      </x:c>
      <x:c r="F1470" s="10" t="n">
        <x:v>0.267</x:v>
      </x:c>
      <x:c r="G1470" t="str">
        <x:v>Medical Devices</x:v>
      </x:c>
      <x:c r="H1470" t="str">
        <x:v>Home Diagnostics</x:v>
      </x:c>
      <x:c r="I1470" t="str">
        <x:v>MFG012</x:v>
      </x:c>
      <x:c r="J1470" t="str">
        <x:v>Manufacturer 012</x:v>
      </x:c>
      <x:c r="K1470" t="str">
        <x:v>SUP003</x:v>
      </x:c>
      <x:c r="L1470" t="str">
        <x:v>Supplier 003</x:v>
      </x:c>
      <x:c r="M1470" t="str">
        <x:v>REG-985837</x:v>
      </x:c>
      <x:c r="N1470" t="str">
        <x:v>Generic Ingredient 154</x:v>
      </x:c>
      <x:c r="O1470" t="str">
        <x:v>General Sale</x:v>
      </x:c>
      <x:c r="P1470" t="n">
        <x:v>36</x:v>
      </x:c>
      <x:c r="Q1470" t="n">
        <x:v>0</x:v>
      </x:c>
      <x:c r="R1470" t="n">
        <x:v>14</x:v>
      </x:c>
      <x:c r="S1470" s="12" t="n">
        <x:f>E1470*Q1470</x:f>
        <x:v>0</x:v>
      </x:c>
      <x:c r="T1470" s="12" t="n">
        <x:f>ROUND(S1470*F1470+0.000000001,2)</x:f>
        <x:v>0</x:v>
      </x:c>
      <x:c r="U1470" s="12" t="n">
        <x:f>E1470*R1470</x:f>
        <x:v>905.9399999999999</x:v>
      </x:c>
      <x:c r="V1470" t="str">
        <x:f>IF(AND(C1470="Active",Q1470=0),"Active Zero Sales","Not Zero Sales")</x:f>
        <x:v>Active Zero Sales</x:v>
      </x:c>
      <x:c r="W1470" s="12" t="n">
        <x:f>IF(V1470="Active Zero Sales",U1470,0)</x:f>
        <x:v>905.9399999999999</x:v>
      </x:c>
      <x:c r="X1470" t="str">
        <x:f>IF(E1470&lt;25,"Low &lt; 25",IF(E1470&lt;100,"Medium 25-99",IF(E1470&lt;300,"High 100-299","Premium 300+")))</x:f>
        <x:v>Medium 25-99</x:v>
      </x:c>
      <x:c r="Y1470" t="n">
        <x:f>IF(C1470="Active",1,0)</x:f>
        <x:v>1</x:v>
      </x:c>
    </x:row>
    <x:row r="1471">
      <x:c r="A1471" t="str">
        <x:v>SKU01470</x:v>
      </x:c>
      <x:c r="B1471" t="str">
        <x:v>Sample Product 01470</x:v>
      </x:c>
      <x:c r="C1471" t="str">
        <x:v>Active</x:v>
      </x:c>
      <x:c r="D1471" t="str">
        <x:v>2026-02</x:v>
      </x:c>
      <x:c r="E1471" s="12" t="n">
        <x:v>249.68</x:v>
      </x:c>
      <x:c r="F1471" s="10" t="n">
        <x:v>0.381</x:v>
      </x:c>
      <x:c r="G1471" t="str">
        <x:v>General Merchandise</x:v>
      </x:c>
      <x:c r="H1471" t="str">
        <x:v>Seasonal Care</x:v>
      </x:c>
      <x:c r="I1471" t="str">
        <x:v>MFG020</x:v>
      </x:c>
      <x:c r="J1471" t="str">
        <x:v>Manufacturer 020</x:v>
      </x:c>
      <x:c r="K1471" t="str">
        <x:v>SUP023</x:v>
      </x:c>
      <x:c r="L1471" t="str">
        <x:v>Supplier 023</x:v>
      </x:c>
      <x:c r="M1471" t="str">
        <x:v>REG-172865</x:v>
      </x:c>
      <x:c r="N1471" t="str">
        <x:v>Generic Ingredient 146</x:v>
      </x:c>
      <x:c r="O1471" t="str">
        <x:v>General Sale</x:v>
      </x:c>
      <x:c r="P1471" t="n">
        <x:v>124</x:v>
      </x:c>
      <x:c r="Q1471" t="n">
        <x:v>54</x:v>
      </x:c>
      <x:c r="R1471" t="n">
        <x:v>30</x:v>
      </x:c>
      <x:c r="S1471" s="12" t="n">
        <x:f>E1471*Q1471</x:f>
        <x:v>13482.720000000001</x:v>
      </x:c>
      <x:c r="T1471" s="12" t="n">
        <x:f>ROUND(S1471*F1471+0.000000001,2)</x:f>
        <x:v>5136.92</x:v>
      </x:c>
      <x:c r="U1471" s="12" t="n">
        <x:f>E1471*R1471</x:f>
        <x:v>7490.400000000001</x:v>
      </x:c>
      <x:c r="V1471" t="str">
        <x:f>IF(AND(C1471="Active",Q1471=0),"Active Zero Sales","Not Zero Sales")</x:f>
        <x:v>Not Zero Sales</x:v>
      </x:c>
      <x:c r="W1471" s="12" t="n">
        <x:f>IF(V1471="Active Zero Sales",U1471,0)</x:f>
        <x:v>0</x:v>
      </x:c>
      <x:c r="X1471" t="str">
        <x:f>IF(E1471&lt;25,"Low &lt; 25",IF(E1471&lt;100,"Medium 25-99",IF(E1471&lt;300,"High 100-299","Premium 300+")))</x:f>
        <x:v>High 100-299</x:v>
      </x:c>
      <x:c r="Y1471" t="n">
        <x:f>IF(C1471="Active",1,0)</x:f>
        <x:v>1</x:v>
      </x:c>
    </x:row>
    <x:row r="1472">
      <x:c r="A1472" t="str">
        <x:v>SKU01471</x:v>
      </x:c>
      <x:c r="B1472" t="str">
        <x:v>Sample Product 01471</x:v>
      </x:c>
      <x:c r="C1472" t="str">
        <x:v>Active</x:v>
      </x:c>
      <x:c r="D1472" t="str">
        <x:v>2026-03</x:v>
      </x:c>
      <x:c r="E1472" s="12" t="n">
        <x:v>84.49</x:v>
      </x:c>
      <x:c r="F1472" s="10" t="n">
        <x:v>0.36</x:v>
      </x:c>
      <x:c r="G1472" t="str">
        <x:v>OTC &amp; Wellness</x:v>
      </x:c>
      <x:c r="H1472" t="str">
        <x:v>Digestive Care</x:v>
      </x:c>
      <x:c r="I1472" t="str">
        <x:v>MFG017</x:v>
      </x:c>
      <x:c r="J1472" t="str">
        <x:v>Manufacturer 017</x:v>
      </x:c>
      <x:c r="K1472" t="str">
        <x:v>SUP001</x:v>
      </x:c>
      <x:c r="L1472" t="str">
        <x:v>Supplier 001</x:v>
      </x:c>
      <x:c r="M1472" t="str">
        <x:v>REG-863097</x:v>
      </x:c>
      <x:c r="N1472" t="str">
        <x:v>Generic Ingredient 048</x:v>
      </x:c>
      <x:c r="O1472" t="str">
        <x:v>General Sale</x:v>
      </x:c>
      <x:c r="P1472" t="n">
        <x:v>14</x:v>
      </x:c>
      <x:c r="Q1472" t="n">
        <x:v>0</x:v>
      </x:c>
      <x:c r="R1472" t="n">
        <x:v>5</x:v>
      </x:c>
      <x:c r="S1472" s="12" t="n">
        <x:f>E1472*Q1472</x:f>
        <x:v>0</x:v>
      </x:c>
      <x:c r="T1472" s="12" t="n">
        <x:f>ROUND(S1472*F1472+0.000000001,2)</x:f>
        <x:v>0</x:v>
      </x:c>
      <x:c r="U1472" s="12" t="n">
        <x:f>E1472*R1472</x:f>
        <x:v>422.45</x:v>
      </x:c>
      <x:c r="V1472" t="str">
        <x:f>IF(AND(C1472="Active",Q1472=0),"Active Zero Sales","Not Zero Sales")</x:f>
        <x:v>Active Zero Sales</x:v>
      </x:c>
      <x:c r="W1472" s="12" t="n">
        <x:f>IF(V1472="Active Zero Sales",U1472,0)</x:f>
        <x:v>422.45</x:v>
      </x:c>
      <x:c r="X1472" t="str">
        <x:f>IF(E1472&lt;25,"Low &lt; 25",IF(E1472&lt;100,"Medium 25-99",IF(E1472&lt;300,"High 100-299","Premium 300+")))</x:f>
        <x:v>Medium 25-99</x:v>
      </x:c>
      <x:c r="Y1472" t="n">
        <x:f>IF(C1472="Active",1,0)</x:f>
        <x:v>1</x:v>
      </x:c>
    </x:row>
    <x:row r="1473">
      <x:c r="A1473" t="str">
        <x:v>SKU01472</x:v>
      </x:c>
      <x:c r="B1473" t="str">
        <x:v>Sample Product 01472</x:v>
      </x:c>
      <x:c r="C1473" t="str">
        <x:v>Active</x:v>
      </x:c>
      <x:c r="D1473" t="str">
        <x:v>2026-06</x:v>
      </x:c>
      <x:c r="E1473" s="12" t="n">
        <x:v>22.84</x:v>
      </x:c>
      <x:c r="F1473" s="10" t="n">
        <x:v>0.216</x:v>
      </x:c>
      <x:c r="G1473" t="str">
        <x:v>Medical Devices</x:v>
      </x:c>
      <x:c r="H1473" t="str">
        <x:v>First Aid</x:v>
      </x:c>
      <x:c r="I1473" t="str">
        <x:v>MFG020</x:v>
      </x:c>
      <x:c r="J1473" t="str">
        <x:v>Manufacturer 020</x:v>
      </x:c>
      <x:c r="K1473" t="str">
        <x:v>SUP027</x:v>
      </x:c>
      <x:c r="L1473" t="str">
        <x:v>Supplier 027</x:v>
      </x:c>
      <x:c r="M1473" t="str">
        <x:v>REG-369550</x:v>
      </x:c>
      <x:c r="N1473" t="str">
        <x:v>Generic Ingredient 144</x:v>
      </x:c>
      <x:c r="O1473" t="str">
        <x:v>General Sale</x:v>
      </x:c>
      <x:c r="P1473" t="n">
        <x:v>85</x:v>
      </x:c>
      <x:c r="Q1473" t="n">
        <x:v>19</x:v>
      </x:c>
      <x:c r="R1473" t="n">
        <x:v>19</x:v>
      </x:c>
      <x:c r="S1473" s="12" t="n">
        <x:f>E1473*Q1473</x:f>
        <x:v>433.96</x:v>
      </x:c>
      <x:c r="T1473" s="12" t="n">
        <x:f>ROUND(S1473*F1473+0.000000001,2)</x:f>
        <x:v>93.74</x:v>
      </x:c>
      <x:c r="U1473" s="12" t="n">
        <x:f>E1473*R1473</x:f>
        <x:v>433.96</x:v>
      </x:c>
      <x:c r="V1473" t="str">
        <x:f>IF(AND(C1473="Active",Q1473=0),"Active Zero Sales","Not Zero Sales")</x:f>
        <x:v>Not Zero Sales</x:v>
      </x:c>
      <x:c r="W1473" s="12" t="n">
        <x:f>IF(V1473="Active Zero Sales",U1473,0)</x:f>
        <x:v>0</x:v>
      </x:c>
      <x:c r="X1473" t="str">
        <x:f>IF(E1473&lt;25,"Low &lt; 25",IF(E1473&lt;100,"Medium 25-99",IF(E1473&lt;300,"High 100-299","Premium 300+")))</x:f>
        <x:v>Low &lt; 25</x:v>
      </x:c>
      <x:c r="Y1473" t="n">
        <x:f>IF(C1473="Active",1,0)</x:f>
        <x:v>1</x:v>
      </x:c>
    </x:row>
    <x:row r="1474">
      <x:c r="A1474" t="str">
        <x:v>SKU01473</x:v>
      </x:c>
      <x:c r="B1474" t="str">
        <x:v>Sample Product 01473</x:v>
      </x:c>
      <x:c r="C1474" t="str">
        <x:v>Active</x:v>
      </x:c>
      <x:c r="D1474" t="str">
        <x:v>2026-03</x:v>
      </x:c>
      <x:c r="E1474" s="12" t="n">
        <x:v>41.85</x:v>
      </x:c>
      <x:c r="F1474" s="10" t="n">
        <x:v>0.293</x:v>
      </x:c>
      <x:c r="G1474" t="str">
        <x:v>Personal Care</x:v>
      </x:c>
      <x:c r="H1474" t="str">
        <x:v>Oral Care</x:v>
      </x:c>
      <x:c r="I1474" t="str">
        <x:v>MFG011</x:v>
      </x:c>
      <x:c r="J1474" t="str">
        <x:v>Manufacturer 011</x:v>
      </x:c>
      <x:c r="K1474" t="str">
        <x:v>SUP018</x:v>
      </x:c>
      <x:c r="L1474" t="str">
        <x:v>Supplier 018</x:v>
      </x:c>
      <x:c r="M1474" t="str">
        <x:v>REG-928738</x:v>
      </x:c>
      <x:c r="N1474" t="str">
        <x:v>Generic Ingredient 006</x:v>
      </x:c>
      <x:c r="O1474" t="str">
        <x:v>General Sale</x:v>
      </x:c>
      <x:c r="P1474" t="n">
        <x:v>21</x:v>
      </x:c>
      <x:c r="Q1474" t="n">
        <x:v>12</x:v>
      </x:c>
      <x:c r="R1474" t="n">
        <x:v>16</x:v>
      </x:c>
      <x:c r="S1474" s="12" t="n">
        <x:f>E1474*Q1474</x:f>
        <x:v>502.20000000000005</x:v>
      </x:c>
      <x:c r="T1474" s="12" t="n">
        <x:f>ROUND(S1474*F1474+0.000000001,2)</x:f>
        <x:v>147.14</x:v>
      </x:c>
      <x:c r="U1474" s="12" t="n">
        <x:f>E1474*R1474</x:f>
        <x:v>669.6</x:v>
      </x:c>
      <x:c r="V1474" t="str">
        <x:f>IF(AND(C1474="Active",Q1474=0),"Active Zero Sales","Not Zero Sales")</x:f>
        <x:v>Not Zero Sales</x:v>
      </x:c>
      <x:c r="W1474" s="12" t="n">
        <x:f>IF(V1474="Active Zero Sales",U1474,0)</x:f>
        <x:v>0</x:v>
      </x:c>
      <x:c r="X1474" t="str">
        <x:f>IF(E1474&lt;25,"Low &lt; 25",IF(E1474&lt;100,"Medium 25-99",IF(E1474&lt;300,"High 100-299","Premium 300+")))</x:f>
        <x:v>Medium 25-99</x:v>
      </x:c>
      <x:c r="Y1474" t="n">
        <x:f>IF(C1474="Active",1,0)</x:f>
        <x:v>1</x:v>
      </x:c>
    </x:row>
    <x:row r="1475">
      <x:c r="A1475" t="str">
        <x:v>SKU01474</x:v>
      </x:c>
      <x:c r="B1475" t="str">
        <x:v>Sample Product 01474</x:v>
      </x:c>
      <x:c r="C1475" t="str">
        <x:v>Active</x:v>
      </x:c>
      <x:c r="D1475" t="str">
        <x:v>2026-03</x:v>
      </x:c>
      <x:c r="E1475" s="12" t="n">
        <x:v>33.04</x:v>
      </x:c>
      <x:c r="F1475" s="10" t="n">
        <x:v>0.368</x:v>
      </x:c>
      <x:c r="G1475" t="str">
        <x:v>Personal Care</x:v>
      </x:c>
      <x:c r="H1475" t="str">
        <x:v>Hair Care</x:v>
      </x:c>
      <x:c r="I1475" t="str">
        <x:v>MFG009</x:v>
      </x:c>
      <x:c r="J1475" t="str">
        <x:v>Manufacturer 009</x:v>
      </x:c>
      <x:c r="K1475" t="str">
        <x:v>SUP002</x:v>
      </x:c>
      <x:c r="L1475" t="str">
        <x:v>Supplier 002</x:v>
      </x:c>
      <x:c r="M1475" t="str">
        <x:v>REG-831439</x:v>
      </x:c>
      <x:c r="N1475" t="str">
        <x:v>Generic Ingredient 028</x:v>
      </x:c>
      <x:c r="O1475" t="str">
        <x:v>General Sale</x:v>
      </x:c>
      <x:c r="P1475" t="n">
        <x:v>20</x:v>
      </x:c>
      <x:c r="Q1475" t="n">
        <x:v>15</x:v>
      </x:c>
      <x:c r="R1475" t="n">
        <x:v>0</x:v>
      </x:c>
      <x:c r="S1475" s="12" t="n">
        <x:f>E1475*Q1475</x:f>
        <x:v>495.59999999999997</x:v>
      </x:c>
      <x:c r="T1475" s="12" t="n">
        <x:f>ROUND(S1475*F1475+0.000000001,2)</x:f>
        <x:v>182.38</x:v>
      </x:c>
      <x:c r="U1475" s="12" t="n">
        <x:f>E1475*R1475</x:f>
        <x:v>0</x:v>
      </x:c>
      <x:c r="V1475" t="str">
        <x:f>IF(AND(C1475="Active",Q1475=0),"Active Zero Sales","Not Zero Sales")</x:f>
        <x:v>Not Zero Sales</x:v>
      </x:c>
      <x:c r="W1475" s="12" t="n">
        <x:f>IF(V1475="Active Zero Sales",U1475,0)</x:f>
        <x:v>0</x:v>
      </x:c>
      <x:c r="X1475" t="str">
        <x:f>IF(E1475&lt;25,"Low &lt; 25",IF(E1475&lt;100,"Medium 25-99",IF(E1475&lt;300,"High 100-299","Premium 300+")))</x:f>
        <x:v>Medium 25-99</x:v>
      </x:c>
      <x:c r="Y1475" t="n">
        <x:f>IF(C1475="Active",1,0)</x:f>
        <x:v>1</x:v>
      </x:c>
    </x:row>
    <x:row r="1476">
      <x:c r="A1476" t="str">
        <x:v>SKU01475</x:v>
      </x:c>
      <x:c r="B1476" t="str">
        <x:v>Sample Product 01475</x:v>
      </x:c>
      <x:c r="C1476" t="str">
        <x:v>Active</x:v>
      </x:c>
      <x:c r="D1476" t="str">
        <x:v>2026-01</x:v>
      </x:c>
      <x:c r="E1476" s="12" t="n">
        <x:v>17.51</x:v>
      </x:c>
      <x:c r="F1476" s="10" t="n">
        <x:v>0.404</x:v>
      </x:c>
      <x:c r="G1476" t="str">
        <x:v>Nutrition</x:v>
      </x:c>
      <x:c r="H1476" t="str">
        <x:v>Sports Nutrition</x:v>
      </x:c>
      <x:c r="I1476" t="str">
        <x:v>MFG007</x:v>
      </x:c>
      <x:c r="J1476" t="str">
        <x:v>Manufacturer 007</x:v>
      </x:c>
      <x:c r="K1476" t="str">
        <x:v>SUP017</x:v>
      </x:c>
      <x:c r="L1476" t="str">
        <x:v>Supplier 017</x:v>
      </x:c>
      <x:c r="M1476" t="str">
        <x:v>REG-416304</x:v>
      </x:c>
      <x:c r="N1476" t="str">
        <x:v>Generic Ingredient 059</x:v>
      </x:c>
      <x:c r="O1476" t="str">
        <x:v>General Sale</x:v>
      </x:c>
      <x:c r="P1476" t="n">
        <x:v>74</x:v>
      </x:c>
      <x:c r="Q1476" t="n">
        <x:v>42</x:v>
      </x:c>
      <x:c r="R1476" t="n">
        <x:v>28</x:v>
      </x:c>
      <x:c r="S1476" s="12" t="n">
        <x:f>E1476*Q1476</x:f>
        <x:v>735.4200000000001</x:v>
      </x:c>
      <x:c r="T1476" s="12" t="n">
        <x:f>ROUND(S1476*F1476+0.000000001,2)</x:f>
        <x:v>297.11</x:v>
      </x:c>
      <x:c r="U1476" s="12" t="n">
        <x:f>E1476*R1476</x:f>
        <x:v>490.28000000000003</x:v>
      </x:c>
      <x:c r="V1476" t="str">
        <x:f>IF(AND(C1476="Active",Q1476=0),"Active Zero Sales","Not Zero Sales")</x:f>
        <x:v>Not Zero Sales</x:v>
      </x:c>
      <x:c r="W1476" s="12" t="n">
        <x:f>IF(V1476="Active Zero Sales",U1476,0)</x:f>
        <x:v>0</x:v>
      </x:c>
      <x:c r="X1476" t="str">
        <x:f>IF(E1476&lt;25,"Low &lt; 25",IF(E1476&lt;100,"Medium 25-99",IF(E1476&lt;300,"High 100-299","Premium 300+")))</x:f>
        <x:v>Low &lt; 25</x:v>
      </x:c>
      <x:c r="Y1476" t="n">
        <x:f>IF(C1476="Active",1,0)</x:f>
        <x:v>1</x:v>
      </x:c>
    </x:row>
    <x:row r="1477">
      <x:c r="A1477" t="str">
        <x:v>SKU01476</x:v>
      </x:c>
      <x:c r="B1477" t="str">
        <x:v>Sample Product 01476</x:v>
      </x:c>
      <x:c r="C1477" t="str">
        <x:v>Active</x:v>
      </x:c>
      <x:c r="D1477" t="str">
        <x:v>2026-05</x:v>
      </x:c>
      <x:c r="E1477" s="12" t="n">
        <x:v>41.67</x:v>
      </x:c>
      <x:c r="F1477" s="10" t="n">
        <x:v>0.294</x:v>
      </x:c>
      <x:c r="G1477" t="str">
        <x:v>General Merchandise</x:v>
      </x:c>
      <x:c r="H1477" t="str">
        <x:v>Accessories</x:v>
      </x:c>
      <x:c r="I1477" t="str">
        <x:v>MFG013</x:v>
      </x:c>
      <x:c r="J1477" t="str">
        <x:v>Manufacturer 013</x:v>
      </x:c>
      <x:c r="K1477" t="str">
        <x:v>SUP011</x:v>
      </x:c>
      <x:c r="L1477" t="str">
        <x:v>Supplier 011</x:v>
      </x:c>
      <x:c r="M1477" t="str">
        <x:v>REG-796907</x:v>
      </x:c>
      <x:c r="N1477" t="str">
        <x:v>Generic Ingredient 069</x:v>
      </x:c>
      <x:c r="O1477" t="str">
        <x:v>General Sale</x:v>
      </x:c>
      <x:c r="P1477" t="n">
        <x:v>43</x:v>
      </x:c>
      <x:c r="Q1477" t="n">
        <x:v>27</x:v>
      </x:c>
      <x:c r="R1477" t="n">
        <x:v>7</x:v>
      </x:c>
      <x:c r="S1477" s="12" t="n">
        <x:f>E1477*Q1477</x:f>
        <x:v>1125.0900000000001</x:v>
      </x:c>
      <x:c r="T1477" s="12" t="n">
        <x:f>ROUND(S1477*F1477+0.000000001,2)</x:f>
        <x:v>330.78</x:v>
      </x:c>
      <x:c r="U1477" s="12" t="n">
        <x:f>E1477*R1477</x:f>
        <x:v>291.69</x:v>
      </x:c>
      <x:c r="V1477" t="str">
        <x:f>IF(AND(C1477="Active",Q1477=0),"Active Zero Sales","Not Zero Sales")</x:f>
        <x:v>Not Zero Sales</x:v>
      </x:c>
      <x:c r="W1477" s="12" t="n">
        <x:f>IF(V1477="Active Zero Sales",U1477,0)</x:f>
        <x:v>0</x:v>
      </x:c>
      <x:c r="X1477" t="str">
        <x:f>IF(E1477&lt;25,"Low &lt; 25",IF(E1477&lt;100,"Medium 25-99",IF(E1477&lt;300,"High 100-299","Premium 300+")))</x:f>
        <x:v>Medium 25-99</x:v>
      </x:c>
      <x:c r="Y1477" t="n">
        <x:f>IF(C1477="Active",1,0)</x:f>
        <x:v>1</x:v>
      </x:c>
    </x:row>
    <x:row r="1478">
      <x:c r="A1478" t="str">
        <x:v>SKU01477</x:v>
      </x:c>
      <x:c r="B1478" t="str">
        <x:v>Sample Product 01477</x:v>
      </x:c>
      <x:c r="C1478" t="str">
        <x:v>Active</x:v>
      </x:c>
      <x:c r="D1478" t="str">
        <x:v>2026-03</x:v>
      </x:c>
      <x:c r="E1478" s="12" t="n">
        <x:v>97.95</x:v>
      </x:c>
      <x:c r="F1478" s="10" t="n">
        <x:v>0.32</x:v>
      </x:c>
      <x:c r="G1478" t="str">
        <x:v>Nutrition</x:v>
      </x:c>
      <x:c r="H1478" t="str">
        <x:v>Adult Nutrition</x:v>
      </x:c>
      <x:c r="I1478" t="str">
        <x:v>MFG018</x:v>
      </x:c>
      <x:c r="J1478" t="str">
        <x:v>Manufacturer 018</x:v>
      </x:c>
      <x:c r="K1478" t="str">
        <x:v>SUP015</x:v>
      </x:c>
      <x:c r="L1478" t="str">
        <x:v>Supplier 015</x:v>
      </x:c>
      <x:c r="M1478" t="str">
        <x:v>REG-430630</x:v>
      </x:c>
      <x:c r="N1478" t="str">
        <x:v>Generic Ingredient 098</x:v>
      </x:c>
      <x:c r="O1478" t="str">
        <x:v>General Sale</x:v>
      </x:c>
      <x:c r="P1478" t="n">
        <x:v>84</x:v>
      </x:c>
      <x:c r="Q1478" t="n">
        <x:v>47</x:v>
      </x:c>
      <x:c r="R1478" t="n">
        <x:v>15</x:v>
      </x:c>
      <x:c r="S1478" s="12" t="n">
        <x:f>E1478*Q1478</x:f>
        <x:v>4603.650000000001</x:v>
      </x:c>
      <x:c r="T1478" s="12" t="n">
        <x:f>ROUND(S1478*F1478+0.000000001,2)</x:f>
        <x:v>1473.17</x:v>
      </x:c>
      <x:c r="U1478" s="12" t="n">
        <x:f>E1478*R1478</x:f>
        <x:v>1469.25</x:v>
      </x:c>
      <x:c r="V1478" t="str">
        <x:f>IF(AND(C1478="Active",Q1478=0),"Active Zero Sales","Not Zero Sales")</x:f>
        <x:v>Not Zero Sales</x:v>
      </x:c>
      <x:c r="W1478" s="12" t="n">
        <x:f>IF(V1478="Active Zero Sales",U1478,0)</x:f>
        <x:v>0</x:v>
      </x:c>
      <x:c r="X1478" t="str">
        <x:f>IF(E1478&lt;25,"Low &lt; 25",IF(E1478&lt;100,"Medium 25-99",IF(E1478&lt;300,"High 100-299","Premium 300+")))</x:f>
        <x:v>Medium 25-99</x:v>
      </x:c>
      <x:c r="Y1478" t="n">
        <x:f>IF(C1478="Active",1,0)</x:f>
        <x:v>1</x:v>
      </x:c>
    </x:row>
    <x:row r="1479">
      <x:c r="A1479" t="str">
        <x:v>SKU01478</x:v>
      </x:c>
      <x:c r="B1479" t="str">
        <x:v>Sample Product 01478</x:v>
      </x:c>
      <x:c r="C1479" t="str">
        <x:v>Active</x:v>
      </x:c>
      <x:c r="D1479" t="str">
        <x:v>2026-04</x:v>
      </x:c>
      <x:c r="E1479" s="12" t="n">
        <x:v>533.94</x:v>
      </x:c>
      <x:c r="F1479" s="10" t="n">
        <x:v>0.442</x:v>
      </x:c>
      <x:c r="G1479" t="str">
        <x:v>Personal Care</x:v>
      </x:c>
      <x:c r="H1479" t="str">
        <x:v>Skin Care</x:v>
      </x:c>
      <x:c r="I1479" t="str">
        <x:v>MFG011</x:v>
      </x:c>
      <x:c r="J1479" t="str">
        <x:v>Manufacturer 011</x:v>
      </x:c>
      <x:c r="K1479" t="str">
        <x:v>SUP009</x:v>
      </x:c>
      <x:c r="L1479" t="str">
        <x:v>Supplier 009</x:v>
      </x:c>
      <x:c r="M1479" t="str">
        <x:v>REG-337257</x:v>
      </x:c>
      <x:c r="N1479" t="str">
        <x:v>Generic Ingredient 155</x:v>
      </x:c>
      <x:c r="O1479" t="str">
        <x:v>Pharmacy Only</x:v>
      </x:c>
      <x:c r="P1479" t="n">
        <x:v>39</x:v>
      </x:c>
      <x:c r="Q1479" t="n">
        <x:v>10</x:v>
      </x:c>
      <x:c r="R1479" t="n">
        <x:v>14</x:v>
      </x:c>
      <x:c r="S1479" s="12" t="n">
        <x:f>E1479*Q1479</x:f>
        <x:v>5339.400000000001</x:v>
      </x:c>
      <x:c r="T1479" s="12" t="n">
        <x:f>ROUND(S1479*F1479+0.000000001,2)</x:f>
        <x:v>2360.01</x:v>
      </x:c>
      <x:c r="U1479" s="12" t="n">
        <x:f>E1479*R1479</x:f>
        <x:v>7475.160000000001</x:v>
      </x:c>
      <x:c r="V1479" t="str">
        <x:f>IF(AND(C1479="Active",Q1479=0),"Active Zero Sales","Not Zero Sales")</x:f>
        <x:v>Not Zero Sales</x:v>
      </x:c>
      <x:c r="W1479" s="12" t="n">
        <x:f>IF(V1479="Active Zero Sales",U1479,0)</x:f>
        <x:v>0</x:v>
      </x:c>
      <x:c r="X1479" t="str">
        <x:f>IF(E1479&lt;25,"Low &lt; 25",IF(E1479&lt;100,"Medium 25-99",IF(E1479&lt;300,"High 100-299","Premium 300+")))</x:f>
        <x:v>Premium 300+</x:v>
      </x:c>
      <x:c r="Y1479" t="n">
        <x:f>IF(C1479="Active",1,0)</x:f>
        <x:v>1</x:v>
      </x:c>
    </x:row>
    <x:row r="1480">
      <x:c r="A1480" t="str">
        <x:v>SKU01479</x:v>
      </x:c>
      <x:c r="B1480" t="str">
        <x:v>Sample Product 01479</x:v>
      </x:c>
      <x:c r="C1480" t="str">
        <x:v>Active</x:v>
      </x:c>
      <x:c r="D1480" t="str">
        <x:v>2026-01</x:v>
      </x:c>
      <x:c r="E1480" s="12" t="n">
        <x:v>109.75</x:v>
      </x:c>
      <x:c r="F1480" s="10" t="n">
        <x:v>0.28</x:v>
      </x:c>
      <x:c r="G1480" t="str">
        <x:v>Medical Devices</x:v>
      </x:c>
      <x:c r="H1480" t="str">
        <x:v>Home Diagnostics</x:v>
      </x:c>
      <x:c r="I1480" t="str">
        <x:v>MFG020</x:v>
      </x:c>
      <x:c r="J1480" t="str">
        <x:v>Manufacturer 020</x:v>
      </x:c>
      <x:c r="K1480" t="str">
        <x:v>SUP003</x:v>
      </x:c>
      <x:c r="L1480" t="str">
        <x:v>Supplier 003</x:v>
      </x:c>
      <x:c r="M1480" t="str">
        <x:v>REG-867950</x:v>
      </x:c>
      <x:c r="N1480" t="str">
        <x:v>Generic Ingredient 025</x:v>
      </x:c>
      <x:c r="O1480" t="str">
        <x:v>General Sale</x:v>
      </x:c>
      <x:c r="P1480" t="n">
        <x:v>83</x:v>
      </x:c>
      <x:c r="Q1480" t="n">
        <x:v>31</x:v>
      </x:c>
      <x:c r="R1480" t="n">
        <x:v>19</x:v>
      </x:c>
      <x:c r="S1480" s="12" t="n">
        <x:f>E1480*Q1480</x:f>
        <x:v>3402.25</x:v>
      </x:c>
      <x:c r="T1480" s="12" t="n">
        <x:f>ROUND(S1480*F1480+0.000000001,2)</x:f>
        <x:v>952.63</x:v>
      </x:c>
      <x:c r="U1480" s="12" t="n">
        <x:f>E1480*R1480</x:f>
        <x:v>2085.25</x:v>
      </x:c>
      <x:c r="V1480" t="str">
        <x:f>IF(AND(C1480="Active",Q1480=0),"Active Zero Sales","Not Zero Sales")</x:f>
        <x:v>Not Zero Sales</x:v>
      </x:c>
      <x:c r="W1480" s="12" t="n">
        <x:f>IF(V1480="Active Zero Sales",U1480,0)</x:f>
        <x:v>0</x:v>
      </x:c>
      <x:c r="X1480" t="str">
        <x:f>IF(E1480&lt;25,"Low &lt; 25",IF(E1480&lt;100,"Medium 25-99",IF(E1480&lt;300,"High 100-299","Premium 300+")))</x:f>
        <x:v>High 100-299</x:v>
      </x:c>
      <x:c r="Y1480" t="n">
        <x:f>IF(C1480="Active",1,0)</x:f>
        <x:v>1</x:v>
      </x:c>
    </x:row>
    <x:row r="1481">
      <x:c r="A1481" t="str">
        <x:v>SKU01480</x:v>
      </x:c>
      <x:c r="B1481" t="str">
        <x:v>Sample Product 01480</x:v>
      </x:c>
      <x:c r="C1481" t="str">
        <x:v>Active</x:v>
      </x:c>
      <x:c r="D1481" t="str">
        <x:v>2026-05</x:v>
      </x:c>
      <x:c r="E1481" s="12" t="n">
        <x:v>11.12</x:v>
      </x:c>
      <x:c r="F1481" s="10" t="n">
        <x:v>0.286</x:v>
      </x:c>
      <x:c r="G1481" t="str">
        <x:v>Nutrition</x:v>
      </x:c>
      <x:c r="H1481" t="str">
        <x:v>Hydration</x:v>
      </x:c>
      <x:c r="I1481" t="str">
        <x:v>MFG010</x:v>
      </x:c>
      <x:c r="J1481" t="str">
        <x:v>Manufacturer 010</x:v>
      </x:c>
      <x:c r="K1481" t="str">
        <x:v>SUP008</x:v>
      </x:c>
      <x:c r="L1481" t="str">
        <x:v>Supplier 008</x:v>
      </x:c>
      <x:c r="M1481" t="str">
        <x:v>REG-859338</x:v>
      </x:c>
      <x:c r="N1481" t="str">
        <x:v>Generic Ingredient 147</x:v>
      </x:c>
      <x:c r="O1481" t="str">
        <x:v>General Sale</x:v>
      </x:c>
      <x:c r="P1481" t="n">
        <x:v>37</x:v>
      </x:c>
      <x:c r="Q1481" t="n">
        <x:v>43</x:v>
      </x:c>
      <x:c r="R1481" t="n">
        <x:v>3</x:v>
      </x:c>
      <x:c r="S1481" s="12" t="n">
        <x:f>E1481*Q1481</x:f>
        <x:v>478.15999999999997</x:v>
      </x:c>
      <x:c r="T1481" s="12" t="n">
        <x:f>ROUND(S1481*F1481+0.000000001,2)</x:f>
        <x:v>136.75</x:v>
      </x:c>
      <x:c r="U1481" s="12" t="n">
        <x:f>E1481*R1481</x:f>
        <x:v>33.36</x:v>
      </x:c>
      <x:c r="V1481" t="str">
        <x:f>IF(AND(C1481="Active",Q1481=0),"Active Zero Sales","Not Zero Sales")</x:f>
        <x:v>Not Zero Sales</x:v>
      </x:c>
      <x:c r="W1481" s="12" t="n">
        <x:f>IF(V1481="Active Zero Sales",U1481,0)</x:f>
        <x:v>0</x:v>
      </x:c>
      <x:c r="X1481" t="str">
        <x:f>IF(E1481&lt;25,"Low &lt; 25",IF(E1481&lt;100,"Medium 25-99",IF(E1481&lt;300,"High 100-299","Premium 300+")))</x:f>
        <x:v>Low &lt; 25</x:v>
      </x:c>
      <x:c r="Y1481" t="n">
        <x:f>IF(C1481="Active",1,0)</x:f>
        <x:v>1</x:v>
      </x:c>
    </x:row>
    <x:row r="1482">
      <x:c r="A1482" t="str">
        <x:v>SKU01481</x:v>
      </x:c>
      <x:c r="B1482" t="str">
        <x:v>Sample Product 01481</x:v>
      </x:c>
      <x:c r="C1482" t="str">
        <x:v>Active</x:v>
      </x:c>
      <x:c r="D1482" t="str">
        <x:v>2026-04</x:v>
      </x:c>
      <x:c r="E1482" s="12" t="n">
        <x:v>84.11</x:v>
      </x:c>
      <x:c r="F1482" s="10" t="n">
        <x:v>0.234</x:v>
      </x:c>
      <x:c r="G1482" t="str">
        <x:v>Medical Devices</x:v>
      </x:c>
      <x:c r="H1482" t="str">
        <x:v>Mobility Aids</x:v>
      </x:c>
      <x:c r="I1482" t="str">
        <x:v>MFG015</x:v>
      </x:c>
      <x:c r="J1482" t="str">
        <x:v>Manufacturer 015</x:v>
      </x:c>
      <x:c r="K1482" t="str">
        <x:v>SUP011</x:v>
      </x:c>
      <x:c r="L1482" t="str">
        <x:v>Supplier 011</x:v>
      </x:c>
      <x:c r="M1482" t="str">
        <x:v>REG-501897</x:v>
      </x:c>
      <x:c r="N1482" t="str">
        <x:v>Generic Ingredient 073</x:v>
      </x:c>
      <x:c r="O1482" t="str">
        <x:v>General Sale</x:v>
      </x:c>
      <x:c r="P1482" t="n">
        <x:v>62</x:v>
      </x:c>
      <x:c r="Q1482" t="n">
        <x:v>25</x:v>
      </x:c>
      <x:c r="R1482" t="n">
        <x:v>12</x:v>
      </x:c>
      <x:c r="S1482" s="12" t="n">
        <x:f>E1482*Q1482</x:f>
        <x:v>2102.75</x:v>
      </x:c>
      <x:c r="T1482" s="12" t="n">
        <x:f>ROUND(S1482*F1482+0.000000001,2)</x:f>
        <x:v>492.04</x:v>
      </x:c>
      <x:c r="U1482" s="12" t="n">
        <x:f>E1482*R1482</x:f>
        <x:v>1009.3199999999999</x:v>
      </x:c>
      <x:c r="V1482" t="str">
        <x:f>IF(AND(C1482="Active",Q1482=0),"Active Zero Sales","Not Zero Sales")</x:f>
        <x:v>Not Zero Sales</x:v>
      </x:c>
      <x:c r="W1482" s="12" t="n">
        <x:f>IF(V1482="Active Zero Sales",U1482,0)</x:f>
        <x:v>0</x:v>
      </x:c>
      <x:c r="X1482" t="str">
        <x:f>IF(E1482&lt;25,"Low &lt; 25",IF(E1482&lt;100,"Medium 25-99",IF(E1482&lt;300,"High 100-299","Premium 300+")))</x:f>
        <x:v>Medium 25-99</x:v>
      </x:c>
      <x:c r="Y1482" t="n">
        <x:f>IF(C1482="Active",1,0)</x:f>
        <x:v>1</x:v>
      </x:c>
    </x:row>
    <x:row r="1483">
      <x:c r="A1483" t="str">
        <x:v>SKU01482</x:v>
      </x:c>
      <x:c r="B1483" t="str">
        <x:v>Sample Product 01482</x:v>
      </x:c>
      <x:c r="C1483" t="str">
        <x:v>Blocked</x:v>
      </x:c>
      <x:c r="D1483" t="str">
        <x:v>2026-01</x:v>
      </x:c>
      <x:c r="E1483" s="12" t="n">
        <x:v>484.19</x:v>
      </x:c>
      <x:c r="F1483" s="10" t="n">
        <x:v>0.462</x:v>
      </x:c>
      <x:c r="G1483" t="str">
        <x:v>General Merchandise</x:v>
      </x:c>
      <x:c r="H1483" t="str">
        <x:v>Accessories</x:v>
      </x:c>
      <x:c r="I1483" t="str">
        <x:v>MFG009</x:v>
      </x:c>
      <x:c r="J1483" t="str">
        <x:v>Manufacturer 009</x:v>
      </x:c>
      <x:c r="K1483" t="str">
        <x:v>SUP026</x:v>
      </x:c>
      <x:c r="L1483" t="str">
        <x:v>Supplier 026</x:v>
      </x:c>
      <x:c r="M1483" t="str">
        <x:v>REG-736056</x:v>
      </x:c>
      <x:c r="N1483" t="str">
        <x:v>Generic Ingredient 175</x:v>
      </x:c>
      <x:c r="O1483" t="str">
        <x:v>General Sale</x:v>
      </x:c>
      <x:c r="P1483" t="n">
        <x:v>41</x:v>
      </x:c>
      <x:c r="Q1483" t="n">
        <x:v>0</x:v>
      </x:c>
      <x:c r="R1483" t="n">
        <x:v>0</x:v>
      </x:c>
      <x:c r="S1483" s="12" t="n">
        <x:f>E1483*Q1483</x:f>
        <x:v>0</x:v>
      </x:c>
      <x:c r="T1483" s="12" t="n">
        <x:f>ROUND(S1483*F1483+0.000000001,2)</x:f>
        <x:v>0</x:v>
      </x:c>
      <x:c r="U1483" s="12" t="n">
        <x:f>E1483*R1483</x:f>
        <x:v>0</x:v>
      </x:c>
      <x:c r="V1483" t="str">
        <x:f>IF(AND(C1483="Active",Q1483=0),"Active Zero Sales","Not Zero Sales")</x:f>
        <x:v>Not Zero Sales</x:v>
      </x:c>
      <x:c r="W1483" s="12" t="n">
        <x:f>IF(V1483="Active Zero Sales",U1483,0)</x:f>
        <x:v>0</x:v>
      </x:c>
      <x:c r="X1483" t="str">
        <x:f>IF(E1483&lt;25,"Low &lt; 25",IF(E1483&lt;100,"Medium 25-99",IF(E1483&lt;300,"High 100-299","Premium 300+")))</x:f>
        <x:v>Premium 300+</x:v>
      </x:c>
      <x:c r="Y1483" t="n">
        <x:f>IF(C1483="Active",1,0)</x:f>
        <x:v>0</x:v>
      </x:c>
    </x:row>
    <x:row r="1484">
      <x:c r="A1484" t="str">
        <x:v>SKU01483</x:v>
      </x:c>
      <x:c r="B1484" t="str">
        <x:v>Sample Product 01483</x:v>
      </x:c>
      <x:c r="C1484" t="str">
        <x:v>Active</x:v>
      </x:c>
      <x:c r="D1484" t="str">
        <x:v>2026-03</x:v>
      </x:c>
      <x:c r="E1484" s="12" t="n">
        <x:v>30.03</x:v>
      </x:c>
      <x:c r="F1484" s="10" t="n">
        <x:v>0.187</x:v>
      </x:c>
      <x:c r="G1484" t="str">
        <x:v>OTC &amp; Wellness</x:v>
      </x:c>
      <x:c r="H1484" t="str">
        <x:v>Vitamins</x:v>
      </x:c>
      <x:c r="I1484" t="str">
        <x:v>MFG007</x:v>
      </x:c>
      <x:c r="J1484" t="str">
        <x:v>Manufacturer 007</x:v>
      </x:c>
      <x:c r="K1484" t="str">
        <x:v>SUP008</x:v>
      </x:c>
      <x:c r="L1484" t="str">
        <x:v>Supplier 008</x:v>
      </x:c>
      <x:c r="M1484" t="str">
        <x:v>REG-930431</x:v>
      </x:c>
      <x:c r="N1484" t="str">
        <x:v>Generic Ingredient 160</x:v>
      </x:c>
      <x:c r="O1484" t="str">
        <x:v>General Sale</x:v>
      </x:c>
      <x:c r="P1484" t="n">
        <x:v>98</x:v>
      </x:c>
      <x:c r="Q1484" t="n">
        <x:v>28</x:v>
      </x:c>
      <x:c r="R1484" t="n">
        <x:v>23</x:v>
      </x:c>
      <x:c r="S1484" s="12" t="n">
        <x:f>E1484*Q1484</x:f>
        <x:v>840.84</x:v>
      </x:c>
      <x:c r="T1484" s="12" t="n">
        <x:f>ROUND(S1484*F1484+0.000000001,2)</x:f>
        <x:v>157.24</x:v>
      </x:c>
      <x:c r="U1484" s="12" t="n">
        <x:f>E1484*R1484</x:f>
        <x:v>690.69</x:v>
      </x:c>
      <x:c r="V1484" t="str">
        <x:f>IF(AND(C1484="Active",Q1484=0),"Active Zero Sales","Not Zero Sales")</x:f>
        <x:v>Not Zero Sales</x:v>
      </x:c>
      <x:c r="W1484" s="12" t="n">
        <x:f>IF(V1484="Active Zero Sales",U1484,0)</x:f>
        <x:v>0</x:v>
      </x:c>
      <x:c r="X1484" t="str">
        <x:f>IF(E1484&lt;25,"Low &lt; 25",IF(E1484&lt;100,"Medium 25-99",IF(E1484&lt;300,"High 100-299","Premium 300+")))</x:f>
        <x:v>Medium 25-99</x:v>
      </x:c>
      <x:c r="Y1484" t="n">
        <x:f>IF(C1484="Active",1,0)</x:f>
        <x:v>1</x:v>
      </x:c>
    </x:row>
    <x:row r="1485">
      <x:c r="A1485" t="str">
        <x:v>SKU01484</x:v>
      </x:c>
      <x:c r="B1485" t="str">
        <x:v>Sample Product 01484</x:v>
      </x:c>
      <x:c r="C1485" t="str">
        <x:v>Active</x:v>
      </x:c>
      <x:c r="D1485" t="str">
        <x:v>2026-04</x:v>
      </x:c>
      <x:c r="E1485" s="12" t="n">
        <x:v>546.57</x:v>
      </x:c>
      <x:c r="F1485" s="10" t="n">
        <x:v>0.396</x:v>
      </x:c>
      <x:c r="G1485" t="str">
        <x:v>OTC &amp; Wellness</x:v>
      </x:c>
      <x:c r="H1485" t="str">
        <x:v>Vitamins</x:v>
      </x:c>
      <x:c r="I1485" t="str">
        <x:v>MFG011</x:v>
      </x:c>
      <x:c r="J1485" t="str">
        <x:v>Manufacturer 011</x:v>
      </x:c>
      <x:c r="K1485" t="str">
        <x:v>SUP028</x:v>
      </x:c>
      <x:c r="L1485" t="str">
        <x:v>Supplier 028</x:v>
      </x:c>
      <x:c r="M1485" t="str">
        <x:v>REG-591490</x:v>
      </x:c>
      <x:c r="N1485" t="str">
        <x:v>Generic Ingredient 166</x:v>
      </x:c>
      <x:c r="O1485" t="str">
        <x:v>General Sale</x:v>
      </x:c>
      <x:c r="P1485" t="n">
        <x:v>23</x:v>
      </x:c>
      <x:c r="Q1485" t="n">
        <x:v>0</x:v>
      </x:c>
      <x:c r="R1485" t="n">
        <x:v>15</x:v>
      </x:c>
      <x:c r="S1485" s="12" t="n">
        <x:f>E1485*Q1485</x:f>
        <x:v>0</x:v>
      </x:c>
      <x:c r="T1485" s="12" t="n">
        <x:f>ROUND(S1485*F1485+0.000000001,2)</x:f>
        <x:v>0</x:v>
      </x:c>
      <x:c r="U1485" s="12" t="n">
        <x:f>E1485*R1485</x:f>
        <x:v>8198.550000000001</x:v>
      </x:c>
      <x:c r="V1485" t="str">
        <x:f>IF(AND(C1485="Active",Q1485=0),"Active Zero Sales","Not Zero Sales")</x:f>
        <x:v>Active Zero Sales</x:v>
      </x:c>
      <x:c r="W1485" s="12" t="n">
        <x:f>IF(V1485="Active Zero Sales",U1485,0)</x:f>
        <x:v>8198.550000000001</x:v>
      </x:c>
      <x:c r="X1485" t="str">
        <x:f>IF(E1485&lt;25,"Low &lt; 25",IF(E1485&lt;100,"Medium 25-99",IF(E1485&lt;300,"High 100-299","Premium 300+")))</x:f>
        <x:v>Premium 300+</x:v>
      </x:c>
      <x:c r="Y1485" t="n">
        <x:f>IF(C1485="Active",1,0)</x:f>
        <x:v>1</x:v>
      </x:c>
    </x:row>
    <x:row r="1486">
      <x:c r="A1486" t="str">
        <x:v>SKU01485</x:v>
      </x:c>
      <x:c r="B1486" t="str">
        <x:v>Sample Product 01485</x:v>
      </x:c>
      <x:c r="C1486" t="str">
        <x:v>Active</x:v>
      </x:c>
      <x:c r="D1486" t="str">
        <x:v>2026-02</x:v>
      </x:c>
      <x:c r="E1486" s="12" t="n">
        <x:v>48.9</x:v>
      </x:c>
      <x:c r="F1486" s="10" t="n">
        <x:v>0.348</x:v>
      </x:c>
      <x:c r="G1486" t="str">
        <x:v>General Merchandise</x:v>
      </x:c>
      <x:c r="H1486" t="str">
        <x:v>Accessories</x:v>
      </x:c>
      <x:c r="I1486" t="str">
        <x:v>MFG013</x:v>
      </x:c>
      <x:c r="J1486" t="str">
        <x:v>Manufacturer 013</x:v>
      </x:c>
      <x:c r="K1486" t="str">
        <x:v>SUP011</x:v>
      </x:c>
      <x:c r="L1486" t="str">
        <x:v>Supplier 011</x:v>
      </x:c>
      <x:c r="M1486" t="str">
        <x:v>REG-828015</x:v>
      </x:c>
      <x:c r="N1486" t="str">
        <x:v>Generic Ingredient 116</x:v>
      </x:c>
      <x:c r="O1486" t="str">
        <x:v>General Sale</x:v>
      </x:c>
      <x:c r="P1486" t="n">
        <x:v>57</x:v>
      </x:c>
      <x:c r="Q1486" t="n">
        <x:v>34</x:v>
      </x:c>
      <x:c r="R1486" t="n">
        <x:v>16</x:v>
      </x:c>
      <x:c r="S1486" s="12" t="n">
        <x:f>E1486*Q1486</x:f>
        <x:v>1662.6</x:v>
      </x:c>
      <x:c r="T1486" s="12" t="n">
        <x:f>ROUND(S1486*F1486+0.000000001,2)</x:f>
        <x:v>578.58</x:v>
      </x:c>
      <x:c r="U1486" s="12" t="n">
        <x:f>E1486*R1486</x:f>
        <x:v>782.4</x:v>
      </x:c>
      <x:c r="V1486" t="str">
        <x:f>IF(AND(C1486="Active",Q1486=0),"Active Zero Sales","Not Zero Sales")</x:f>
        <x:v>Not Zero Sales</x:v>
      </x:c>
      <x:c r="W1486" s="12" t="n">
        <x:f>IF(V1486="Active Zero Sales",U1486,0)</x:f>
        <x:v>0</x:v>
      </x:c>
      <x:c r="X1486" t="str">
        <x:f>IF(E1486&lt;25,"Low &lt; 25",IF(E1486&lt;100,"Medium 25-99",IF(E1486&lt;300,"High 100-299","Premium 300+")))</x:f>
        <x:v>Medium 25-99</x:v>
      </x:c>
      <x:c r="Y1486" t="n">
        <x:f>IF(C1486="Active",1,0)</x:f>
        <x:v>1</x:v>
      </x:c>
    </x:row>
    <x:row r="1487">
      <x:c r="A1487" t="str">
        <x:v>SKU01486</x:v>
      </x:c>
      <x:c r="B1487" t="str">
        <x:v>Sample Product 01486</x:v>
      </x:c>
      <x:c r="C1487" t="str">
        <x:v>Active</x:v>
      </x:c>
      <x:c r="D1487" t="str">
        <x:v>2026-06</x:v>
      </x:c>
      <x:c r="E1487" s="12" t="n">
        <x:v>205.25</x:v>
      </x:c>
      <x:c r="F1487" s="10" t="n">
        <x:v>0.391</x:v>
      </x:c>
      <x:c r="G1487" t="str">
        <x:v>Nutrition</x:v>
      </x:c>
      <x:c r="H1487" t="str">
        <x:v>Hydration</x:v>
      </x:c>
      <x:c r="I1487" t="str">
        <x:v>MFG008</x:v>
      </x:c>
      <x:c r="J1487" t="str">
        <x:v>Manufacturer 008</x:v>
      </x:c>
      <x:c r="K1487" t="str">
        <x:v>SUP030</x:v>
      </x:c>
      <x:c r="L1487" t="str">
        <x:v>Supplier 030</x:v>
      </x:c>
      <x:c r="M1487" t="str">
        <x:v>REG-448295</x:v>
      </x:c>
      <x:c r="N1487" t="str">
        <x:v>Generic Ingredient 143</x:v>
      </x:c>
      <x:c r="O1487" t="str">
        <x:v>General Sale</x:v>
      </x:c>
      <x:c r="P1487" t="n">
        <x:v>92</x:v>
      </x:c>
      <x:c r="Q1487" t="n">
        <x:v>0</x:v>
      </x:c>
      <x:c r="R1487" t="n">
        <x:v>48</x:v>
      </x:c>
      <x:c r="S1487" s="12" t="n">
        <x:f>E1487*Q1487</x:f>
        <x:v>0</x:v>
      </x:c>
      <x:c r="T1487" s="12" t="n">
        <x:f>ROUND(S1487*F1487+0.000000001,2)</x:f>
        <x:v>0</x:v>
      </x:c>
      <x:c r="U1487" s="12" t="n">
        <x:f>E1487*R1487</x:f>
        <x:v>9852</x:v>
      </x:c>
      <x:c r="V1487" t="str">
        <x:f>IF(AND(C1487="Active",Q1487=0),"Active Zero Sales","Not Zero Sales")</x:f>
        <x:v>Active Zero Sales</x:v>
      </x:c>
      <x:c r="W1487" s="12" t="n">
        <x:f>IF(V1487="Active Zero Sales",U1487,0)</x:f>
        <x:v>9852</x:v>
      </x:c>
      <x:c r="X1487" t="str">
        <x:f>IF(E1487&lt;25,"Low &lt; 25",IF(E1487&lt;100,"Medium 25-99",IF(E1487&lt;300,"High 100-299","Premium 300+")))</x:f>
        <x:v>High 100-299</x:v>
      </x:c>
      <x:c r="Y1487" t="n">
        <x:f>IF(C1487="Active",1,0)</x:f>
        <x:v>1</x:v>
      </x:c>
    </x:row>
    <x:row r="1488">
      <x:c r="A1488" t="str">
        <x:v>SKU01487</x:v>
      </x:c>
      <x:c r="B1488" t="str">
        <x:v>Sample Product 01487</x:v>
      </x:c>
      <x:c r="C1488" t="str">
        <x:v>Active</x:v>
      </x:c>
      <x:c r="D1488" t="str">
        <x:v>2026-06</x:v>
      </x:c>
      <x:c r="E1488" s="12" t="n">
        <x:v>75.5</x:v>
      </x:c>
      <x:c r="F1488" s="10" t="n">
        <x:v>0.225</x:v>
      </x:c>
      <x:c r="G1488" t="str">
        <x:v>Nutrition</x:v>
      </x:c>
      <x:c r="H1488" t="str">
        <x:v>Healthy Snacks</x:v>
      </x:c>
      <x:c r="I1488" t="str">
        <x:v>MFG009</x:v>
      </x:c>
      <x:c r="J1488" t="str">
        <x:v>Manufacturer 009</x:v>
      </x:c>
      <x:c r="K1488" t="str">
        <x:v>SUP004</x:v>
      </x:c>
      <x:c r="L1488" t="str">
        <x:v>Supplier 004</x:v>
      </x:c>
      <x:c r="M1488" t="str">
        <x:v>REG-876254</x:v>
      </x:c>
      <x:c r="N1488" t="str">
        <x:v>Generic Ingredient 155</x:v>
      </x:c>
      <x:c r="O1488" t="str">
        <x:v>General Sale</x:v>
      </x:c>
      <x:c r="P1488" t="n">
        <x:v>67</x:v>
      </x:c>
      <x:c r="Q1488" t="n">
        <x:v>11</x:v>
      </x:c>
      <x:c r="R1488" t="n">
        <x:v>15</x:v>
      </x:c>
      <x:c r="S1488" s="12" t="n">
        <x:f>E1488*Q1488</x:f>
        <x:v>830.5</x:v>
      </x:c>
      <x:c r="T1488" s="12" t="n">
        <x:f>ROUND(S1488*F1488+0.000000001,2)</x:f>
        <x:v>186.86</x:v>
      </x:c>
      <x:c r="U1488" s="12" t="n">
        <x:f>E1488*R1488</x:f>
        <x:v>1132.5</x:v>
      </x:c>
      <x:c r="V1488" t="str">
        <x:f>IF(AND(C1488="Active",Q1488=0),"Active Zero Sales","Not Zero Sales")</x:f>
        <x:v>Not Zero Sales</x:v>
      </x:c>
      <x:c r="W1488" s="12" t="n">
        <x:f>IF(V1488="Active Zero Sales",U1488,0)</x:f>
        <x:v>0</x:v>
      </x:c>
      <x:c r="X1488" t="str">
        <x:f>IF(E1488&lt;25,"Low &lt; 25",IF(E1488&lt;100,"Medium 25-99",IF(E1488&lt;300,"High 100-299","Premium 300+")))</x:f>
        <x:v>Medium 25-99</x:v>
      </x:c>
      <x:c r="Y1488" t="n">
        <x:f>IF(C1488="Active",1,0)</x:f>
        <x:v>1</x:v>
      </x:c>
    </x:row>
    <x:row r="1489">
      <x:c r="A1489" t="str">
        <x:v>SKU01488</x:v>
      </x:c>
      <x:c r="B1489" t="str">
        <x:v>Sample Product 01488</x:v>
      </x:c>
      <x:c r="C1489" t="str">
        <x:v>Active</x:v>
      </x:c>
      <x:c r="D1489" t="str">
        <x:v>2026-04</x:v>
      </x:c>
      <x:c r="E1489" s="12" t="n">
        <x:v>92.33</x:v>
      </x:c>
      <x:c r="F1489" s="10" t="n">
        <x:v>0.222</x:v>
      </x:c>
      <x:c r="G1489" t="str">
        <x:v>Nutrition</x:v>
      </x:c>
      <x:c r="H1489" t="str">
        <x:v>Adult Nutrition</x:v>
      </x:c>
      <x:c r="I1489" t="str">
        <x:v>MFG020</x:v>
      </x:c>
      <x:c r="J1489" t="str">
        <x:v>Manufacturer 020</x:v>
      </x:c>
      <x:c r="K1489" t="str">
        <x:v>SUP010</x:v>
      </x:c>
      <x:c r="L1489" t="str">
        <x:v>Supplier 010</x:v>
      </x:c>
      <x:c r="M1489" t="str">
        <x:v>REG-571774</x:v>
      </x:c>
      <x:c r="N1489" t="str">
        <x:v>Generic Ingredient 118</x:v>
      </x:c>
      <x:c r="O1489" t="str">
        <x:v>Pharmacy Only</x:v>
      </x:c>
      <x:c r="P1489" t="n">
        <x:v>24</x:v>
      </x:c>
      <x:c r="Q1489" t="n">
        <x:v>13</x:v>
      </x:c>
      <x:c r="R1489" t="n">
        <x:v>15</x:v>
      </x:c>
      <x:c r="S1489" s="12" t="n">
        <x:f>E1489*Q1489</x:f>
        <x:v>1200.29</x:v>
      </x:c>
      <x:c r="T1489" s="12" t="n">
        <x:f>ROUND(S1489*F1489+0.000000001,2)</x:f>
        <x:v>266.46</x:v>
      </x:c>
      <x:c r="U1489" s="12" t="n">
        <x:f>E1489*R1489</x:f>
        <x:v>1384.95</x:v>
      </x:c>
      <x:c r="V1489" t="str">
        <x:f>IF(AND(C1489="Active",Q1489=0),"Active Zero Sales","Not Zero Sales")</x:f>
        <x:v>Not Zero Sales</x:v>
      </x:c>
      <x:c r="W1489" s="12" t="n">
        <x:f>IF(V1489="Active Zero Sales",U1489,0)</x:f>
        <x:v>0</x:v>
      </x:c>
      <x:c r="X1489" t="str">
        <x:f>IF(E1489&lt;25,"Low &lt; 25",IF(E1489&lt;100,"Medium 25-99",IF(E1489&lt;300,"High 100-299","Premium 300+")))</x:f>
        <x:v>Medium 25-99</x:v>
      </x:c>
      <x:c r="Y1489" t="n">
        <x:f>IF(C1489="Active",1,0)</x:f>
        <x:v>1</x:v>
      </x:c>
    </x:row>
    <x:row r="1490">
      <x:c r="A1490" t="str">
        <x:v>SKU01489</x:v>
      </x:c>
      <x:c r="B1490" t="str">
        <x:v>Sample Product 01489</x:v>
      </x:c>
      <x:c r="C1490" t="str">
        <x:v>Active</x:v>
      </x:c>
      <x:c r="D1490" t="str">
        <x:v>2026-04</x:v>
      </x:c>
      <x:c r="E1490" s="12" t="n">
        <x:v>8.5</x:v>
      </x:c>
      <x:c r="F1490" s="10" t="n">
        <x:v>0.189</x:v>
      </x:c>
      <x:c r="G1490" t="str">
        <x:v>OTC &amp; Wellness</x:v>
      </x:c>
      <x:c r="H1490" t="str">
        <x:v>Pain Relief</x:v>
      </x:c>
      <x:c r="I1490" t="str">
        <x:v>MFG009</x:v>
      </x:c>
      <x:c r="J1490" t="str">
        <x:v>Manufacturer 009</x:v>
      </x:c>
      <x:c r="K1490" t="str">
        <x:v>SUP021</x:v>
      </x:c>
      <x:c r="L1490" t="str">
        <x:v>Supplier 021</x:v>
      </x:c>
      <x:c r="M1490" t="str">
        <x:v>REG-932357</x:v>
      </x:c>
      <x:c r="N1490" t="str">
        <x:v>Generic Ingredient 024</x:v>
      </x:c>
      <x:c r="O1490" t="str">
        <x:v>General Sale</x:v>
      </x:c>
      <x:c r="P1490" t="n">
        <x:v>54</x:v>
      </x:c>
      <x:c r="Q1490" t="n">
        <x:v>36</x:v>
      </x:c>
      <x:c r="R1490" t="n">
        <x:v>3</x:v>
      </x:c>
      <x:c r="S1490" s="12" t="n">
        <x:f>E1490*Q1490</x:f>
        <x:v>306</x:v>
      </x:c>
      <x:c r="T1490" s="12" t="n">
        <x:f>ROUND(S1490*F1490+0.000000001,2)</x:f>
        <x:v>57.83</x:v>
      </x:c>
      <x:c r="U1490" s="12" t="n">
        <x:f>E1490*R1490</x:f>
        <x:v>25.5</x:v>
      </x:c>
      <x:c r="V1490" t="str">
        <x:f>IF(AND(C1490="Active",Q1490=0),"Active Zero Sales","Not Zero Sales")</x:f>
        <x:v>Not Zero Sales</x:v>
      </x:c>
      <x:c r="W1490" s="12" t="n">
        <x:f>IF(V1490="Active Zero Sales",U1490,0)</x:f>
        <x:v>0</x:v>
      </x:c>
      <x:c r="X1490" t="str">
        <x:f>IF(E1490&lt;25,"Low &lt; 25",IF(E1490&lt;100,"Medium 25-99",IF(E1490&lt;300,"High 100-299","Premium 300+")))</x:f>
        <x:v>Low &lt; 25</x:v>
      </x:c>
      <x:c r="Y1490" t="n">
        <x:f>IF(C1490="Active",1,0)</x:f>
        <x:v>1</x:v>
      </x:c>
    </x:row>
    <x:row r="1491">
      <x:c r="A1491" t="str">
        <x:v>SKU01490</x:v>
      </x:c>
      <x:c r="B1491" t="str">
        <x:v>Sample Product 01490</x:v>
      </x:c>
      <x:c r="C1491" t="str">
        <x:v>Active</x:v>
      </x:c>
      <x:c r="D1491" t="str">
        <x:v>2026-06</x:v>
      </x:c>
      <x:c r="E1491" s="12" t="n">
        <x:v>61.41</x:v>
      </x:c>
      <x:c r="F1491" s="10" t="n">
        <x:v>0.251</x:v>
      </x:c>
      <x:c r="G1491" t="str">
        <x:v>Nutrition</x:v>
      </x:c>
      <x:c r="H1491" t="str">
        <x:v>Adult Nutrition</x:v>
      </x:c>
      <x:c r="I1491" t="str">
        <x:v>MFG014</x:v>
      </x:c>
      <x:c r="J1491" t="str">
        <x:v>Manufacturer 014</x:v>
      </x:c>
      <x:c r="K1491" t="str">
        <x:v>SUP008</x:v>
      </x:c>
      <x:c r="L1491" t="str">
        <x:v>Supplier 008</x:v>
      </x:c>
      <x:c r="M1491" t="str">
        <x:v>REG-903965</x:v>
      </x:c>
      <x:c r="N1491" t="str">
        <x:v>Generic Ingredient 034</x:v>
      </x:c>
      <x:c r="O1491" t="str">
        <x:v>General Sale</x:v>
      </x:c>
      <x:c r="P1491" t="n">
        <x:v>61</x:v>
      </x:c>
      <x:c r="Q1491" t="n">
        <x:v>17</x:v>
      </x:c>
      <x:c r="R1491" t="n">
        <x:v>10</x:v>
      </x:c>
      <x:c r="S1491" s="12" t="n">
        <x:f>E1491*Q1491</x:f>
        <x:v>1043.97</x:v>
      </x:c>
      <x:c r="T1491" s="12" t="n">
        <x:f>ROUND(S1491*F1491+0.000000001,2)</x:f>
        <x:v>262.04</x:v>
      </x:c>
      <x:c r="U1491" s="12" t="n">
        <x:f>E1491*R1491</x:f>
        <x:v>614.0999999999999</x:v>
      </x:c>
      <x:c r="V1491" t="str">
        <x:f>IF(AND(C1491="Active",Q1491=0),"Active Zero Sales","Not Zero Sales")</x:f>
        <x:v>Not Zero Sales</x:v>
      </x:c>
      <x:c r="W1491" s="12" t="n">
        <x:f>IF(V1491="Active Zero Sales",U1491,0)</x:f>
        <x:v>0</x:v>
      </x:c>
      <x:c r="X1491" t="str">
        <x:f>IF(E1491&lt;25,"Low &lt; 25",IF(E1491&lt;100,"Medium 25-99",IF(E1491&lt;300,"High 100-299","Premium 300+")))</x:f>
        <x:v>Medium 25-99</x:v>
      </x:c>
      <x:c r="Y1491" t="n">
        <x:f>IF(C1491="Active",1,0)</x:f>
        <x:v>1</x:v>
      </x:c>
    </x:row>
    <x:row r="1492">
      <x:c r="A1492" t="str">
        <x:v>SKU01491</x:v>
      </x:c>
      <x:c r="B1492" t="str">
        <x:v>Sample Product 01491</x:v>
      </x:c>
      <x:c r="C1492" t="str">
        <x:v>Active</x:v>
      </x:c>
      <x:c r="D1492" t="str">
        <x:v>2026-02</x:v>
      </x:c>
      <x:c r="E1492" s="12" t="n">
        <x:v>15.19</x:v>
      </x:c>
      <x:c r="F1492" s="10" t="n">
        <x:v>0.307</x:v>
      </x:c>
      <x:c r="G1492" t="str">
        <x:v>General Merchandise</x:v>
      </x:c>
      <x:c r="H1492" t="str">
        <x:v>Travel Health</x:v>
      </x:c>
      <x:c r="I1492" t="str">
        <x:v>MFG002</x:v>
      </x:c>
      <x:c r="J1492" t="str">
        <x:v>Manufacturer 002</x:v>
      </x:c>
      <x:c r="K1492" t="str">
        <x:v>SUP019</x:v>
      </x:c>
      <x:c r="L1492" t="str">
        <x:v>Supplier 019</x:v>
      </x:c>
      <x:c r="M1492" t="str">
        <x:v>REG-370441</x:v>
      </x:c>
      <x:c r="N1492" t="str">
        <x:v>Generic Ingredient 064</x:v>
      </x:c>
      <x:c r="O1492" t="str">
        <x:v>General Sale</x:v>
      </x:c>
      <x:c r="P1492" t="n">
        <x:v>105</x:v>
      </x:c>
      <x:c r="Q1492" t="n">
        <x:v>46</x:v>
      </x:c>
      <x:c r="R1492" t="n">
        <x:v>30</x:v>
      </x:c>
      <x:c r="S1492" s="12" t="n">
        <x:f>E1492*Q1492</x:f>
        <x:v>698.74</x:v>
      </x:c>
      <x:c r="T1492" s="12" t="n">
        <x:f>ROUND(S1492*F1492+0.000000001,2)</x:f>
        <x:v>214.51</x:v>
      </x:c>
      <x:c r="U1492" s="12" t="n">
        <x:f>E1492*R1492</x:f>
        <x:v>455.7</x:v>
      </x:c>
      <x:c r="V1492" t="str">
        <x:f>IF(AND(C1492="Active",Q1492=0),"Active Zero Sales","Not Zero Sales")</x:f>
        <x:v>Not Zero Sales</x:v>
      </x:c>
      <x:c r="W1492" s="12" t="n">
        <x:f>IF(V1492="Active Zero Sales",U1492,0)</x:f>
        <x:v>0</x:v>
      </x:c>
      <x:c r="X1492" t="str">
        <x:f>IF(E1492&lt;25,"Low &lt; 25",IF(E1492&lt;100,"Medium 25-99",IF(E1492&lt;300,"High 100-299","Premium 300+")))</x:f>
        <x:v>Low &lt; 25</x:v>
      </x:c>
      <x:c r="Y1492" t="n">
        <x:f>IF(C1492="Active",1,0)</x:f>
        <x:v>1</x:v>
      </x:c>
    </x:row>
    <x:row r="1493">
      <x:c r="A1493" t="str">
        <x:v>SKU01492</x:v>
      </x:c>
      <x:c r="B1493" t="str">
        <x:v>Sample Product 01492</x:v>
      </x:c>
      <x:c r="C1493" t="str">
        <x:v>Active</x:v>
      </x:c>
      <x:c r="D1493" t="str">
        <x:v>2026-04</x:v>
      </x:c>
      <x:c r="E1493" s="12" t="n">
        <x:v>273.43</x:v>
      </x:c>
      <x:c r="F1493" s="10" t="n">
        <x:v>0.354</x:v>
      </x:c>
      <x:c r="G1493" t="str">
        <x:v>General Merchandise</x:v>
      </x:c>
      <x:c r="H1493" t="str">
        <x:v>Accessories</x:v>
      </x:c>
      <x:c r="I1493" t="str">
        <x:v>MFG001</x:v>
      </x:c>
      <x:c r="J1493" t="str">
        <x:v>Manufacturer 001</x:v>
      </x:c>
      <x:c r="K1493" t="str">
        <x:v>SUP013</x:v>
      </x:c>
      <x:c r="L1493" t="str">
        <x:v>Supplier 013</x:v>
      </x:c>
      <x:c r="M1493" t="str">
        <x:v>REG-273228</x:v>
      </x:c>
      <x:c r="N1493" t="str">
        <x:v>Generic Ingredient 159</x:v>
      </x:c>
      <x:c r="O1493" t="str">
        <x:v>General Sale</x:v>
      </x:c>
      <x:c r="P1493" t="n">
        <x:v>45</x:v>
      </x:c>
      <x:c r="Q1493" t="n">
        <x:v>32</x:v>
      </x:c>
      <x:c r="R1493" t="n">
        <x:v>0</x:v>
      </x:c>
      <x:c r="S1493" s="12" t="n">
        <x:f>E1493*Q1493</x:f>
        <x:v>8749.76</x:v>
      </x:c>
      <x:c r="T1493" s="12" t="n">
        <x:f>ROUND(S1493*F1493+0.000000001,2)</x:f>
        <x:v>3097.42</x:v>
      </x:c>
      <x:c r="U1493" s="12" t="n">
        <x:f>E1493*R1493</x:f>
        <x:v>0</x:v>
      </x:c>
      <x:c r="V1493" t="str">
        <x:f>IF(AND(C1493="Active",Q1493=0),"Active Zero Sales","Not Zero Sales")</x:f>
        <x:v>Not Zero Sales</x:v>
      </x:c>
      <x:c r="W1493" s="12" t="n">
        <x:f>IF(V1493="Active Zero Sales",U1493,0)</x:f>
        <x:v>0</x:v>
      </x:c>
      <x:c r="X1493" t="str">
        <x:f>IF(E1493&lt;25,"Low &lt; 25",IF(E1493&lt;100,"Medium 25-99",IF(E1493&lt;300,"High 100-299","Premium 300+")))</x:f>
        <x:v>High 100-299</x:v>
      </x:c>
      <x:c r="Y1493" t="n">
        <x:f>IF(C1493="Active",1,0)</x:f>
        <x:v>1</x:v>
      </x:c>
    </x:row>
    <x:row r="1494">
      <x:c r="A1494" t="str">
        <x:v>SKU01493</x:v>
      </x:c>
      <x:c r="B1494" t="str">
        <x:v>Sample Product 01493</x:v>
      </x:c>
      <x:c r="C1494" t="str">
        <x:v>Active</x:v>
      </x:c>
      <x:c r="D1494" t="str">
        <x:v>2026-05</x:v>
      </x:c>
      <x:c r="E1494" s="12" t="n">
        <x:v>94.86</x:v>
      </x:c>
      <x:c r="F1494" s="10" t="n">
        <x:v>0.251</x:v>
      </x:c>
      <x:c r="G1494" t="str">
        <x:v>Nutrition</x:v>
      </x:c>
      <x:c r="H1494" t="str">
        <x:v>Hydration</x:v>
      </x:c>
      <x:c r="I1494" t="str">
        <x:v>MFG016</x:v>
      </x:c>
      <x:c r="J1494" t="str">
        <x:v>Manufacturer 016</x:v>
      </x:c>
      <x:c r="K1494" t="str">
        <x:v>SUP010</x:v>
      </x:c>
      <x:c r="L1494" t="str">
        <x:v>Supplier 010</x:v>
      </x:c>
      <x:c r="M1494" t="str">
        <x:v>REG-120373</x:v>
      </x:c>
      <x:c r="N1494" t="str">
        <x:v>Generic Ingredient 073</x:v>
      </x:c>
      <x:c r="O1494" t="str">
        <x:v>General Sale</x:v>
      </x:c>
      <x:c r="P1494" t="n">
        <x:v>60</x:v>
      </x:c>
      <x:c r="Q1494" t="n">
        <x:v>38</x:v>
      </x:c>
      <x:c r="R1494" t="n">
        <x:v>0</x:v>
      </x:c>
      <x:c r="S1494" s="12" t="n">
        <x:f>E1494*Q1494</x:f>
        <x:v>3604.68</x:v>
      </x:c>
      <x:c r="T1494" s="12" t="n">
        <x:f>ROUND(S1494*F1494+0.000000001,2)</x:f>
        <x:v>904.77</x:v>
      </x:c>
      <x:c r="U1494" s="12" t="n">
        <x:f>E1494*R1494</x:f>
        <x:v>0</x:v>
      </x:c>
      <x:c r="V1494" t="str">
        <x:f>IF(AND(C1494="Active",Q1494=0),"Active Zero Sales","Not Zero Sales")</x:f>
        <x:v>Not Zero Sales</x:v>
      </x:c>
      <x:c r="W1494" s="12" t="n">
        <x:f>IF(V1494="Active Zero Sales",U1494,0)</x:f>
        <x:v>0</x:v>
      </x:c>
      <x:c r="X1494" t="str">
        <x:f>IF(E1494&lt;25,"Low &lt; 25",IF(E1494&lt;100,"Medium 25-99",IF(E1494&lt;300,"High 100-299","Premium 300+")))</x:f>
        <x:v>Medium 25-99</x:v>
      </x:c>
      <x:c r="Y1494" t="n">
        <x:f>IF(C1494="Active",1,0)</x:f>
        <x:v>1</x:v>
      </x:c>
    </x:row>
    <x:row r="1495">
      <x:c r="A1495" t="str">
        <x:v>SKU01494</x:v>
      </x:c>
      <x:c r="B1495" t="str">
        <x:v>Sample Product 01494</x:v>
      </x:c>
      <x:c r="C1495" t="str">
        <x:v>Active</x:v>
      </x:c>
      <x:c r="D1495" t="str">
        <x:v>2026-01</x:v>
      </x:c>
      <x:c r="E1495" s="12" t="n">
        <x:v>53.67</x:v>
      </x:c>
      <x:c r="F1495" s="10" t="n">
        <x:v>0.46</x:v>
      </x:c>
      <x:c r="G1495" t="str">
        <x:v>Personal Care</x:v>
      </x:c>
      <x:c r="H1495" t="str">
        <x:v>Oral Care</x:v>
      </x:c>
      <x:c r="I1495" t="str">
        <x:v>MFG017</x:v>
      </x:c>
      <x:c r="J1495" t="str">
        <x:v>Manufacturer 017</x:v>
      </x:c>
      <x:c r="K1495" t="str">
        <x:v>SUP016</x:v>
      </x:c>
      <x:c r="L1495" t="str">
        <x:v>Supplier 016</x:v>
      </x:c>
      <x:c r="M1495" t="str">
        <x:v>REG-385261</x:v>
      </x:c>
      <x:c r="N1495" t="str">
        <x:v>Generic Ingredient 146</x:v>
      </x:c>
      <x:c r="O1495" t="str">
        <x:v>Pharmacy Only</x:v>
      </x:c>
      <x:c r="P1495" t="n">
        <x:v>61</x:v>
      </x:c>
      <x:c r="Q1495" t="n">
        <x:v>20</x:v>
      </x:c>
      <x:c r="R1495" t="n">
        <x:v>0</x:v>
      </x:c>
      <x:c r="S1495" s="12" t="n">
        <x:f>E1495*Q1495</x:f>
        <x:v>1073.4</x:v>
      </x:c>
      <x:c r="T1495" s="12" t="n">
        <x:f>ROUND(S1495*F1495+0.000000001,2)</x:f>
        <x:v>493.76</x:v>
      </x:c>
      <x:c r="U1495" s="12" t="n">
        <x:f>E1495*R1495</x:f>
        <x:v>0</x:v>
      </x:c>
      <x:c r="V1495" t="str">
        <x:f>IF(AND(C1495="Active",Q1495=0),"Active Zero Sales","Not Zero Sales")</x:f>
        <x:v>Not Zero Sales</x:v>
      </x:c>
      <x:c r="W1495" s="12" t="n">
        <x:f>IF(V1495="Active Zero Sales",U1495,0)</x:f>
        <x:v>0</x:v>
      </x:c>
      <x:c r="X1495" t="str">
        <x:f>IF(E1495&lt;25,"Low &lt; 25",IF(E1495&lt;100,"Medium 25-99",IF(E1495&lt;300,"High 100-299","Premium 300+")))</x:f>
        <x:v>Medium 25-99</x:v>
      </x:c>
      <x:c r="Y1495" t="n">
        <x:f>IF(C1495="Active",1,0)</x:f>
        <x:v>1</x:v>
      </x:c>
    </x:row>
    <x:row r="1496">
      <x:c r="A1496" t="str">
        <x:v>SKU01495</x:v>
      </x:c>
      <x:c r="B1496" t="str">
        <x:v>Sample Product 01495</x:v>
      </x:c>
      <x:c r="C1496" t="str">
        <x:v>Active</x:v>
      </x:c>
      <x:c r="D1496" t="str">
        <x:v>2026-02</x:v>
      </x:c>
      <x:c r="E1496" s="12" t="n">
        <x:v>7.81</x:v>
      </x:c>
      <x:c r="F1496" s="10" t="n">
        <x:v>0.307</x:v>
      </x:c>
      <x:c r="G1496" t="str">
        <x:v>OTC &amp; Wellness</x:v>
      </x:c>
      <x:c r="H1496" t="str">
        <x:v>Cold &amp; Allergy</x:v>
      </x:c>
      <x:c r="I1496" t="str">
        <x:v>MFG019</x:v>
      </x:c>
      <x:c r="J1496" t="str">
        <x:v>Manufacturer 019</x:v>
      </x:c>
      <x:c r="K1496" t="str">
        <x:v>SUP027</x:v>
      </x:c>
      <x:c r="L1496" t="str">
        <x:v>Supplier 027</x:v>
      </x:c>
      <x:c r="M1496" t="str">
        <x:v>REG-838713</x:v>
      </x:c>
      <x:c r="N1496" t="str">
        <x:v>Generic Ingredient 047</x:v>
      </x:c>
      <x:c r="O1496" t="str">
        <x:v>General Sale</x:v>
      </x:c>
      <x:c r="P1496" t="n">
        <x:v>56</x:v>
      </x:c>
      <x:c r="Q1496" t="n">
        <x:v>0</x:v>
      </x:c>
      <x:c r="R1496" t="n">
        <x:v>64</x:v>
      </x:c>
      <x:c r="S1496" s="12" t="n">
        <x:f>E1496*Q1496</x:f>
        <x:v>0</x:v>
      </x:c>
      <x:c r="T1496" s="12" t="n">
        <x:f>ROUND(S1496*F1496+0.000000001,2)</x:f>
        <x:v>0</x:v>
      </x:c>
      <x:c r="U1496" s="12" t="n">
        <x:f>E1496*R1496</x:f>
        <x:v>499.84</x:v>
      </x:c>
      <x:c r="V1496" t="str">
        <x:f>IF(AND(C1496="Active",Q1496=0),"Active Zero Sales","Not Zero Sales")</x:f>
        <x:v>Active Zero Sales</x:v>
      </x:c>
      <x:c r="W1496" s="12" t="n">
        <x:f>IF(V1496="Active Zero Sales",U1496,0)</x:f>
        <x:v>499.84</x:v>
      </x:c>
      <x:c r="X1496" t="str">
        <x:f>IF(E1496&lt;25,"Low &lt; 25",IF(E1496&lt;100,"Medium 25-99",IF(E1496&lt;300,"High 100-299","Premium 300+")))</x:f>
        <x:v>Low &lt; 25</x:v>
      </x:c>
      <x:c r="Y1496" t="n">
        <x:f>IF(C1496="Active",1,0)</x:f>
        <x:v>1</x:v>
      </x:c>
    </x:row>
    <x:row r="1497">
      <x:c r="A1497" t="str">
        <x:v>SKU01496</x:v>
      </x:c>
      <x:c r="B1497" t="str">
        <x:v>Sample Product 01496</x:v>
      </x:c>
      <x:c r="C1497" t="str">
        <x:v>Active</x:v>
      </x:c>
      <x:c r="D1497" t="str">
        <x:v>2026-01</x:v>
      </x:c>
      <x:c r="E1497" s="12" t="n">
        <x:v>91.64</x:v>
      </x:c>
      <x:c r="F1497" s="10" t="n">
        <x:v>0.406</x:v>
      </x:c>
      <x:c r="G1497" t="str">
        <x:v>General Merchandise</x:v>
      </x:c>
      <x:c r="H1497" t="str">
        <x:v>Travel Health</x:v>
      </x:c>
      <x:c r="I1497" t="str">
        <x:v>MFG009</x:v>
      </x:c>
      <x:c r="J1497" t="str">
        <x:v>Manufacturer 009</x:v>
      </x:c>
      <x:c r="K1497" t="str">
        <x:v>SUP019</x:v>
      </x:c>
      <x:c r="L1497" t="str">
        <x:v>Supplier 019</x:v>
      </x:c>
      <x:c r="M1497" t="str">
        <x:v>REG-548889</x:v>
      </x:c>
      <x:c r="N1497" t="str">
        <x:v>Generic Ingredient 079</x:v>
      </x:c>
      <x:c r="O1497" t="str">
        <x:v>General Sale</x:v>
      </x:c>
      <x:c r="P1497" t="n">
        <x:v>69</x:v>
      </x:c>
      <x:c r="Q1497" t="n">
        <x:v>47</x:v>
      </x:c>
      <x:c r="R1497" t="n">
        <x:v>3</x:v>
      </x:c>
      <x:c r="S1497" s="12" t="n">
        <x:f>E1497*Q1497</x:f>
        <x:v>4307.08</x:v>
      </x:c>
      <x:c r="T1497" s="12" t="n">
        <x:f>ROUND(S1497*F1497+0.000000001,2)</x:f>
        <x:v>1748.67</x:v>
      </x:c>
      <x:c r="U1497" s="12" t="n">
        <x:f>E1497*R1497</x:f>
        <x:v>274.92</x:v>
      </x:c>
      <x:c r="V1497" t="str">
        <x:f>IF(AND(C1497="Active",Q1497=0),"Active Zero Sales","Not Zero Sales")</x:f>
        <x:v>Not Zero Sales</x:v>
      </x:c>
      <x:c r="W1497" s="12" t="n">
        <x:f>IF(V1497="Active Zero Sales",U1497,0)</x:f>
        <x:v>0</x:v>
      </x:c>
      <x:c r="X1497" t="str">
        <x:f>IF(E1497&lt;25,"Low &lt; 25",IF(E1497&lt;100,"Medium 25-99",IF(E1497&lt;300,"High 100-299","Premium 300+")))</x:f>
        <x:v>Medium 25-99</x:v>
      </x:c>
      <x:c r="Y1497" t="n">
        <x:f>IF(C1497="Active",1,0)</x:f>
        <x:v>1</x:v>
      </x:c>
    </x:row>
    <x:row r="1498">
      <x:c r="A1498" t="str">
        <x:v>SKU01497</x:v>
      </x:c>
      <x:c r="B1498" t="str">
        <x:v>Sample Product 01497</x:v>
      </x:c>
      <x:c r="C1498" t="str">
        <x:v>Active</x:v>
      </x:c>
      <x:c r="D1498" t="str">
        <x:v>2026-04</x:v>
      </x:c>
      <x:c r="E1498" s="12" t="n">
        <x:v>131.35</x:v>
      </x:c>
      <x:c r="F1498" s="10" t="n">
        <x:v>0.09</x:v>
      </x:c>
      <x:c r="G1498" t="str">
        <x:v>Nutrition</x:v>
      </x:c>
      <x:c r="H1498" t="str">
        <x:v>Hydration</x:v>
      </x:c>
      <x:c r="I1498" t="str">
        <x:v>MFG019</x:v>
      </x:c>
      <x:c r="J1498" t="str">
        <x:v>Manufacturer 019</x:v>
      </x:c>
      <x:c r="K1498" t="str">
        <x:v>SUP011</x:v>
      </x:c>
      <x:c r="L1498" t="str">
        <x:v>Supplier 011</x:v>
      </x:c>
      <x:c r="M1498" t="str">
        <x:v>REG-410572</x:v>
      </x:c>
      <x:c r="N1498" t="str">
        <x:v>Generic Ingredient 002</x:v>
      </x:c>
      <x:c r="O1498" t="str">
        <x:v>Pharmacy Only</x:v>
      </x:c>
      <x:c r="P1498" t="n">
        <x:v>72</x:v>
      </x:c>
      <x:c r="Q1498" t="n">
        <x:v>16</x:v>
      </x:c>
      <x:c r="R1498" t="n">
        <x:v>17</x:v>
      </x:c>
      <x:c r="S1498" s="12" t="n">
        <x:f>E1498*Q1498</x:f>
        <x:v>2101.6</x:v>
      </x:c>
      <x:c r="T1498" s="12" t="n">
        <x:f>ROUND(S1498*F1498+0.000000001,2)</x:f>
        <x:v>189.14</x:v>
      </x:c>
      <x:c r="U1498" s="12" t="n">
        <x:f>E1498*R1498</x:f>
        <x:v>2232.95</x:v>
      </x:c>
      <x:c r="V1498" t="str">
        <x:f>IF(AND(C1498="Active",Q1498=0),"Active Zero Sales","Not Zero Sales")</x:f>
        <x:v>Not Zero Sales</x:v>
      </x:c>
      <x:c r="W1498" s="12" t="n">
        <x:f>IF(V1498="Active Zero Sales",U1498,0)</x:f>
        <x:v>0</x:v>
      </x:c>
      <x:c r="X1498" t="str">
        <x:f>IF(E1498&lt;25,"Low &lt; 25",IF(E1498&lt;100,"Medium 25-99",IF(E1498&lt;300,"High 100-299","Premium 300+")))</x:f>
        <x:v>High 100-299</x:v>
      </x:c>
      <x:c r="Y1498" t="n">
        <x:f>IF(C1498="Active",1,0)</x:f>
        <x:v>1</x:v>
      </x:c>
    </x:row>
    <x:row r="1499">
      <x:c r="A1499" t="str">
        <x:v>SKU01498</x:v>
      </x:c>
      <x:c r="B1499" t="str">
        <x:v>Sample Product 01498</x:v>
      </x:c>
      <x:c r="C1499" t="str">
        <x:v>Active</x:v>
      </x:c>
      <x:c r="D1499" t="str">
        <x:v>2026-06</x:v>
      </x:c>
      <x:c r="E1499" s="12" t="n">
        <x:v>35.01</x:v>
      </x:c>
      <x:c r="F1499" s="10" t="n">
        <x:v>0.308</x:v>
      </x:c>
      <x:c r="G1499" t="str">
        <x:v>Personal Care</x:v>
      </x:c>
      <x:c r="H1499" t="str">
        <x:v>Oral Care</x:v>
      </x:c>
      <x:c r="I1499" t="str">
        <x:v>MFG014</x:v>
      </x:c>
      <x:c r="J1499" t="str">
        <x:v>Manufacturer 014</x:v>
      </x:c>
      <x:c r="K1499" t="str">
        <x:v>SUP028</x:v>
      </x:c>
      <x:c r="L1499" t="str">
        <x:v>Supplier 028</x:v>
      </x:c>
      <x:c r="M1499" t="str">
        <x:v>REG-405569</x:v>
      </x:c>
      <x:c r="N1499" t="str">
        <x:v>Generic Ingredient 055</x:v>
      </x:c>
      <x:c r="O1499" t="str">
        <x:v>General Sale</x:v>
      </x:c>
      <x:c r="P1499" t="n">
        <x:v>43</x:v>
      </x:c>
      <x:c r="Q1499" t="n">
        <x:v>44</x:v>
      </x:c>
      <x:c r="R1499" t="n">
        <x:v>3</x:v>
      </x:c>
      <x:c r="S1499" s="12" t="n">
        <x:f>E1499*Q1499</x:f>
        <x:v>1540.4399999999998</x:v>
      </x:c>
      <x:c r="T1499" s="12" t="n">
        <x:f>ROUND(S1499*F1499+0.000000001,2)</x:f>
        <x:v>474.46</x:v>
      </x:c>
      <x:c r="U1499" s="12" t="n">
        <x:f>E1499*R1499</x:f>
        <x:v>105.03</x:v>
      </x:c>
      <x:c r="V1499" t="str">
        <x:f>IF(AND(C1499="Active",Q1499=0),"Active Zero Sales","Not Zero Sales")</x:f>
        <x:v>Not Zero Sales</x:v>
      </x:c>
      <x:c r="W1499" s="12" t="n">
        <x:f>IF(V1499="Active Zero Sales",U1499,0)</x:f>
        <x:v>0</x:v>
      </x:c>
      <x:c r="X1499" t="str">
        <x:f>IF(E1499&lt;25,"Low &lt; 25",IF(E1499&lt;100,"Medium 25-99",IF(E1499&lt;300,"High 100-299","Premium 300+")))</x:f>
        <x:v>Medium 25-99</x:v>
      </x:c>
      <x:c r="Y1499" t="n">
        <x:f>IF(C1499="Active",1,0)</x:f>
        <x:v>1</x:v>
      </x:c>
    </x:row>
    <x:row r="1500">
      <x:c r="A1500" t="str">
        <x:v>SKU01499</x:v>
      </x:c>
      <x:c r="B1500" t="str">
        <x:v>Sample Product 01499</x:v>
      </x:c>
      <x:c r="C1500" t="str">
        <x:v>Blocked</x:v>
      </x:c>
      <x:c r="D1500" t="str">
        <x:v>2026-05</x:v>
      </x:c>
      <x:c r="E1500" s="12" t="n">
        <x:v>53.43</x:v>
      </x:c>
      <x:c r="F1500" s="10" t="n">
        <x:v>0.46</x:v>
      </x:c>
      <x:c r="G1500" t="str">
        <x:v>General Merchandise</x:v>
      </x:c>
      <x:c r="H1500" t="str">
        <x:v>Travel Health</x:v>
      </x:c>
      <x:c r="I1500" t="str">
        <x:v>MFG003</x:v>
      </x:c>
      <x:c r="J1500" t="str">
        <x:v>Manufacturer 003</x:v>
      </x:c>
      <x:c r="K1500" t="str">
        <x:v>SUP019</x:v>
      </x:c>
      <x:c r="L1500" t="str">
        <x:v>Supplier 019</x:v>
      </x:c>
      <x:c r="M1500" t="str">
        <x:v>REG-429581</x:v>
      </x:c>
      <x:c r="N1500" t="str">
        <x:v>Generic Ingredient 010</x:v>
      </x:c>
      <x:c r="O1500" t="str">
        <x:v>General Sale</x:v>
      </x:c>
      <x:c r="P1500" t="n">
        <x:v>33</x:v>
      </x:c>
      <x:c r="Q1500" t="n">
        <x:v>0</x:v>
      </x:c>
      <x:c r="R1500" t="n">
        <x:v>0</x:v>
      </x:c>
      <x:c r="S1500" s="12" t="n">
        <x:f>E1500*Q1500</x:f>
        <x:v>0</x:v>
      </x:c>
      <x:c r="T1500" s="12" t="n">
        <x:f>ROUND(S1500*F1500+0.000000001,2)</x:f>
        <x:v>0</x:v>
      </x:c>
      <x:c r="U1500" s="12" t="n">
        <x:f>E1500*R1500</x:f>
        <x:v>0</x:v>
      </x:c>
      <x:c r="V1500" t="str">
        <x:f>IF(AND(C1500="Active",Q1500=0),"Active Zero Sales","Not Zero Sales")</x:f>
        <x:v>Not Zero Sales</x:v>
      </x:c>
      <x:c r="W1500" s="12" t="n">
        <x:f>IF(V1500="Active Zero Sales",U1500,0)</x:f>
        <x:v>0</x:v>
      </x:c>
      <x:c r="X1500" t="str">
        <x:f>IF(E1500&lt;25,"Low &lt; 25",IF(E1500&lt;100,"Medium 25-99",IF(E1500&lt;300,"High 100-299","Premium 300+")))</x:f>
        <x:v>Medium 25-99</x:v>
      </x:c>
      <x:c r="Y1500" t="n">
        <x:f>IF(C1500="Active",1,0)</x:f>
        <x:v>0</x:v>
      </x:c>
    </x:row>
    <x:row r="1501">
      <x:c r="A1501" t="str">
        <x:v>SKU01500</x:v>
      </x:c>
      <x:c r="B1501" t="str">
        <x:v>Sample Product 01500</x:v>
      </x:c>
      <x:c r="C1501" t="str">
        <x:v>Active</x:v>
      </x:c>
      <x:c r="D1501" t="str">
        <x:v>2026-02</x:v>
      </x:c>
      <x:c r="E1501" s="12" t="n">
        <x:v>51.87</x:v>
      </x:c>
      <x:c r="F1501" s="10" t="n">
        <x:v>0.265</x:v>
      </x:c>
      <x:c r="G1501" t="str">
        <x:v>Medical Devices</x:v>
      </x:c>
      <x:c r="H1501" t="str">
        <x:v>Mobility Aids</x:v>
      </x:c>
      <x:c r="I1501" t="str">
        <x:v>MFG019</x:v>
      </x:c>
      <x:c r="J1501" t="str">
        <x:v>Manufacturer 019</x:v>
      </x:c>
      <x:c r="K1501" t="str">
        <x:v>SUP011</x:v>
      </x:c>
      <x:c r="L1501" t="str">
        <x:v>Supplier 011</x:v>
      </x:c>
      <x:c r="M1501" t="str">
        <x:v>REG-399977</x:v>
      </x:c>
      <x:c r="N1501" t="str">
        <x:v>Generic Ingredient 074</x:v>
      </x:c>
      <x:c r="O1501" t="str">
        <x:v>General Sale</x:v>
      </x:c>
      <x:c r="P1501" t="n">
        <x:v>30</x:v>
      </x:c>
      <x:c r="Q1501" t="n">
        <x:v>12</x:v>
      </x:c>
      <x:c r="R1501" t="n">
        <x:v>8</x:v>
      </x:c>
      <x:c r="S1501" s="12" t="n">
        <x:f>E1501*Q1501</x:f>
        <x:v>622.4399999999999</x:v>
      </x:c>
      <x:c r="T1501" s="12" t="n">
        <x:f>ROUND(S1501*F1501+0.000000001,2)</x:f>
        <x:v>164.95</x:v>
      </x:c>
      <x:c r="U1501" s="12" t="n">
        <x:f>E1501*R1501</x:f>
        <x:v>414.96</x:v>
      </x:c>
      <x:c r="V1501" t="str">
        <x:f>IF(AND(C1501="Active",Q1501=0),"Active Zero Sales","Not Zero Sales")</x:f>
        <x:v>Not Zero Sales</x:v>
      </x:c>
      <x:c r="W1501" s="12" t="n">
        <x:f>IF(V1501="Active Zero Sales",U1501,0)</x:f>
        <x:v>0</x:v>
      </x:c>
      <x:c r="X1501" t="str">
        <x:f>IF(E1501&lt;25,"Low &lt; 25",IF(E1501&lt;100,"Medium 25-99",IF(E1501&lt;300,"High 100-299","Premium 300+")))</x:f>
        <x:v>Medium 25-99</x:v>
      </x:c>
      <x:c r="Y1501" t="n">
        <x:f>IF(C1501="Active",1,0)</x:f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3f85b93b32ce466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17" t="str">
        <x:v>Pharmacy Product Analytics — KPI Summary</x:v>
      </x:c>
      <x:c r="B1" s="17"/>
      <x:c r="C1" s="17"/>
      <x:c r="D1" s="17"/>
    </x:row>
    <x:row r="3">
      <x:c r="A3" s="5" t="str">
        <x:v>Metric</x:v>
      </x:c>
      <x:c r="B3" s="5" t="str">
        <x:v>Value</x:v>
      </x:c>
    </x:row>
    <x:row r="4">
      <x:c r="A4" t="str">
        <x:v>Total SKUs</x:v>
      </x:c>
      <x:c r="B4" t="n">
        <x:f>COUNTA(Clean_Data!A2:A1501)</x:f>
        <x:v>1500</x:v>
      </x:c>
    </x:row>
    <x:row r="5">
      <x:c r="A5" t="str">
        <x:v>Active SKUs</x:v>
      </x:c>
      <x:c r="B5" t="n">
        <x:f>COUNTIF(Clean_Data!C2:C1501,"Active")</x:f>
        <x:v>1225</x:v>
      </x:c>
    </x:row>
    <x:row r="6">
      <x:c r="A6" t="str">
        <x:v>Blocked SKUs</x:v>
      </x:c>
      <x:c r="B6" t="n">
        <x:f>COUNTIF(Clean_Data!C2:C1501,"Blocked")</x:f>
        <x:v>275</x:v>
      </x:c>
    </x:row>
    <x:row r="7">
      <x:c r="A7" t="str">
        <x:v>Active %</x:v>
      </x:c>
      <x:c r="B7" s="10" t="n">
        <x:f>B5/B4</x:f>
        <x:v>0.8166666666666667</x:v>
      </x:c>
    </x:row>
    <x:row r="8">
      <x:c r="A8" t="str">
        <x:v>Blocked %</x:v>
      </x:c>
      <x:c r="B8" s="10" t="n">
        <x:f>B6/B4</x:f>
        <x:v>0.18333333333333332</x:v>
      </x:c>
    </x:row>
    <x:row r="9">
      <x:c r="A9" t="str">
        <x:v>Total Sales Quantity</x:v>
      </x:c>
      <x:c r="B9" t="n">
        <x:f>SUM(Clean_Data!Q2:Q1501)</x:f>
        <x:v>37488</x:v>
      </x:c>
    </x:row>
    <x:row r="10">
      <x:c r="A10" t="str">
        <x:v>Total Sales Value</x:v>
      </x:c>
      <x:c r="B10" s="12" t="n">
        <x:f>SUM(Clean_Data!S2:S1501)</x:f>
        <x:v>3722472.1</x:v>
      </x:c>
    </x:row>
    <x:row r="11">
      <x:c r="A11" t="str">
        <x:v>Total Profit Value</x:v>
      </x:c>
      <x:c r="B11" s="12" t="n">
        <x:f>SUM(Clean_Data!T2:T1501)</x:f>
        <x:v>1249396.7000000004</x:v>
      </x:c>
    </x:row>
    <x:row r="12">
      <x:c r="A12" t="str">
        <x:v>Average TGM% (Active)</x:v>
      </x:c>
      <x:c r="B12" s="10" t="n">
        <x:f>SUMIF(Clean_Data!C2:C1501,"Active",Clean_Data!F2:F1501)/COUNTIF(Clean_Data!C2:C1501,"Active")</x:f>
        <x:v>0.335135510204081</x:v>
      </x:c>
    </x:row>
    <x:row r="13">
      <x:c r="A13" t="str">
        <x:v>Zero Sales Active SKUs</x:v>
      </x:c>
      <x:c r="B13" t="n">
        <x:f>COUNTIF(Clean_Data!V2:V1501,"Active Zero Sales")</x:f>
        <x:v>129</x:v>
      </x:c>
    </x:row>
    <x:row r="14">
      <x:c r="A14" t="str">
        <x:v>Inventory Financial Risk</x:v>
      </x:c>
      <x:c r="B14" s="12" t="n">
        <x:f>SUM(Clean_Data!W2:W1501)</x:f>
        <x:v>406473.6100000002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</x:cols>
  <x:sheetData>
    <x:row r="1">
      <x:c r="A1" s="17" t="str">
        <x:v>Category Analysis</x:v>
      </x:c>
      <x:c r="B1" s="17"/>
      <x:c r="C1" s="17"/>
      <x:c r="D1" s="17"/>
      <x:c r="E1" s="17"/>
      <x:c r="F1" s="17"/>
      <x:c r="G1" s="17"/>
      <x:c r="H1" s="17"/>
      <x:c r="I1" s="17"/>
    </x:row>
    <x:row r="3">
      <x:c r="A3" s="5" t="str">
        <x:v>Category</x:v>
      </x:c>
      <x:c r="B3" s="5" t="str">
        <x:v>Total SKUs</x:v>
      </x:c>
      <x:c r="C3" s="5" t="str">
        <x:v>Active SKUs</x:v>
      </x:c>
      <x:c r="D3" s="5" t="str">
        <x:v>Blocked SKUs</x:v>
      </x:c>
      <x:c r="E3" s="5" t="str">
        <x:v>Sales Qty</x:v>
      </x:c>
      <x:c r="F3" s="5" t="str">
        <x:v>Sales Value</x:v>
      </x:c>
      <x:c r="G3" s="5" t="str">
        <x:v>Profit Value</x:v>
      </x:c>
      <x:c r="H3" s="5" t="str">
        <x:v>Avg Active TGM%</x:v>
      </x:c>
      <x:c r="I3" s="5" t="str">
        <x:v>Inventory Risk</x:v>
      </x:c>
    </x:row>
    <x:row r="4">
      <x:c r="A4" t="str">
        <x:v>OTC &amp; Wellness</x:v>
      </x:c>
      <x:c r="B4" t="n">
        <x:f>COUNTIF(Clean_Data!G2:G1501,A4)</x:f>
        <x:v>331</x:v>
      </x:c>
      <x:c r="C4" t="n">
        <x:f>COUNTIFS(Clean_Data!G2:G1501,A4,Clean_Data!C2:C1501,"Active")</x:f>
        <x:v>272</x:v>
      </x:c>
      <x:c r="D4" t="n">
        <x:f>COUNTIFS(Clean_Data!G2:G1501,A4,Clean_Data!C2:C1501,"Blocked")</x:f>
        <x:v>59</x:v>
      </x:c>
      <x:c r="E4" t="n">
        <x:f>SUMIF(Clean_Data!G2:G1501,A4,Clean_Data!Q2:Q1501)</x:f>
        <x:v>7745</x:v>
      </x:c>
      <x:c r="F4" s="12" t="n">
        <x:f>SUMIF(Clean_Data!G2:G1501,A4,Clean_Data!S2:S1501)</x:f>
        <x:v>723091.67</x:v>
      </x:c>
      <x:c r="G4" s="12" t="n">
        <x:f>SUMIF(Clean_Data!G2:G1501,A4,Clean_Data!T2:T1501)</x:f>
        <x:v>239676.87999999986</x:v>
      </x:c>
      <x:c r="H4" s="10" t="n">
        <x:f>SUMIFS(Clean_Data!F2:F1501,Clean_Data!G2:G1501,A4,Clean_Data!C2:C1501,"Active")/COUNTIFS(Clean_Data!G2:G1501,A4,Clean_Data!C2:C1501,"Active")</x:f>
        <x:v>0.332533088235294</x:v>
      </x:c>
      <x:c r="I4" s="12" t="n">
        <x:f>SUMIF(Clean_Data!G2:G1501,A4,Clean_Data!W2:W1501)</x:f>
        <x:v>96784.64999999998</x:v>
      </x:c>
    </x:row>
    <x:row r="5">
      <x:c r="A5" t="str">
        <x:v>Personal Care</x:v>
      </x:c>
      <x:c r="B5" t="n">
        <x:f>COUNTIF(Clean_Data!G2:G1501,A5)</x:f>
        <x:v>365</x:v>
      </x:c>
      <x:c r="C5" t="n">
        <x:f>COUNTIFS(Clean_Data!G2:G1501,A5,Clean_Data!C2:C1501,"Active")</x:f>
        <x:v>296</x:v>
      </x:c>
      <x:c r="D5" t="n">
        <x:f>COUNTIFS(Clean_Data!G2:G1501,A5,Clean_Data!C2:C1501,"Blocked")</x:f>
        <x:v>69</x:v>
      </x:c>
      <x:c r="E5" t="n">
        <x:f>SUMIF(Clean_Data!G2:G1501,A5,Clean_Data!Q2:Q1501)</x:f>
        <x:v>9795</x:v>
      </x:c>
      <x:c r="F5" s="12" t="n">
        <x:f>SUMIF(Clean_Data!G2:G1501,A5,Clean_Data!S2:S1501)</x:f>
        <x:v>1042231.4299999997</x:v>
      </x:c>
      <x:c r="G5" s="12" t="n">
        <x:f>SUMIF(Clean_Data!G2:G1501,A5,Clean_Data!T2:T1501)</x:f>
        <x:v>401035.7000000001</x:v>
      </x:c>
      <x:c r="H5" s="10" t="n">
        <x:f>SUMIFS(Clean_Data!F2:F1501,Clean_Data!G2:G1501,A5,Clean_Data!C2:C1501,"Active")/COUNTIFS(Clean_Data!G2:G1501,A5,Clean_Data!C2:C1501,"Active")</x:f>
        <x:v>0.38678040540540537</x:v>
      </x:c>
      <x:c r="I5" s="12" t="n">
        <x:f>SUMIF(Clean_Data!G2:G1501,A5,Clean_Data!W2:W1501)</x:f>
        <x:v>62509.78</x:v>
      </x:c>
    </x:row>
    <x:row r="6">
      <x:c r="A6" t="str">
        <x:v>Medical Devices</x:v>
      </x:c>
      <x:c r="B6" t="n">
        <x:f>COUNTIF(Clean_Data!G2:G1501,A6)</x:f>
        <x:v>265</x:v>
      </x:c>
      <x:c r="C6" t="n">
        <x:f>COUNTIFS(Clean_Data!G2:G1501,A6,Clean_Data!C2:C1501,"Active")</x:f>
        <x:v>213</x:v>
      </x:c>
      <x:c r="D6" t="n">
        <x:f>COUNTIFS(Clean_Data!G2:G1501,A6,Clean_Data!C2:C1501,"Blocked")</x:f>
        <x:v>52</x:v>
      </x:c>
      <x:c r="E6" t="n">
        <x:f>SUMIF(Clean_Data!G2:G1501,A6,Clean_Data!Q2:Q1501)</x:f>
        <x:v>6797</x:v>
      </x:c>
      <x:c r="F6" s="12" t="n">
        <x:f>SUMIF(Clean_Data!G2:G1501,A6,Clean_Data!S2:S1501)</x:f>
        <x:v>772805.8600000002</x:v>
      </x:c>
      <x:c r="G6" s="12" t="n">
        <x:f>SUMIF(Clean_Data!G2:G1501,A6,Clean_Data!T2:T1501)</x:f>
        <x:v>214354.16000000003</x:v>
      </x:c>
      <x:c r="H6" s="10" t="n">
        <x:f>SUMIFS(Clean_Data!F2:F1501,Clean_Data!G2:G1501,A6,Clean_Data!C2:C1501,"Active")/COUNTIFS(Clean_Data!G2:G1501,A6,Clean_Data!C2:C1501,"Active")</x:f>
        <x:v>0.28299530516431937</x:v>
      </x:c>
      <x:c r="I6" s="12" t="n">
        <x:f>SUMIF(Clean_Data!G2:G1501,A6,Clean_Data!W2:W1501)</x:f>
        <x:v>112798.81999999999</x:v>
      </x:c>
    </x:row>
    <x:row r="7">
      <x:c r="A7" t="str">
        <x:v>Nutrition</x:v>
      </x:c>
      <x:c r="B7" t="n">
        <x:f>COUNTIF(Clean_Data!G2:G1501,A7)</x:f>
        <x:v>274</x:v>
      </x:c>
      <x:c r="C7" t="n">
        <x:f>COUNTIFS(Clean_Data!G2:G1501,A7,Clean_Data!C2:C1501,"Active")</x:f>
        <x:v>235</x:v>
      </x:c>
      <x:c r="D7" t="n">
        <x:f>COUNTIFS(Clean_Data!G2:G1501,A7,Clean_Data!C2:C1501,"Blocked")</x:f>
        <x:v>39</x:v>
      </x:c>
      <x:c r="E7" t="n">
        <x:f>SUMIF(Clean_Data!G2:G1501,A7,Clean_Data!Q2:Q1501)</x:f>
        <x:v>7083</x:v>
      </x:c>
      <x:c r="F7" s="12" t="n">
        <x:f>SUMIF(Clean_Data!G2:G1501,A7,Clean_Data!S2:S1501)</x:f>
        <x:v>603925.9400000001</x:v>
      </x:c>
      <x:c r="G7" s="12" t="n">
        <x:f>SUMIF(Clean_Data!G2:G1501,A7,Clean_Data!T2:T1501)</x:f>
        <x:v>185682.13000000003</x:v>
      </x:c>
      <x:c r="H7" s="10" t="n">
        <x:f>SUMIFS(Clean_Data!F2:F1501,Clean_Data!G2:G1501,A7,Clean_Data!C2:C1501,"Active")/COUNTIFS(Clean_Data!G2:G1501,A7,Clean_Data!C2:C1501,"Active")</x:f>
        <x:v>0.30939148936170224</x:v>
      </x:c>
      <x:c r="I7" s="12" t="n">
        <x:f>SUMIF(Clean_Data!G2:G1501,A7,Clean_Data!W2:W1501)</x:f>
        <x:v>81837.32999999999</x:v>
      </x:c>
    </x:row>
    <x:row r="8">
      <x:c r="A8" t="str">
        <x:v>General Merchandise</x:v>
      </x:c>
      <x:c r="B8" t="n">
        <x:f>COUNTIF(Clean_Data!G2:G1501,A8)</x:f>
        <x:v>265</x:v>
      </x:c>
      <x:c r="C8" t="n">
        <x:f>COUNTIFS(Clean_Data!G2:G1501,A8,Clean_Data!C2:C1501,"Active")</x:f>
        <x:v>209</x:v>
      </x:c>
      <x:c r="D8" t="n">
        <x:f>COUNTIFS(Clean_Data!G2:G1501,A8,Clean_Data!C2:C1501,"Blocked")</x:f>
        <x:v>56</x:v>
      </x:c>
      <x:c r="E8" t="n">
        <x:f>SUMIF(Clean_Data!G2:G1501,A8,Clean_Data!Q2:Q1501)</x:f>
        <x:v>6068</x:v>
      </x:c>
      <x:c r="F8" s="12" t="n">
        <x:f>SUMIF(Clean_Data!G2:G1501,A8,Clean_Data!S2:S1501)</x:f>
        <x:v>580417.1999999997</x:v>
      </x:c>
      <x:c r="G8" s="12" t="n">
        <x:f>SUMIF(Clean_Data!G2:G1501,A8,Clean_Data!T2:T1501)</x:f>
        <x:v>208647.83000000005</x:v>
      </x:c>
      <x:c r="H8" s="10" t="n">
        <x:f>SUMIFS(Clean_Data!F2:F1501,Clean_Data!G2:G1501,A8,Clean_Data!C2:C1501,"Active")/COUNTIFS(Clean_Data!G2:G1501,A8,Clean_Data!C2:C1501,"Active")</x:f>
        <x:v>0.3474641148325359</x:v>
      </x:c>
      <x:c r="I8" s="12" t="n">
        <x:f>SUMIF(Clean_Data!G2:G1501,A8,Clean_Data!W2:W1501)</x:f>
        <x:v>52543.03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2e3fb73daec14e7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3" max="3" width="22" hidden="0" customWidth="1"/>
  </x:cols>
  <x:sheetData>
    <x:row r="1">
      <x:c r="A1" s="17" t="str">
        <x:v>Average TGM% by Category — Active SKUs Only</x:v>
      </x:c>
      <x:c r="B1" s="17"/>
      <x:c r="C1" s="17"/>
    </x:row>
    <x:row r="3">
      <x:c r="A3" s="5" t="str">
        <x:v>Category</x:v>
      </x:c>
      <x:c r="B3" s="5" t="str">
        <x:v>Average Active TGM%</x:v>
      </x:c>
      <x:c r="C3" s="5" t="str">
        <x:v>Rule</x:v>
      </x:c>
    </x:row>
    <x:row r="4">
      <x:c r="A4" t="str">
        <x:v>OTC &amp; Wellness</x:v>
      </x:c>
      <x:c r="B4" s="10" t="n">
        <x:f>SUMIFS(Clean_Data!F2:F1501,Clean_Data!G2:G1501,A4,Clean_Data!C2:C1501,"Active")/COUNTIFS(Clean_Data!G2:G1501,A4,Clean_Data!C2:C1501,"Active")</x:f>
        <x:v>0.332533088235294</x:v>
      </x:c>
      <x:c r="C4" t="str">
        <x:v>Active products only</x:v>
      </x:c>
    </x:row>
    <x:row r="5">
      <x:c r="A5" t="str">
        <x:v>Personal Care</x:v>
      </x:c>
      <x:c r="B5" s="10" t="n">
        <x:f>SUMIFS(Clean_Data!F2:F1501,Clean_Data!G2:G1501,A5,Clean_Data!C2:C1501,"Active")/COUNTIFS(Clean_Data!G2:G1501,A5,Clean_Data!C2:C1501,"Active")</x:f>
        <x:v>0.38678040540540537</x:v>
      </x:c>
      <x:c r="C5" t="str">
        <x:v>Active products only</x:v>
      </x:c>
    </x:row>
    <x:row r="6">
      <x:c r="A6" t="str">
        <x:v>Medical Devices</x:v>
      </x:c>
      <x:c r="B6" s="10" t="n">
        <x:f>SUMIFS(Clean_Data!F2:F1501,Clean_Data!G2:G1501,A6,Clean_Data!C2:C1501,"Active")/COUNTIFS(Clean_Data!G2:G1501,A6,Clean_Data!C2:C1501,"Active")</x:f>
        <x:v>0.28299530516431937</x:v>
      </x:c>
      <x:c r="C6" t="str">
        <x:v>Active products only</x:v>
      </x:c>
    </x:row>
    <x:row r="7">
      <x:c r="A7" t="str">
        <x:v>Nutrition</x:v>
      </x:c>
      <x:c r="B7" s="10" t="n">
        <x:f>SUMIFS(Clean_Data!F2:F1501,Clean_Data!G2:G1501,A7,Clean_Data!C2:C1501,"Active")/COUNTIFS(Clean_Data!G2:G1501,A7,Clean_Data!C2:C1501,"Active")</x:f>
        <x:v>0.30939148936170224</x:v>
      </x:c>
      <x:c r="C7" t="str">
        <x:v>Active products only</x:v>
      </x:c>
    </x:row>
    <x:row r="8">
      <x:c r="A8" t="str">
        <x:v>General Merchandise</x:v>
      </x:c>
      <x:c r="B8" s="10" t="n">
        <x:f>SUMIFS(Clean_Data!F2:F1501,Clean_Data!G2:G1501,A8,Clean_Data!C2:C1501,"Active")/COUNTIFS(Clean_Data!G2:G1501,A8,Clean_Data!C2:C1501,"Active")</x:f>
        <x:v>0.3474641148325359</x:v>
      </x:c>
      <x:c r="C8" t="str">
        <x:v>Active products only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fe3213a9ae1f4083"/>
  </x:tableParts>
</x:worksheet>
</file>

<file path=xl/worksheets/sheet5.xml><?xml version="1.0" encoding="utf-8"?>
<x:worksheet xmlns:x="http://schemas.openxmlformats.org/spreadsheetml/2006/main">
  <x:sheetFormatPr defaultRowHeight="15"/>
  <x:cols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10" max="10" width="22" hidden="0" customWidth="1"/>
  </x:cols>
  <x:sheetData>
    <x:row r="1">
      <x:c r="A1" s="17" t="str">
        <x:v>Active Zero Sales &amp; Inventory Risk</x:v>
      </x:c>
      <x:c r="B1" s="17"/>
      <x:c r="C1" s="17"/>
      <x:c r="D1" s="17"/>
      <x:c r="E1" s="17"/>
      <x:c r="F1" s="17"/>
      <x:c r="G1" s="17"/>
      <x:c r="H1" s="17"/>
      <x:c r="I1" s="17"/>
      <x:c r="J1" s="17"/>
    </x:row>
    <x:row r="3">
      <x:c r="A3" s="5" t="str">
        <x:v>SKU</x:v>
      </x:c>
      <x:c r="B3" s="5" t="str">
        <x:v>Item_Name</x:v>
      </x:c>
      <x:c r="C3" s="5" t="str">
        <x:v>Category</x:v>
      </x:c>
      <x:c r="D3" s="5" t="str">
        <x:v>Sub_Category</x:v>
      </x:c>
      <x:c r="E3" s="5" t="str">
        <x:v>Supplier_Name</x:v>
      </x:c>
      <x:c r="F3" s="5" t="str">
        <x:v>RSP</x:v>
      </x:c>
      <x:c r="G3" s="5" t="str">
        <x:v>SOH</x:v>
      </x:c>
      <x:c r="H3" s="5" t="str">
        <x:v>Inventory_Value</x:v>
      </x:c>
      <x:c r="I3" s="5" t="str">
        <x:v>Inventory_Risk_Value</x:v>
      </x:c>
      <x:c r="J3" s="5" t="str">
        <x:v>Price_Range</x:v>
      </x:c>
    </x:row>
    <x:row r="4">
      <x:c r="A4" t="str">
        <x:v>SKU00001</x:v>
      </x:c>
      <x:c r="B4" t="str">
        <x:v>Sample Product 00001</x:v>
      </x:c>
      <x:c r="C4" t="str">
        <x:v>Medical Devices</x:v>
      </x:c>
      <x:c r="D4" t="str">
        <x:v>Home Diagnostics</x:v>
      </x:c>
      <x:c r="E4" t="str">
        <x:v>Supplier 003</x:v>
      </x:c>
      <x:c r="F4" s="12" t="n">
        <x:v>8.26</x:v>
      </x:c>
      <x:c r="G4" t="n">
        <x:v>5</x:v>
      </x:c>
      <x:c r="H4" s="12" t="n">
        <x:v>41.3</x:v>
      </x:c>
      <x:c r="I4" s="12" t="n">
        <x:v>41.3</x:v>
      </x:c>
      <x:c r="J4" t="str">
        <x:v>Low &lt; 25</x:v>
      </x:c>
    </x:row>
    <x:row r="5">
      <x:c r="A5" t="str">
        <x:v>SKU00017</x:v>
      </x:c>
      <x:c r="B5" t="str">
        <x:v>Sample Product 00017</x:v>
      </x:c>
      <x:c r="C5" t="str">
        <x:v>General Merchandise</x:v>
      </x:c>
      <x:c r="D5" t="str">
        <x:v>Travel Health</x:v>
      </x:c>
      <x:c r="E5" t="str">
        <x:v>Supplier 019</x:v>
      </x:c>
      <x:c r="F5" s="12" t="n">
        <x:v>183.96</x:v>
      </x:c>
      <x:c r="G5" t="n">
        <x:v>35</x:v>
      </x:c>
      <x:c r="H5" s="12" t="n">
        <x:v>6438.6</x:v>
      </x:c>
      <x:c r="I5" s="12" t="n">
        <x:v>6438.6</x:v>
      </x:c>
      <x:c r="J5" t="str">
        <x:v>High 100-299</x:v>
      </x:c>
    </x:row>
    <x:row r="6">
      <x:c r="A6" t="str">
        <x:v>SKU00025</x:v>
      </x:c>
      <x:c r="B6" t="str">
        <x:v>Sample Product 00025</x:v>
      </x:c>
      <x:c r="C6" t="str">
        <x:v>Medical Devices</x:v>
      </x:c>
      <x:c r="D6" t="str">
        <x:v>Mobility Aids</x:v>
      </x:c>
      <x:c r="E6" t="str">
        <x:v>Supplier 011</x:v>
      </x:c>
      <x:c r="F6" s="12" t="n">
        <x:v>299.29</x:v>
      </x:c>
      <x:c r="G6" t="n">
        <x:v>50</x:v>
      </x:c>
      <x:c r="H6" s="12" t="n">
        <x:v>14964.5</x:v>
      </x:c>
      <x:c r="I6" s="12" t="n">
        <x:v>14964.5</x:v>
      </x:c>
      <x:c r="J6" t="str">
        <x:v>High 100-299</x:v>
      </x:c>
    </x:row>
    <x:row r="7">
      <x:c r="A7" t="str">
        <x:v>SKU00035</x:v>
      </x:c>
      <x:c r="B7" t="str">
        <x:v>Sample Product 00035</x:v>
      </x:c>
      <x:c r="C7" t="str">
        <x:v>OTC &amp; Wellness</x:v>
      </x:c>
      <x:c r="D7" t="str">
        <x:v>Vitamins</x:v>
      </x:c>
      <x:c r="E7" t="str">
        <x:v>Supplier 024</x:v>
      </x:c>
      <x:c r="F7" s="12" t="n">
        <x:v>13.77</x:v>
      </x:c>
      <x:c r="G7" t="n">
        <x:v>62</x:v>
      </x:c>
      <x:c r="H7" s="12" t="n">
        <x:v>853.74</x:v>
      </x:c>
      <x:c r="I7" s="12" t="n">
        <x:v>853.74</x:v>
      </x:c>
      <x:c r="J7" t="str">
        <x:v>Low &lt; 25</x:v>
      </x:c>
    </x:row>
    <x:row r="8">
      <x:c r="A8" t="str">
        <x:v>SKU00080</x:v>
      </x:c>
      <x:c r="B8" t="str">
        <x:v>Sample Product 00080</x:v>
      </x:c>
      <x:c r="C8" t="str">
        <x:v>General Merchandise</x:v>
      </x:c>
      <x:c r="D8" t="str">
        <x:v>Accessories</x:v>
      </x:c>
      <x:c r="E8" t="str">
        <x:v>Supplier 013</x:v>
      </x:c>
      <x:c r="F8" s="12" t="n">
        <x:v>22.07</x:v>
      </x:c>
      <x:c r="G8" t="n">
        <x:v>61</x:v>
      </x:c>
      <x:c r="H8" s="12" t="n">
        <x:v>1346.27</x:v>
      </x:c>
      <x:c r="I8" s="12" t="n">
        <x:v>1346.27</x:v>
      </x:c>
      <x:c r="J8" t="str">
        <x:v>Low &lt; 25</x:v>
      </x:c>
    </x:row>
    <x:row r="9">
      <x:c r="A9" t="str">
        <x:v>SKU00096</x:v>
      </x:c>
      <x:c r="B9" t="str">
        <x:v>Sample Product 00096</x:v>
      </x:c>
      <x:c r="C9" t="str">
        <x:v>OTC &amp; Wellness</x:v>
      </x:c>
      <x:c r="D9" t="str">
        <x:v>Vitamins</x:v>
      </x:c>
      <x:c r="E9" t="str">
        <x:v>Supplier 003</x:v>
      </x:c>
      <x:c r="F9" s="12" t="n">
        <x:v>72.54</x:v>
      </x:c>
      <x:c r="G9" t="n">
        <x:v>15</x:v>
      </x:c>
      <x:c r="H9" s="12" t="n">
        <x:v>1088.1</x:v>
      </x:c>
      <x:c r="I9" s="12" t="n">
        <x:v>1088.1</x:v>
      </x:c>
      <x:c r="J9" t="str">
        <x:v>Medium 25-99</x:v>
      </x:c>
    </x:row>
    <x:row r="10">
      <x:c r="A10" t="str">
        <x:v>SKU00108</x:v>
      </x:c>
      <x:c r="B10" t="str">
        <x:v>Sample Product 00108</x:v>
      </x:c>
      <x:c r="C10" t="str">
        <x:v>Nutrition</x:v>
      </x:c>
      <x:c r="D10" t="str">
        <x:v>Healthy Snacks</x:v>
      </x:c>
      <x:c r="E10" t="str">
        <x:v>Supplier 002</x:v>
      </x:c>
      <x:c r="F10" s="12" t="n">
        <x:v>171.57</x:v>
      </x:c>
      <x:c r="G10" t="n">
        <x:v>7</x:v>
      </x:c>
      <x:c r="H10" s="12" t="n">
        <x:v>1200.99</x:v>
      </x:c>
      <x:c r="I10" s="12" t="n">
        <x:v>1200.99</x:v>
      </x:c>
      <x:c r="J10" t="str">
        <x:v>High 100-299</x:v>
      </x:c>
    </x:row>
    <x:row r="11">
      <x:c r="A11" t="str">
        <x:v>SKU00127</x:v>
      </x:c>
      <x:c r="B11" t="str">
        <x:v>Sample Product 00127</x:v>
      </x:c>
      <x:c r="C11" t="str">
        <x:v>General Merchandise</x:v>
      </x:c>
      <x:c r="D11" t="str">
        <x:v>Travel Health</x:v>
      </x:c>
      <x:c r="E11" t="str">
        <x:v>Supplier 019</x:v>
      </x:c>
      <x:c r="F11" s="12" t="n">
        <x:v>17.94</x:v>
      </x:c>
      <x:c r="G11" t="n">
        <x:v>39</x:v>
      </x:c>
      <x:c r="H11" s="12" t="n">
        <x:v>699.66</x:v>
      </x:c>
      <x:c r="I11" s="12" t="n">
        <x:v>699.66</x:v>
      </x:c>
      <x:c r="J11" t="str">
        <x:v>Low &lt; 25</x:v>
      </x:c>
    </x:row>
    <x:row r="12">
      <x:c r="A12" t="str">
        <x:v>SKU00135</x:v>
      </x:c>
      <x:c r="B12" t="str">
        <x:v>Sample Product 00135</x:v>
      </x:c>
      <x:c r="C12" t="str">
        <x:v>OTC &amp; Wellness</x:v>
      </x:c>
      <x:c r="D12" t="str">
        <x:v>Vitamins</x:v>
      </x:c>
      <x:c r="E12" t="str">
        <x:v>Supplier 026</x:v>
      </x:c>
      <x:c r="F12" s="12" t="n">
        <x:v>17.72</x:v>
      </x:c>
      <x:c r="G12" t="n">
        <x:v>25</x:v>
      </x:c>
      <x:c r="H12" s="12" t="n">
        <x:v>443</x:v>
      </x:c>
      <x:c r="I12" s="12" t="n">
        <x:v>443</x:v>
      </x:c>
      <x:c r="J12" t="str">
        <x:v>Low &lt; 25</x:v>
      </x:c>
    </x:row>
    <x:row r="13">
      <x:c r="A13" t="str">
        <x:v>SKU00145</x:v>
      </x:c>
      <x:c r="B13" t="str">
        <x:v>Sample Product 00145</x:v>
      </x:c>
      <x:c r="C13" t="str">
        <x:v>Medical Devices</x:v>
      </x:c>
      <x:c r="D13" t="str">
        <x:v>Home Diagnostics</x:v>
      </x:c>
      <x:c r="E13" t="str">
        <x:v>Supplier 003</x:v>
      </x:c>
      <x:c r="F13" s="12" t="n">
        <x:v>529.48</x:v>
      </x:c>
      <x:c r="G13" t="n">
        <x:v>38</x:v>
      </x:c>
      <x:c r="H13" s="12" t="n">
        <x:v>20120.24</x:v>
      </x:c>
      <x:c r="I13" s="12" t="n">
        <x:v>20120.24</x:v>
      </x:c>
      <x:c r="J13" t="str">
        <x:v>Premium 300+</x:v>
      </x:c>
    </x:row>
    <x:row r="14">
      <x:c r="A14" t="str">
        <x:v>SKU00151</x:v>
      </x:c>
      <x:c r="B14" t="str">
        <x:v>Sample Product 00151</x:v>
      </x:c>
      <x:c r="C14" t="str">
        <x:v>Personal Care</x:v>
      </x:c>
      <x:c r="D14" t="str">
        <x:v>Skin Care</x:v>
      </x:c>
      <x:c r="E14" t="str">
        <x:v>Supplier 026</x:v>
      </x:c>
      <x:c r="F14" s="12" t="n">
        <x:v>52.65</x:v>
      </x:c>
      <x:c r="G14" t="n">
        <x:v>58</x:v>
      </x:c>
      <x:c r="H14" s="12" t="n">
        <x:v>3053.7</x:v>
      </x:c>
      <x:c r="I14" s="12" t="n">
        <x:v>3053.7</x:v>
      </x:c>
      <x:c r="J14" t="str">
        <x:v>Medium 25-99</x:v>
      </x:c>
    </x:row>
    <x:row r="15">
      <x:c r="A15" t="str">
        <x:v>SKU00154</x:v>
      </x:c>
      <x:c r="B15" t="str">
        <x:v>Sample Product 00154</x:v>
      </x:c>
      <x:c r="C15" t="str">
        <x:v>OTC &amp; Wellness</x:v>
      </x:c>
      <x:c r="D15" t="str">
        <x:v>Vitamins</x:v>
      </x:c>
      <x:c r="E15" t="str">
        <x:v>Supplier 018</x:v>
      </x:c>
      <x:c r="F15" s="12" t="n">
        <x:v>29.68</x:v>
      </x:c>
      <x:c r="G15" t="n">
        <x:v>50</x:v>
      </x:c>
      <x:c r="H15" s="12" t="n">
        <x:v>1484</x:v>
      </x:c>
      <x:c r="I15" s="12" t="n">
        <x:v>1484</x:v>
      </x:c>
      <x:c r="J15" t="str">
        <x:v>Medium 25-99</x:v>
      </x:c>
    </x:row>
    <x:row r="16">
      <x:c r="A16" t="str">
        <x:v>SKU00160</x:v>
      </x:c>
      <x:c r="B16" t="str">
        <x:v>Sample Product 00160</x:v>
      </x:c>
      <x:c r="C16" t="str">
        <x:v>Medical Devices</x:v>
      </x:c>
      <x:c r="D16" t="str">
        <x:v>Mobility Aids</x:v>
      </x:c>
      <x:c r="E16" t="str">
        <x:v>Supplier 011</x:v>
      </x:c>
      <x:c r="F16" s="12" t="n">
        <x:v>9.49</x:v>
      </x:c>
      <x:c r="G16" t="n">
        <x:v>43</x:v>
      </x:c>
      <x:c r="H16" s="12" t="n">
        <x:v>408.07</x:v>
      </x:c>
      <x:c r="I16" s="12" t="n">
        <x:v>408.07</x:v>
      </x:c>
      <x:c r="J16" t="str">
        <x:v>Low &lt; 25</x:v>
      </x:c>
    </x:row>
    <x:row r="17">
      <x:c r="A17" t="str">
        <x:v>SKU00161</x:v>
      </x:c>
      <x:c r="B17" t="str">
        <x:v>Sample Product 00161</x:v>
      </x:c>
      <x:c r="C17" t="str">
        <x:v>Medical Devices</x:v>
      </x:c>
      <x:c r="D17" t="str">
        <x:v>Mobility Aids</x:v>
      </x:c>
      <x:c r="E17" t="str">
        <x:v>Supplier 011</x:v>
      </x:c>
      <x:c r="F17" s="12" t="n">
        <x:v>140.57</x:v>
      </x:c>
      <x:c r="G17" t="n">
        <x:v>64</x:v>
      </x:c>
      <x:c r="H17" s="12" t="n">
        <x:v>8996.48</x:v>
      </x:c>
      <x:c r="I17" s="12" t="n">
        <x:v>8996.48</x:v>
      </x:c>
      <x:c r="J17" t="str">
        <x:v>High 100-299</x:v>
      </x:c>
    </x:row>
    <x:row r="18">
      <x:c r="A18" t="str">
        <x:v>SKU00179</x:v>
      </x:c>
      <x:c r="B18" t="str">
        <x:v>Sample Product 00179</x:v>
      </x:c>
      <x:c r="C18" t="str">
        <x:v>Personal Care</x:v>
      </x:c>
      <x:c r="D18" t="str">
        <x:v>Hygiene</x:v>
      </x:c>
      <x:c r="E18" t="str">
        <x:v>Supplier 024</x:v>
      </x:c>
      <x:c r="F18" s="12" t="n">
        <x:v>30.25</x:v>
      </x:c>
      <x:c r="G18" t="n">
        <x:v>40</x:v>
      </x:c>
      <x:c r="H18" s="12" t="n">
        <x:v>1210</x:v>
      </x:c>
      <x:c r="I18" s="12" t="n">
        <x:v>1210</x:v>
      </x:c>
      <x:c r="J18" t="str">
        <x:v>Medium 25-99</x:v>
      </x:c>
    </x:row>
    <x:row r="19">
      <x:c r="A19" t="str">
        <x:v>SKU00191</x:v>
      </x:c>
      <x:c r="B19" t="str">
        <x:v>Sample Product 00191</x:v>
      </x:c>
      <x:c r="C19" t="str">
        <x:v>General Merchandise</x:v>
      </x:c>
      <x:c r="D19" t="str">
        <x:v>Travel Health</x:v>
      </x:c>
      <x:c r="E19" t="str">
        <x:v>Supplier 019</x:v>
      </x:c>
      <x:c r="F19" s="12" t="n">
        <x:v>12.86</x:v>
      </x:c>
      <x:c r="G19" t="n">
        <x:v>28</x:v>
      </x:c>
      <x:c r="H19" s="12" t="n">
        <x:v>360.08</x:v>
      </x:c>
      <x:c r="I19" s="12" t="n">
        <x:v>360.08</x:v>
      </x:c>
      <x:c r="J19" t="str">
        <x:v>Low &lt; 25</x:v>
      </x:c>
    </x:row>
    <x:row r="20">
      <x:c r="A20" t="str">
        <x:v>SKU00195</x:v>
      </x:c>
      <x:c r="B20" t="str">
        <x:v>Sample Product 00195</x:v>
      </x:c>
      <x:c r="C20" t="str">
        <x:v>Personal Care</x:v>
      </x:c>
      <x:c r="D20" t="str">
        <x:v>Oral Care</x:v>
      </x:c>
      <x:c r="E20" t="str">
        <x:v>Supplier 011</x:v>
      </x:c>
      <x:c r="F20" s="12" t="n">
        <x:v>200.41</x:v>
      </x:c>
      <x:c r="G20" t="n">
        <x:v>16</x:v>
      </x:c>
      <x:c r="H20" s="12" t="n">
        <x:v>3206.56</x:v>
      </x:c>
      <x:c r="I20" s="12" t="n">
        <x:v>3206.56</x:v>
      </x:c>
      <x:c r="J20" t="str">
        <x:v>High 100-299</x:v>
      </x:c>
    </x:row>
    <x:row r="21">
      <x:c r="A21" t="str">
        <x:v>SKU00209</x:v>
      </x:c>
      <x:c r="B21" t="str">
        <x:v>Sample Product 00209</x:v>
      </x:c>
      <x:c r="C21" t="str">
        <x:v>OTC &amp; Wellness</x:v>
      </x:c>
      <x:c r="D21" t="str">
        <x:v>Cold &amp; Allergy</x:v>
      </x:c>
      <x:c r="E21" t="str">
        <x:v>Supplier 001</x:v>
      </x:c>
      <x:c r="F21" s="12" t="n">
        <x:v>13.87</x:v>
      </x:c>
      <x:c r="G21" t="n">
        <x:v>5</x:v>
      </x:c>
      <x:c r="H21" s="12" t="n">
        <x:v>69.35</x:v>
      </x:c>
      <x:c r="I21" s="12" t="n">
        <x:v>69.35</x:v>
      </x:c>
      <x:c r="J21" t="str">
        <x:v>Low &lt; 25</x:v>
      </x:c>
    </x:row>
    <x:row r="22">
      <x:c r="A22" t="str">
        <x:v>SKU00234</x:v>
      </x:c>
      <x:c r="B22" t="str">
        <x:v>Sample Product 00234</x:v>
      </x:c>
      <x:c r="C22" t="str">
        <x:v>Medical Devices</x:v>
      </x:c>
      <x:c r="D22" t="str">
        <x:v>First Aid</x:v>
      </x:c>
      <x:c r="E22" t="str">
        <x:v>Supplier 001</x:v>
      </x:c>
      <x:c r="F22" s="12" t="n">
        <x:v>35.61</x:v>
      </x:c>
      <x:c r="G22" t="n">
        <x:v>0</x:v>
      </x:c>
      <x:c r="H22" s="12" t="n">
        <x:v>0</x:v>
      </x:c>
      <x:c r="I22" s="12" t="n">
        <x:v>0</x:v>
      </x:c>
      <x:c r="J22" t="str">
        <x:v>Medium 25-99</x:v>
      </x:c>
    </x:row>
    <x:row r="23">
      <x:c r="A23" t="str">
        <x:v>SKU00255</x:v>
      </x:c>
      <x:c r="B23" t="str">
        <x:v>Sample Product 00255</x:v>
      </x:c>
      <x:c r="C23" t="str">
        <x:v>Personal Care</x:v>
      </x:c>
      <x:c r="D23" t="str">
        <x:v>Oral Care</x:v>
      </x:c>
      <x:c r="E23" t="str">
        <x:v>Supplier 001</x:v>
      </x:c>
      <x:c r="F23" s="12" t="n">
        <x:v>14.72</x:v>
      </x:c>
      <x:c r="G23" t="n">
        <x:v>36</x:v>
      </x:c>
      <x:c r="H23" s="12" t="n">
        <x:v>529.92</x:v>
      </x:c>
      <x:c r="I23" s="12" t="n">
        <x:v>529.92</x:v>
      </x:c>
      <x:c r="J23" t="str">
        <x:v>Low &lt; 25</x:v>
      </x:c>
    </x:row>
    <x:row r="24">
      <x:c r="A24" t="str">
        <x:v>SKU00257</x:v>
      </x:c>
      <x:c r="B24" t="str">
        <x:v>Sample Product 00257</x:v>
      </x:c>
      <x:c r="C24" t="str">
        <x:v>Nutrition</x:v>
      </x:c>
      <x:c r="D24" t="str">
        <x:v>Sports Nutrition</x:v>
      </x:c>
      <x:c r="E24" t="str">
        <x:v>Supplier 029</x:v>
      </x:c>
      <x:c r="F24" s="12" t="n">
        <x:v>88.64</x:v>
      </x:c>
      <x:c r="G24" t="n">
        <x:v>48</x:v>
      </x:c>
      <x:c r="H24" s="12" t="n">
        <x:v>4254.72</x:v>
      </x:c>
      <x:c r="I24" s="12" t="n">
        <x:v>4254.72</x:v>
      </x:c>
      <x:c r="J24" t="str">
        <x:v>Medium 25-99</x:v>
      </x:c>
    </x:row>
    <x:row r="25">
      <x:c r="A25" t="str">
        <x:v>SKU00258</x:v>
      </x:c>
      <x:c r="B25" t="str">
        <x:v>Sample Product 00258</x:v>
      </x:c>
      <x:c r="C25" t="str">
        <x:v>Personal Care</x:v>
      </x:c>
      <x:c r="D25" t="str">
        <x:v>Oral Care</x:v>
      </x:c>
      <x:c r="E25" t="str">
        <x:v>Supplier 003</x:v>
      </x:c>
      <x:c r="F25" s="12" t="n">
        <x:v>69.29</x:v>
      </x:c>
      <x:c r="G25" t="n">
        <x:v>28</x:v>
      </x:c>
      <x:c r="H25" s="12" t="n">
        <x:v>1940.12</x:v>
      </x:c>
      <x:c r="I25" s="12" t="n">
        <x:v>1940.12</x:v>
      </x:c>
      <x:c r="J25" t="str">
        <x:v>Medium 25-99</x:v>
      </x:c>
    </x:row>
    <x:row r="26">
      <x:c r="A26" t="str">
        <x:v>SKU00260</x:v>
      </x:c>
      <x:c r="B26" t="str">
        <x:v>Sample Product 00260</x:v>
      </x:c>
      <x:c r="C26" t="str">
        <x:v>OTC &amp; Wellness</x:v>
      </x:c>
      <x:c r="D26" t="str">
        <x:v>Cold &amp; Allergy</x:v>
      </x:c>
      <x:c r="E26" t="str">
        <x:v>Supplier 009</x:v>
      </x:c>
      <x:c r="F26" s="12" t="n">
        <x:v>80.57</x:v>
      </x:c>
      <x:c r="G26" t="n">
        <x:v>57</x:v>
      </x:c>
      <x:c r="H26" s="12" t="n">
        <x:v>4592.49</x:v>
      </x:c>
      <x:c r="I26" s="12" t="n">
        <x:v>4592.49</x:v>
      </x:c>
      <x:c r="J26" t="str">
        <x:v>Medium 25-99</x:v>
      </x:c>
    </x:row>
    <x:row r="27">
      <x:c r="A27" t="str">
        <x:v>SKU00288</x:v>
      </x:c>
      <x:c r="B27" t="str">
        <x:v>Sample Product 00288</x:v>
      </x:c>
      <x:c r="C27" t="str">
        <x:v>Medical Devices</x:v>
      </x:c>
      <x:c r="D27" t="str">
        <x:v>First Aid</x:v>
      </x:c>
      <x:c r="E27" t="str">
        <x:v>Supplier 030</x:v>
      </x:c>
      <x:c r="F27" s="12" t="n">
        <x:v>90.92</x:v>
      </x:c>
      <x:c r="G27" t="n">
        <x:v>2</x:v>
      </x:c>
      <x:c r="H27" s="12" t="n">
        <x:v>181.84</x:v>
      </x:c>
      <x:c r="I27" s="12" t="n">
        <x:v>181.84</x:v>
      </x:c>
      <x:c r="J27" t="str">
        <x:v>Medium 25-99</x:v>
      </x:c>
    </x:row>
    <x:row r="28">
      <x:c r="A28" t="str">
        <x:v>SKU00292</x:v>
      </x:c>
      <x:c r="B28" t="str">
        <x:v>Sample Product 00292</x:v>
      </x:c>
      <x:c r="C28" t="str">
        <x:v>General Merchandise</x:v>
      </x:c>
      <x:c r="D28" t="str">
        <x:v>Travel Health</x:v>
      </x:c>
      <x:c r="E28" t="str">
        <x:v>Supplier 019</x:v>
      </x:c>
      <x:c r="F28" s="12" t="n">
        <x:v>73.66</x:v>
      </x:c>
      <x:c r="G28" t="n">
        <x:v>33</x:v>
      </x:c>
      <x:c r="H28" s="12" t="n">
        <x:v>2430.78</x:v>
      </x:c>
      <x:c r="I28" s="12" t="n">
        <x:v>2430.78</x:v>
      </x:c>
      <x:c r="J28" t="str">
        <x:v>Medium 25-99</x:v>
      </x:c>
    </x:row>
    <x:row r="29">
      <x:c r="A29" t="str">
        <x:v>SKU00305</x:v>
      </x:c>
      <x:c r="B29" t="str">
        <x:v>Sample Product 00305</x:v>
      </x:c>
      <x:c r="C29" t="str">
        <x:v>General Merchandise</x:v>
      </x:c>
      <x:c r="D29" t="str">
        <x:v>Seasonal Care</x:v>
      </x:c>
      <x:c r="E29" t="str">
        <x:v>Supplier 011</x:v>
      </x:c>
      <x:c r="F29" s="12" t="n">
        <x:v>57.14</x:v>
      </x:c>
      <x:c r="G29" t="n">
        <x:v>1</x:v>
      </x:c>
      <x:c r="H29" s="12" t="n">
        <x:v>57.14</x:v>
      </x:c>
      <x:c r="I29" s="12" t="n">
        <x:v>57.14</x:v>
      </x:c>
      <x:c r="J29" t="str">
        <x:v>Medium 25-99</x:v>
      </x:c>
    </x:row>
    <x:row r="30">
      <x:c r="A30" t="str">
        <x:v>SKU00327</x:v>
      </x:c>
      <x:c r="B30" t="str">
        <x:v>Sample Product 00327</x:v>
      </x:c>
      <x:c r="C30" t="str">
        <x:v>OTC &amp; Wellness</x:v>
      </x:c>
      <x:c r="D30" t="str">
        <x:v>Cold &amp; Allergy</x:v>
      </x:c>
      <x:c r="E30" t="str">
        <x:v>Supplier 013</x:v>
      </x:c>
      <x:c r="F30" s="12" t="n">
        <x:v>229.26</x:v>
      </x:c>
      <x:c r="G30" t="n">
        <x:v>46</x:v>
      </x:c>
      <x:c r="H30" s="12" t="n">
        <x:v>10545.96</x:v>
      </x:c>
      <x:c r="I30" s="12" t="n">
        <x:v>10545.96</x:v>
      </x:c>
      <x:c r="J30" t="str">
        <x:v>High 100-299</x:v>
      </x:c>
    </x:row>
    <x:row r="31">
      <x:c r="A31" t="str">
        <x:v>SKU00330</x:v>
      </x:c>
      <x:c r="B31" t="str">
        <x:v>Sample Product 00330</x:v>
      </x:c>
      <x:c r="C31" t="str">
        <x:v>Nutrition</x:v>
      </x:c>
      <x:c r="D31" t="str">
        <x:v>Adult Nutrition</x:v>
      </x:c>
      <x:c r="E31" t="str">
        <x:v>Supplier 010</x:v>
      </x:c>
      <x:c r="F31" s="12" t="n">
        <x:v>31.42</x:v>
      </x:c>
      <x:c r="G31" t="n">
        <x:v>48</x:v>
      </x:c>
      <x:c r="H31" s="12" t="n">
        <x:v>1508.16</x:v>
      </x:c>
      <x:c r="I31" s="12" t="n">
        <x:v>1508.16</x:v>
      </x:c>
      <x:c r="J31" t="str">
        <x:v>Medium 25-99</x:v>
      </x:c>
    </x:row>
    <x:row r="32">
      <x:c r="A32" t="str">
        <x:v>SKU00331</x:v>
      </x:c>
      <x:c r="B32" t="str">
        <x:v>Sample Product 00331</x:v>
      </x:c>
      <x:c r="C32" t="str">
        <x:v>Nutrition</x:v>
      </x:c>
      <x:c r="D32" t="str">
        <x:v>Hydration</x:v>
      </x:c>
      <x:c r="E32" t="str">
        <x:v>Supplier 026</x:v>
      </x:c>
      <x:c r="F32" s="12" t="n">
        <x:v>212.68</x:v>
      </x:c>
      <x:c r="G32" t="n">
        <x:v>20</x:v>
      </x:c>
      <x:c r="H32" s="12" t="n">
        <x:v>4253.6</x:v>
      </x:c>
      <x:c r="I32" s="12" t="n">
        <x:v>4253.6</x:v>
      </x:c>
      <x:c r="J32" t="str">
        <x:v>High 100-299</x:v>
      </x:c>
    </x:row>
    <x:row r="33">
      <x:c r="A33" t="str">
        <x:v>SKU00344</x:v>
      </x:c>
      <x:c r="B33" t="str">
        <x:v>Sample Product 00344</x:v>
      </x:c>
      <x:c r="C33" t="str">
        <x:v>OTC &amp; Wellness</x:v>
      </x:c>
      <x:c r="D33" t="str">
        <x:v>Digestive Care</x:v>
      </x:c>
      <x:c r="E33" t="str">
        <x:v>Supplier 019</x:v>
      </x:c>
      <x:c r="F33" s="12" t="n">
        <x:v>49.91</x:v>
      </x:c>
      <x:c r="G33" t="n">
        <x:v>51</x:v>
      </x:c>
      <x:c r="H33" s="12" t="n">
        <x:v>2545.41</x:v>
      </x:c>
      <x:c r="I33" s="12" t="n">
        <x:v>2545.41</x:v>
      </x:c>
      <x:c r="J33" t="str">
        <x:v>Medium 25-99</x:v>
      </x:c>
    </x:row>
    <x:row r="34">
      <x:c r="A34" t="str">
        <x:v>SKU00353</x:v>
      </x:c>
      <x:c r="B34" t="str">
        <x:v>Sample Product 00353</x:v>
      </x:c>
      <x:c r="C34" t="str">
        <x:v>Personal Care</x:v>
      </x:c>
      <x:c r="D34" t="str">
        <x:v>Hair Care</x:v>
      </x:c>
      <x:c r="E34" t="str">
        <x:v>Supplier 002</x:v>
      </x:c>
      <x:c r="F34" s="12" t="n">
        <x:v>186.63</x:v>
      </x:c>
      <x:c r="G34" t="n">
        <x:v>44</x:v>
      </x:c>
      <x:c r="H34" s="12" t="n">
        <x:v>8211.72</x:v>
      </x:c>
      <x:c r="I34" s="12" t="n">
        <x:v>8211.72</x:v>
      </x:c>
      <x:c r="J34" t="str">
        <x:v>High 100-299</x:v>
      </x:c>
    </x:row>
    <x:row r="35">
      <x:c r="A35" t="str">
        <x:v>SKU00367</x:v>
      </x:c>
      <x:c r="B35" t="str">
        <x:v>Sample Product 00367</x:v>
      </x:c>
      <x:c r="C35" t="str">
        <x:v>OTC &amp; Wellness</x:v>
      </x:c>
      <x:c r="D35" t="str">
        <x:v>Digestive Care</x:v>
      </x:c>
      <x:c r="E35" t="str">
        <x:v>Supplier 015</x:v>
      </x:c>
      <x:c r="F35" s="12" t="n">
        <x:v>11.19</x:v>
      </x:c>
      <x:c r="G35" t="n">
        <x:v>4</x:v>
      </x:c>
      <x:c r="H35" s="12" t="n">
        <x:v>44.76</x:v>
      </x:c>
      <x:c r="I35" s="12" t="n">
        <x:v>44.76</x:v>
      </x:c>
      <x:c r="J35" t="str">
        <x:v>Low &lt; 25</x:v>
      </x:c>
    </x:row>
    <x:row r="36">
      <x:c r="A36" t="str">
        <x:v>SKU00385</x:v>
      </x:c>
      <x:c r="B36" t="str">
        <x:v>Sample Product 00385</x:v>
      </x:c>
      <x:c r="C36" t="str">
        <x:v>General Merchandise</x:v>
      </x:c>
      <x:c r="D36" t="str">
        <x:v>Baby Essentials</x:v>
      </x:c>
      <x:c r="E36" t="str">
        <x:v>Supplier 020</x:v>
      </x:c>
      <x:c r="F36" s="12" t="n">
        <x:v>53.89</x:v>
      </x:c>
      <x:c r="G36" t="n">
        <x:v>63</x:v>
      </x:c>
      <x:c r="H36" s="12" t="n">
        <x:v>3395.07</x:v>
      </x:c>
      <x:c r="I36" s="12" t="n">
        <x:v>3395.07</x:v>
      </x:c>
      <x:c r="J36" t="str">
        <x:v>Medium 25-99</x:v>
      </x:c>
    </x:row>
    <x:row r="37">
      <x:c r="A37" t="str">
        <x:v>SKU00387</x:v>
      </x:c>
      <x:c r="B37" t="str">
        <x:v>Sample Product 00387</x:v>
      </x:c>
      <x:c r="C37" t="str">
        <x:v>OTC &amp; Wellness</x:v>
      </x:c>
      <x:c r="D37" t="str">
        <x:v>Digestive Care</x:v>
      </x:c>
      <x:c r="E37" t="str">
        <x:v>Supplier 013</x:v>
      </x:c>
      <x:c r="F37" s="12" t="n">
        <x:v>47.16</x:v>
      </x:c>
      <x:c r="G37" t="n">
        <x:v>55</x:v>
      </x:c>
      <x:c r="H37" s="12" t="n">
        <x:v>2593.8</x:v>
      </x:c>
      <x:c r="I37" s="12" t="n">
        <x:v>2593.8</x:v>
      </x:c>
      <x:c r="J37" t="str">
        <x:v>Medium 25-99</x:v>
      </x:c>
    </x:row>
    <x:row r="38">
      <x:c r="A38" t="str">
        <x:v>SKU00390</x:v>
      </x:c>
      <x:c r="B38" t="str">
        <x:v>Sample Product 00390</x:v>
      </x:c>
      <x:c r="C38" t="str">
        <x:v>Nutrition</x:v>
      </x:c>
      <x:c r="D38" t="str">
        <x:v>Sports Nutrition</x:v>
      </x:c>
      <x:c r="E38" t="str">
        <x:v>Supplier 009</x:v>
      </x:c>
      <x:c r="F38" s="12" t="n">
        <x:v>58.84</x:v>
      </x:c>
      <x:c r="G38" t="n">
        <x:v>53</x:v>
      </x:c>
      <x:c r="H38" s="12" t="n">
        <x:v>3118.52</x:v>
      </x:c>
      <x:c r="I38" s="12" t="n">
        <x:v>3118.52</x:v>
      </x:c>
      <x:c r="J38" t="str">
        <x:v>Medium 25-99</x:v>
      </x:c>
    </x:row>
    <x:row r="39">
      <x:c r="A39" t="str">
        <x:v>SKU00396</x:v>
      </x:c>
      <x:c r="B39" t="str">
        <x:v>Sample Product 00396</x:v>
      </x:c>
      <x:c r="C39" t="str">
        <x:v>OTC &amp; Wellness</x:v>
      </x:c>
      <x:c r="D39" t="str">
        <x:v>Digestive Care</x:v>
      </x:c>
      <x:c r="E39" t="str">
        <x:v>Supplier 016</x:v>
      </x:c>
      <x:c r="F39" s="12" t="n">
        <x:v>6.26</x:v>
      </x:c>
      <x:c r="G39" t="n">
        <x:v>15</x:v>
      </x:c>
      <x:c r="H39" s="12" t="n">
        <x:v>93.9</x:v>
      </x:c>
      <x:c r="I39" s="12" t="n">
        <x:v>93.9</x:v>
      </x:c>
      <x:c r="J39" t="str">
        <x:v>Low &lt; 25</x:v>
      </x:c>
    </x:row>
    <x:row r="40">
      <x:c r="A40" t="str">
        <x:v>SKU00397</x:v>
      </x:c>
      <x:c r="B40" t="str">
        <x:v>Sample Product 00397</x:v>
      </x:c>
      <x:c r="C40" t="str">
        <x:v>OTC &amp; Wellness</x:v>
      </x:c>
      <x:c r="D40" t="str">
        <x:v>Digestive Care</x:v>
      </x:c>
      <x:c r="E40" t="str">
        <x:v>Supplier 008</x:v>
      </x:c>
      <x:c r="F40" s="12" t="n">
        <x:v>348.24</x:v>
      </x:c>
      <x:c r="G40" t="n">
        <x:v>64</x:v>
      </x:c>
      <x:c r="H40" s="12" t="n">
        <x:v>22287.36</x:v>
      </x:c>
      <x:c r="I40" s="12" t="n">
        <x:v>22287.36</x:v>
      </x:c>
      <x:c r="J40" t="str">
        <x:v>Premium 300+</x:v>
      </x:c>
    </x:row>
    <x:row r="41">
      <x:c r="A41" t="str">
        <x:v>SKU00398</x:v>
      </x:c>
      <x:c r="B41" t="str">
        <x:v>Sample Product 00398</x:v>
      </x:c>
      <x:c r="C41" t="str">
        <x:v>General Merchandise</x:v>
      </x:c>
      <x:c r="D41" t="str">
        <x:v>Seasonal Care</x:v>
      </x:c>
      <x:c r="E41" t="str">
        <x:v>Supplier 018</x:v>
      </x:c>
      <x:c r="F41" s="12" t="n">
        <x:v>93.81</x:v>
      </x:c>
      <x:c r="G41" t="n">
        <x:v>24</x:v>
      </x:c>
      <x:c r="H41" s="12" t="n">
        <x:v>2251.44</x:v>
      </x:c>
      <x:c r="I41" s="12" t="n">
        <x:v>2251.44</x:v>
      </x:c>
      <x:c r="J41" t="str">
        <x:v>Medium 25-99</x:v>
      </x:c>
    </x:row>
    <x:row r="42">
      <x:c r="A42" t="str">
        <x:v>SKU00417</x:v>
      </x:c>
      <x:c r="B42" t="str">
        <x:v>Sample Product 00417</x:v>
      </x:c>
      <x:c r="C42" t="str">
        <x:v>General Merchandise</x:v>
      </x:c>
      <x:c r="D42" t="str">
        <x:v>Seasonal Care</x:v>
      </x:c>
      <x:c r="E42" t="str">
        <x:v>Supplier 030</x:v>
      </x:c>
      <x:c r="F42" s="12" t="n">
        <x:v>72.37</x:v>
      </x:c>
      <x:c r="G42" t="n">
        <x:v>34</x:v>
      </x:c>
      <x:c r="H42" s="12" t="n">
        <x:v>2460.58</x:v>
      </x:c>
      <x:c r="I42" s="12" t="n">
        <x:v>2460.58</x:v>
      </x:c>
      <x:c r="J42" t="str">
        <x:v>Medium 25-99</x:v>
      </x:c>
    </x:row>
    <x:row r="43">
      <x:c r="A43" t="str">
        <x:v>SKU00418</x:v>
      </x:c>
      <x:c r="B43" t="str">
        <x:v>Sample Product 00418</x:v>
      </x:c>
      <x:c r="C43" t="str">
        <x:v>General Merchandise</x:v>
      </x:c>
      <x:c r="D43" t="str">
        <x:v>Travel Health</x:v>
      </x:c>
      <x:c r="E43" t="str">
        <x:v>Supplier 019</x:v>
      </x:c>
      <x:c r="F43" s="12" t="n">
        <x:v>105.7</x:v>
      </x:c>
      <x:c r="G43" t="n">
        <x:v>47</x:v>
      </x:c>
      <x:c r="H43" s="12" t="n">
        <x:v>4967.9</x:v>
      </x:c>
      <x:c r="I43" s="12" t="n">
        <x:v>4967.9</x:v>
      </x:c>
      <x:c r="J43" t="str">
        <x:v>High 100-299</x:v>
      </x:c>
    </x:row>
    <x:row r="44">
      <x:c r="A44" t="str">
        <x:v>SKU00423</x:v>
      </x:c>
      <x:c r="B44" t="str">
        <x:v>Sample Product 00423</x:v>
      </x:c>
      <x:c r="C44" t="str">
        <x:v>Medical Devices</x:v>
      </x:c>
      <x:c r="D44" t="str">
        <x:v>Mobility Aids</x:v>
      </x:c>
      <x:c r="E44" t="str">
        <x:v>Supplier 011</x:v>
      </x:c>
      <x:c r="F44" s="12" t="n">
        <x:v>155.86</x:v>
      </x:c>
      <x:c r="G44" t="n">
        <x:v>39</x:v>
      </x:c>
      <x:c r="H44" s="12" t="n">
        <x:v>6078.54</x:v>
      </x:c>
      <x:c r="I44" s="12" t="n">
        <x:v>6078.54</x:v>
      </x:c>
      <x:c r="J44" t="str">
        <x:v>High 100-299</x:v>
      </x:c>
    </x:row>
    <x:row r="45">
      <x:c r="A45" t="str">
        <x:v>SKU00434</x:v>
      </x:c>
      <x:c r="B45" t="str">
        <x:v>Sample Product 00434</x:v>
      </x:c>
      <x:c r="C45" t="str">
        <x:v>Medical Devices</x:v>
      </x:c>
      <x:c r="D45" t="str">
        <x:v>Mobility Aids</x:v>
      </x:c>
      <x:c r="E45" t="str">
        <x:v>Supplier 011</x:v>
      </x:c>
      <x:c r="F45" s="12" t="n">
        <x:v>98.37</x:v>
      </x:c>
      <x:c r="G45" t="n">
        <x:v>16</x:v>
      </x:c>
      <x:c r="H45" s="12" t="n">
        <x:v>1573.92</x:v>
      </x:c>
      <x:c r="I45" s="12" t="n">
        <x:v>1573.92</x:v>
      </x:c>
      <x:c r="J45" t="str">
        <x:v>Medium 25-99</x:v>
      </x:c>
    </x:row>
    <x:row r="46">
      <x:c r="A46" t="str">
        <x:v>SKU00439</x:v>
      </x:c>
      <x:c r="B46" t="str">
        <x:v>Sample Product 00439</x:v>
      </x:c>
      <x:c r="C46" t="str">
        <x:v>General Merchandise</x:v>
      </x:c>
      <x:c r="D46" t="str">
        <x:v>Seasonal Care</x:v>
      </x:c>
      <x:c r="E46" t="str">
        <x:v>Supplier 020</x:v>
      </x:c>
      <x:c r="F46" s="12" t="n">
        <x:v>76</x:v>
      </x:c>
      <x:c r="G46" t="n">
        <x:v>42</x:v>
      </x:c>
      <x:c r="H46" s="12" t="n">
        <x:v>3192</x:v>
      </x:c>
      <x:c r="I46" s="12" t="n">
        <x:v>3192</x:v>
      </x:c>
      <x:c r="J46" t="str">
        <x:v>Medium 25-99</x:v>
      </x:c>
    </x:row>
    <x:row r="47">
      <x:c r="A47" t="str">
        <x:v>SKU00444</x:v>
      </x:c>
      <x:c r="B47" t="str">
        <x:v>Sample Product 00444</x:v>
      </x:c>
      <x:c r="C47" t="str">
        <x:v>OTC &amp; Wellness</x:v>
      </x:c>
      <x:c r="D47" t="str">
        <x:v>Vitamins</x:v>
      </x:c>
      <x:c r="E47" t="str">
        <x:v>Supplier 023</x:v>
      </x:c>
      <x:c r="F47" s="12" t="n">
        <x:v>56.91</x:v>
      </x:c>
      <x:c r="G47" t="n">
        <x:v>21</x:v>
      </x:c>
      <x:c r="H47" s="12" t="n">
        <x:v>1195.11</x:v>
      </x:c>
      <x:c r="I47" s="12" t="n">
        <x:v>1195.11</x:v>
      </x:c>
      <x:c r="J47" t="str">
        <x:v>Medium 25-99</x:v>
      </x:c>
    </x:row>
    <x:row r="48">
      <x:c r="A48" t="str">
        <x:v>SKU00492</x:v>
      </x:c>
      <x:c r="B48" t="str">
        <x:v>Sample Product 00492</x:v>
      </x:c>
      <x:c r="C48" t="str">
        <x:v>Personal Care</x:v>
      </x:c>
      <x:c r="D48" t="str">
        <x:v>Skin Care</x:v>
      </x:c>
      <x:c r="E48" t="str">
        <x:v>Supplier 027</x:v>
      </x:c>
      <x:c r="F48" s="12" t="n">
        <x:v>19.31</x:v>
      </x:c>
      <x:c r="G48" t="n">
        <x:v>26</x:v>
      </x:c>
      <x:c r="H48" s="12" t="n">
        <x:v>502.06</x:v>
      </x:c>
      <x:c r="I48" s="12" t="n">
        <x:v>502.06</x:v>
      </x:c>
      <x:c r="J48" t="str">
        <x:v>Low &lt; 25</x:v>
      </x:c>
    </x:row>
    <x:row r="49">
      <x:c r="A49" t="str">
        <x:v>SKU00494</x:v>
      </x:c>
      <x:c r="B49" t="str">
        <x:v>Sample Product 00494</x:v>
      </x:c>
      <x:c r="C49" t="str">
        <x:v>OTC &amp; Wellness</x:v>
      </x:c>
      <x:c r="D49" t="str">
        <x:v>Digestive Care</x:v>
      </x:c>
      <x:c r="E49" t="str">
        <x:v>Supplier 015</x:v>
      </x:c>
      <x:c r="F49" s="12" t="n">
        <x:v>8.19</x:v>
      </x:c>
      <x:c r="G49" t="n">
        <x:v>8</x:v>
      </x:c>
      <x:c r="H49" s="12" t="n">
        <x:v>65.52</x:v>
      </x:c>
      <x:c r="I49" s="12" t="n">
        <x:v>65.52</x:v>
      </x:c>
      <x:c r="J49" t="str">
        <x:v>Low &lt; 25</x:v>
      </x:c>
    </x:row>
    <x:row r="50">
      <x:c r="A50" t="str">
        <x:v>SKU00500</x:v>
      </x:c>
      <x:c r="B50" t="str">
        <x:v>Sample Product 00500</x:v>
      </x:c>
      <x:c r="C50" t="str">
        <x:v>Medical Devices</x:v>
      </x:c>
      <x:c r="D50" t="str">
        <x:v>Home Diagnostics</x:v>
      </x:c>
      <x:c r="E50" t="str">
        <x:v>Supplier 003</x:v>
      </x:c>
      <x:c r="F50" s="12" t="n">
        <x:v>178.46</x:v>
      </x:c>
      <x:c r="G50" t="n">
        <x:v>40</x:v>
      </x:c>
      <x:c r="H50" s="12" t="n">
        <x:v>7138.4</x:v>
      </x:c>
      <x:c r="I50" s="12" t="n">
        <x:v>7138.4</x:v>
      </x:c>
      <x:c r="J50" t="str">
        <x:v>High 100-299</x:v>
      </x:c>
    </x:row>
    <x:row r="51">
      <x:c r="A51" t="str">
        <x:v>SKU00505</x:v>
      </x:c>
      <x:c r="B51" t="str">
        <x:v>Sample Product 00505</x:v>
      </x:c>
      <x:c r="C51" t="str">
        <x:v>OTC &amp; Wellness</x:v>
      </x:c>
      <x:c r="D51" t="str">
        <x:v>Vitamins</x:v>
      </x:c>
      <x:c r="E51" t="str">
        <x:v>Supplier 006</x:v>
      </x:c>
      <x:c r="F51" s="12" t="n">
        <x:v>6.43</x:v>
      </x:c>
      <x:c r="G51" t="n">
        <x:v>38</x:v>
      </x:c>
      <x:c r="H51" s="12" t="n">
        <x:v>244.34</x:v>
      </x:c>
      <x:c r="I51" s="12" t="n">
        <x:v>244.34</x:v>
      </x:c>
      <x:c r="J51" t="str">
        <x:v>Low &lt; 25</x:v>
      </x:c>
    </x:row>
    <x:row r="52">
      <x:c r="A52" t="str">
        <x:v>SKU00508</x:v>
      </x:c>
      <x:c r="B52" t="str">
        <x:v>Sample Product 00508</x:v>
      </x:c>
      <x:c r="C52" t="str">
        <x:v>Nutrition</x:v>
      </x:c>
      <x:c r="D52" t="str">
        <x:v>Hydration</x:v>
      </x:c>
      <x:c r="E52" t="str">
        <x:v>Supplier 022</x:v>
      </x:c>
      <x:c r="F52" s="12" t="n">
        <x:v>16.62</x:v>
      </x:c>
      <x:c r="G52" t="n">
        <x:v>63</x:v>
      </x:c>
      <x:c r="H52" s="12" t="n">
        <x:v>1047.06</x:v>
      </x:c>
      <x:c r="I52" s="12" t="n">
        <x:v>1047.06</x:v>
      </x:c>
      <x:c r="J52" t="str">
        <x:v>Low &lt; 25</x:v>
      </x:c>
    </x:row>
    <x:row r="53">
      <x:c r="A53" t="str">
        <x:v>SKU00524</x:v>
      </x:c>
      <x:c r="B53" t="str">
        <x:v>Sample Product 00524</x:v>
      </x:c>
      <x:c r="C53" t="str">
        <x:v>Nutrition</x:v>
      </x:c>
      <x:c r="D53" t="str">
        <x:v>Sports Nutrition</x:v>
      </x:c>
      <x:c r="E53" t="str">
        <x:v>Supplier 007</x:v>
      </x:c>
      <x:c r="F53" s="12" t="n">
        <x:v>166.68</x:v>
      </x:c>
      <x:c r="G53" t="n">
        <x:v>13</x:v>
      </x:c>
      <x:c r="H53" s="12" t="n">
        <x:v>2166.84</x:v>
      </x:c>
      <x:c r="I53" s="12" t="n">
        <x:v>2166.84</x:v>
      </x:c>
      <x:c r="J53" t="str">
        <x:v>High 100-299</x:v>
      </x:c>
    </x:row>
    <x:row r="54">
      <x:c r="A54" t="str">
        <x:v>SKU00530</x:v>
      </x:c>
      <x:c r="B54" t="str">
        <x:v>Sample Product 00530</x:v>
      </x:c>
      <x:c r="C54" t="str">
        <x:v>Personal Care</x:v>
      </x:c>
      <x:c r="D54" t="str">
        <x:v>Oral Care</x:v>
      </x:c>
      <x:c r="E54" t="str">
        <x:v>Supplier 021</x:v>
      </x:c>
      <x:c r="F54" s="12" t="n">
        <x:v>16.1</x:v>
      </x:c>
      <x:c r="G54" t="n">
        <x:v>17</x:v>
      </x:c>
      <x:c r="H54" s="12" t="n">
        <x:v>273.7</x:v>
      </x:c>
      <x:c r="I54" s="12" t="n">
        <x:v>273.7</x:v>
      </x:c>
      <x:c r="J54" t="str">
        <x:v>Low &lt; 25</x:v>
      </x:c>
    </x:row>
    <x:row r="55">
      <x:c r="A55" t="str">
        <x:v>SKU00533</x:v>
      </x:c>
      <x:c r="B55" t="str">
        <x:v>Sample Product 00533</x:v>
      </x:c>
      <x:c r="C55" t="str">
        <x:v>OTC &amp; Wellness</x:v>
      </x:c>
      <x:c r="D55" t="str">
        <x:v>Digestive Care</x:v>
      </x:c>
      <x:c r="E55" t="str">
        <x:v>Supplier 006</x:v>
      </x:c>
      <x:c r="F55" s="12" t="n">
        <x:v>11.15</x:v>
      </x:c>
      <x:c r="G55" t="n">
        <x:v>23</x:v>
      </x:c>
      <x:c r="H55" s="12" t="n">
        <x:v>256.45</x:v>
      </x:c>
      <x:c r="I55" s="12" t="n">
        <x:v>256.45</x:v>
      </x:c>
      <x:c r="J55" t="str">
        <x:v>Low &lt; 25</x:v>
      </x:c>
    </x:row>
    <x:row r="56">
      <x:c r="A56" t="str">
        <x:v>SKU00539</x:v>
      </x:c>
      <x:c r="B56" t="str">
        <x:v>Sample Product 00539</x:v>
      </x:c>
      <x:c r="C56" t="str">
        <x:v>General Merchandise</x:v>
      </x:c>
      <x:c r="D56" t="str">
        <x:v>Baby Essentials</x:v>
      </x:c>
      <x:c r="E56" t="str">
        <x:v>Supplier 005</x:v>
      </x:c>
      <x:c r="F56" s="12" t="n">
        <x:v>4.22</x:v>
      </x:c>
      <x:c r="G56" t="n">
        <x:v>10</x:v>
      </x:c>
      <x:c r="H56" s="12" t="n">
        <x:v>42.2</x:v>
      </x:c>
      <x:c r="I56" s="12" t="n">
        <x:v>42.2</x:v>
      </x:c>
      <x:c r="J56" t="str">
        <x:v>Low &lt; 25</x:v>
      </x:c>
    </x:row>
    <x:row r="57">
      <x:c r="A57" t="str">
        <x:v>SKU00580</x:v>
      </x:c>
      <x:c r="B57" t="str">
        <x:v>Sample Product 00580</x:v>
      </x:c>
      <x:c r="C57" t="str">
        <x:v>Personal Care</x:v>
      </x:c>
      <x:c r="D57" t="str">
        <x:v>Hygiene</x:v>
      </x:c>
      <x:c r="E57" t="str">
        <x:v>Supplier 003</x:v>
      </x:c>
      <x:c r="F57" s="12" t="n">
        <x:v>295.01</x:v>
      </x:c>
      <x:c r="G57" t="n">
        <x:v>34</x:v>
      </x:c>
      <x:c r="H57" s="12" t="n">
        <x:v>10030.34</x:v>
      </x:c>
      <x:c r="I57" s="12" t="n">
        <x:v>10030.34</x:v>
      </x:c>
      <x:c r="J57" t="str">
        <x:v>High 100-299</x:v>
      </x:c>
    </x:row>
    <x:row r="58">
      <x:c r="A58" t="str">
        <x:v>SKU00587</x:v>
      </x:c>
      <x:c r="B58" t="str">
        <x:v>Sample Product 00587</x:v>
      </x:c>
      <x:c r="C58" t="str">
        <x:v>Personal Care</x:v>
      </x:c>
      <x:c r="D58" t="str">
        <x:v>Hygiene</x:v>
      </x:c>
      <x:c r="E58" t="str">
        <x:v>Supplier 024</x:v>
      </x:c>
      <x:c r="F58" s="12" t="n">
        <x:v>176.29</x:v>
      </x:c>
      <x:c r="G58" t="n">
        <x:v>50</x:v>
      </x:c>
      <x:c r="H58" s="12" t="n">
        <x:v>8814.5</x:v>
      </x:c>
      <x:c r="I58" s="12" t="n">
        <x:v>8814.5</x:v>
      </x:c>
      <x:c r="J58" t="str">
        <x:v>High 100-299</x:v>
      </x:c>
    </x:row>
    <x:row r="59">
      <x:c r="A59" t="str">
        <x:v>SKU00592</x:v>
      </x:c>
      <x:c r="B59" t="str">
        <x:v>Sample Product 00592</x:v>
      </x:c>
      <x:c r="C59" t="str">
        <x:v>Personal Care</x:v>
      </x:c>
      <x:c r="D59" t="str">
        <x:v>Skin Care</x:v>
      </x:c>
      <x:c r="E59" t="str">
        <x:v>Supplier 028</x:v>
      </x:c>
      <x:c r="F59" s="12" t="n">
        <x:v>67.16</x:v>
      </x:c>
      <x:c r="G59" t="n">
        <x:v>36</x:v>
      </x:c>
      <x:c r="H59" s="12" t="n">
        <x:v>2417.76</x:v>
      </x:c>
      <x:c r="I59" s="12" t="n">
        <x:v>2417.76</x:v>
      </x:c>
      <x:c r="J59" t="str">
        <x:v>Medium 25-99</x:v>
      </x:c>
    </x:row>
    <x:row r="60">
      <x:c r="A60" t="str">
        <x:v>SKU00612</x:v>
      </x:c>
      <x:c r="B60" t="str">
        <x:v>Sample Product 00612</x:v>
      </x:c>
      <x:c r="C60" t="str">
        <x:v>Personal Care</x:v>
      </x:c>
      <x:c r="D60" t="str">
        <x:v>Oral Care</x:v>
      </x:c>
      <x:c r="E60" t="str">
        <x:v>Supplier 028</x:v>
      </x:c>
      <x:c r="F60" s="12" t="n">
        <x:v>291.39</x:v>
      </x:c>
      <x:c r="G60" t="n">
        <x:v>13</x:v>
      </x:c>
      <x:c r="H60" s="12" t="n">
        <x:v>3788.07</x:v>
      </x:c>
      <x:c r="I60" s="12" t="n">
        <x:v>3788.07</x:v>
      </x:c>
      <x:c r="J60" t="str">
        <x:v>High 100-299</x:v>
      </x:c>
    </x:row>
    <x:row r="61">
      <x:c r="A61" t="str">
        <x:v>SKU00627</x:v>
      </x:c>
      <x:c r="B61" t="str">
        <x:v>Sample Product 00627</x:v>
      </x:c>
      <x:c r="C61" t="str">
        <x:v>General Merchandise</x:v>
      </x:c>
      <x:c r="D61" t="str">
        <x:v>Accessories</x:v>
      </x:c>
      <x:c r="E61" t="str">
        <x:v>Supplier 017</x:v>
      </x:c>
      <x:c r="F61" s="12" t="n">
        <x:v>76.35</x:v>
      </x:c>
      <x:c r="G61" t="n">
        <x:v>9</x:v>
      </x:c>
      <x:c r="H61" s="12" t="n">
        <x:v>687.15</x:v>
      </x:c>
      <x:c r="I61" s="12" t="n">
        <x:v>687.15</x:v>
      </x:c>
      <x:c r="J61" t="str">
        <x:v>Medium 25-99</x:v>
      </x:c>
    </x:row>
    <x:row r="62">
      <x:c r="A62" t="str">
        <x:v>SKU00637</x:v>
      </x:c>
      <x:c r="B62" t="str">
        <x:v>Sample Product 00637</x:v>
      </x:c>
      <x:c r="C62" t="str">
        <x:v>Medical Devices</x:v>
      </x:c>
      <x:c r="D62" t="str">
        <x:v>Monitoring Supplies</x:v>
      </x:c>
      <x:c r="E62" t="str">
        <x:v>Supplier 011</x:v>
      </x:c>
      <x:c r="F62" s="12" t="n">
        <x:v>379.32</x:v>
      </x:c>
      <x:c r="G62" t="n">
        <x:v>45</x:v>
      </x:c>
      <x:c r="H62" s="12" t="n">
        <x:v>17069.4</x:v>
      </x:c>
      <x:c r="I62" s="12" t="n">
        <x:v>17069.4</x:v>
      </x:c>
      <x:c r="J62" t="str">
        <x:v>Premium 300+</x:v>
      </x:c>
    </x:row>
    <x:row r="63">
      <x:c r="A63" t="str">
        <x:v>SKU00651</x:v>
      </x:c>
      <x:c r="B63" t="str">
        <x:v>Sample Product 00651</x:v>
      </x:c>
      <x:c r="C63" t="str">
        <x:v>Nutrition</x:v>
      </x:c>
      <x:c r="D63" t="str">
        <x:v>Hydration</x:v>
      </x:c>
      <x:c r="E63" t="str">
        <x:v>Supplier 029</x:v>
      </x:c>
      <x:c r="F63" s="12" t="n">
        <x:v>297.99</x:v>
      </x:c>
      <x:c r="G63" t="n">
        <x:v>61</x:v>
      </x:c>
      <x:c r="H63" s="12" t="n">
        <x:v>18177.39</x:v>
      </x:c>
      <x:c r="I63" s="12" t="n">
        <x:v>18177.39</x:v>
      </x:c>
      <x:c r="J63" t="str">
        <x:v>High 100-299</x:v>
      </x:c>
    </x:row>
    <x:row r="64">
      <x:c r="A64" t="str">
        <x:v>SKU00666</x:v>
      </x:c>
      <x:c r="B64" t="str">
        <x:v>Sample Product 00666</x:v>
      </x:c>
      <x:c r="C64" t="str">
        <x:v>Personal Care</x:v>
      </x:c>
      <x:c r="D64" t="str">
        <x:v>Skin Care</x:v>
      </x:c>
      <x:c r="E64" t="str">
        <x:v>Supplier 001</x:v>
      </x:c>
      <x:c r="F64" s="12" t="n">
        <x:v>179.54</x:v>
      </x:c>
      <x:c r="G64" t="n">
        <x:v>21</x:v>
      </x:c>
      <x:c r="H64" s="12" t="n">
        <x:v>3770.34</x:v>
      </x:c>
      <x:c r="I64" s="12" t="n">
        <x:v>3770.34</x:v>
      </x:c>
      <x:c r="J64" t="str">
        <x:v>High 100-299</x:v>
      </x:c>
    </x:row>
    <x:row r="65">
      <x:c r="A65" t="str">
        <x:v>SKU00671</x:v>
      </x:c>
      <x:c r="B65" t="str">
        <x:v>Sample Product 00671</x:v>
      </x:c>
      <x:c r="C65" t="str">
        <x:v>OTC &amp; Wellness</x:v>
      </x:c>
      <x:c r="D65" t="str">
        <x:v>Pain Relief</x:v>
      </x:c>
      <x:c r="E65" t="str">
        <x:v>Supplier 019</x:v>
      </x:c>
      <x:c r="F65" s="12" t="n">
        <x:v>97.35</x:v>
      </x:c>
      <x:c r="G65" t="n">
        <x:v>3</x:v>
      </x:c>
      <x:c r="H65" s="12" t="n">
        <x:v>292.05</x:v>
      </x:c>
      <x:c r="I65" s="12" t="n">
        <x:v>292.05</x:v>
      </x:c>
      <x:c r="J65" t="str">
        <x:v>Medium 25-99</x:v>
      </x:c>
    </x:row>
    <x:row r="66">
      <x:c r="A66" t="str">
        <x:v>SKU00680</x:v>
      </x:c>
      <x:c r="B66" t="str">
        <x:v>Sample Product 00680</x:v>
      </x:c>
      <x:c r="C66" t="str">
        <x:v>Medical Devices</x:v>
      </x:c>
      <x:c r="D66" t="str">
        <x:v>Home Diagnostics</x:v>
      </x:c>
      <x:c r="E66" t="str">
        <x:v>Supplier 003</x:v>
      </x:c>
      <x:c r="F66" s="12" t="n">
        <x:v>296.15</x:v>
      </x:c>
      <x:c r="G66" t="n">
        <x:v>25</x:v>
      </x:c>
      <x:c r="H66" s="12" t="n">
        <x:v>7403.75</x:v>
      </x:c>
      <x:c r="I66" s="12" t="n">
        <x:v>7403.75</x:v>
      </x:c>
      <x:c r="J66" t="str">
        <x:v>High 100-299</x:v>
      </x:c>
    </x:row>
    <x:row r="67">
      <x:c r="A67" t="str">
        <x:v>SKU00687</x:v>
      </x:c>
      <x:c r="B67" t="str">
        <x:v>Sample Product 00687</x:v>
      </x:c>
      <x:c r="C67" t="str">
        <x:v>OTC &amp; Wellness</x:v>
      </x:c>
      <x:c r="D67" t="str">
        <x:v>Digestive Care</x:v>
      </x:c>
      <x:c r="E67" t="str">
        <x:v>Supplier 015</x:v>
      </x:c>
      <x:c r="F67" s="12" t="n">
        <x:v>53.02</x:v>
      </x:c>
      <x:c r="G67" t="n">
        <x:v>53</x:v>
      </x:c>
      <x:c r="H67" s="12" t="n">
        <x:v>2810.06</x:v>
      </x:c>
      <x:c r="I67" s="12" t="n">
        <x:v>2810.06</x:v>
      </x:c>
      <x:c r="J67" t="str">
        <x:v>Medium 25-99</x:v>
      </x:c>
    </x:row>
    <x:row r="68">
      <x:c r="A68" t="str">
        <x:v>SKU00703</x:v>
      </x:c>
      <x:c r="B68" t="str">
        <x:v>Sample Product 00703</x:v>
      </x:c>
      <x:c r="C68" t="str">
        <x:v>General Merchandise</x:v>
      </x:c>
      <x:c r="D68" t="str">
        <x:v>Baby Essentials</x:v>
      </x:c>
      <x:c r="E68" t="str">
        <x:v>Supplier 020</x:v>
      </x:c>
      <x:c r="F68" s="12" t="n">
        <x:v>99.29</x:v>
      </x:c>
      <x:c r="G68" t="n">
        <x:v>23</x:v>
      </x:c>
      <x:c r="H68" s="12" t="n">
        <x:v>2283.67</x:v>
      </x:c>
      <x:c r="I68" s="12" t="n">
        <x:v>2283.67</x:v>
      </x:c>
      <x:c r="J68" t="str">
        <x:v>Medium 25-99</x:v>
      </x:c>
    </x:row>
    <x:row r="69">
      <x:c r="A69" t="str">
        <x:v>SKU00714</x:v>
      </x:c>
      <x:c r="B69" t="str">
        <x:v>Sample Product 00714</x:v>
      </x:c>
      <x:c r="C69" t="str">
        <x:v>Personal Care</x:v>
      </x:c>
      <x:c r="D69" t="str">
        <x:v>Skin Care</x:v>
      </x:c>
      <x:c r="E69" t="str">
        <x:v>Supplier 009</x:v>
      </x:c>
      <x:c r="F69" s="12" t="n">
        <x:v>19.58</x:v>
      </x:c>
      <x:c r="G69" t="n">
        <x:v>45</x:v>
      </x:c>
      <x:c r="H69" s="12" t="n">
        <x:v>881.1</x:v>
      </x:c>
      <x:c r="I69" s="12" t="n">
        <x:v>881.1</x:v>
      </x:c>
      <x:c r="J69" t="str">
        <x:v>Low &lt; 25</x:v>
      </x:c>
    </x:row>
    <x:row r="70">
      <x:c r="A70" t="str">
        <x:v>SKU00725</x:v>
      </x:c>
      <x:c r="B70" t="str">
        <x:v>Sample Product 00725</x:v>
      </x:c>
      <x:c r="C70" t="str">
        <x:v>Medical Devices</x:v>
      </x:c>
      <x:c r="D70" t="str">
        <x:v>Monitoring Supplies</x:v>
      </x:c>
      <x:c r="E70" t="str">
        <x:v>Supplier 001</x:v>
      </x:c>
      <x:c r="F70" s="12" t="n">
        <x:v>60.97</x:v>
      </x:c>
      <x:c r="G70" t="n">
        <x:v>40</x:v>
      </x:c>
      <x:c r="H70" s="12" t="n">
        <x:v>2438.8</x:v>
      </x:c>
      <x:c r="I70" s="12" t="n">
        <x:v>2438.8</x:v>
      </x:c>
      <x:c r="J70" t="str">
        <x:v>Medium 25-99</x:v>
      </x:c>
    </x:row>
    <x:row r="71">
      <x:c r="A71" t="str">
        <x:v>SKU00734</x:v>
      </x:c>
      <x:c r="B71" t="str">
        <x:v>Sample Product 00734</x:v>
      </x:c>
      <x:c r="C71" t="str">
        <x:v>Personal Care</x:v>
      </x:c>
      <x:c r="D71" t="str">
        <x:v>Skin Care</x:v>
      </x:c>
      <x:c r="E71" t="str">
        <x:v>Supplier 011</x:v>
      </x:c>
      <x:c r="F71" s="12" t="n">
        <x:v>10.95</x:v>
      </x:c>
      <x:c r="G71" t="n">
        <x:v>3</x:v>
      </x:c>
      <x:c r="H71" s="12" t="n">
        <x:v>32.85</x:v>
      </x:c>
      <x:c r="I71" s="12" t="n">
        <x:v>32.85</x:v>
      </x:c>
      <x:c r="J71" t="str">
        <x:v>Low &lt; 25</x:v>
      </x:c>
    </x:row>
    <x:row r="72">
      <x:c r="A72" t="str">
        <x:v>SKU00742</x:v>
      </x:c>
      <x:c r="B72" t="str">
        <x:v>Sample Product 00742</x:v>
      </x:c>
      <x:c r="C72" t="str">
        <x:v>Personal Care</x:v>
      </x:c>
      <x:c r="D72" t="str">
        <x:v>Hair Care</x:v>
      </x:c>
      <x:c r="E72" t="str">
        <x:v>Supplier 019</x:v>
      </x:c>
      <x:c r="F72" s="12" t="n">
        <x:v>70.8</x:v>
      </x:c>
      <x:c r="G72" t="n">
        <x:v>15</x:v>
      </x:c>
      <x:c r="H72" s="12" t="n">
        <x:v>1062</x:v>
      </x:c>
      <x:c r="I72" s="12" t="n">
        <x:v>1062</x:v>
      </x:c>
      <x:c r="J72" t="str">
        <x:v>Medium 25-99</x:v>
      </x:c>
    </x:row>
    <x:row r="73">
      <x:c r="A73" t="str">
        <x:v>SKU00755</x:v>
      </x:c>
      <x:c r="B73" t="str">
        <x:v>Sample Product 00755</x:v>
      </x:c>
      <x:c r="C73" t="str">
        <x:v>Personal Care</x:v>
      </x:c>
      <x:c r="D73" t="str">
        <x:v>Skin Care</x:v>
      </x:c>
      <x:c r="E73" t="str">
        <x:v>Supplier 025</x:v>
      </x:c>
      <x:c r="F73" s="12" t="n">
        <x:v>7.59</x:v>
      </x:c>
      <x:c r="G73" t="n">
        <x:v>6</x:v>
      </x:c>
      <x:c r="H73" s="12" t="n">
        <x:v>45.54</x:v>
      </x:c>
      <x:c r="I73" s="12" t="n">
        <x:v>45.54</x:v>
      </x:c>
      <x:c r="J73" t="str">
        <x:v>Low &lt; 25</x:v>
      </x:c>
    </x:row>
    <x:row r="74">
      <x:c r="A74" t="str">
        <x:v>SKU00779</x:v>
      </x:c>
      <x:c r="B74" t="str">
        <x:v>Sample Product 00779</x:v>
      </x:c>
      <x:c r="C74" t="str">
        <x:v>Medical Devices</x:v>
      </x:c>
      <x:c r="D74" t="str">
        <x:v>Mobility Aids</x:v>
      </x:c>
      <x:c r="E74" t="str">
        <x:v>Supplier 011</x:v>
      </x:c>
      <x:c r="F74" s="12" t="n">
        <x:v>39.04</x:v>
      </x:c>
      <x:c r="G74" t="n">
        <x:v>14</x:v>
      </x:c>
      <x:c r="H74" s="12" t="n">
        <x:v>546.56</x:v>
      </x:c>
      <x:c r="I74" s="12" t="n">
        <x:v>546.56</x:v>
      </x:c>
      <x:c r="J74" t="str">
        <x:v>Medium 25-99</x:v>
      </x:c>
    </x:row>
    <x:row r="75">
      <x:c r="A75" t="str">
        <x:v>SKU00793</x:v>
      </x:c>
      <x:c r="B75" t="str">
        <x:v>Sample Product 00793</x:v>
      </x:c>
      <x:c r="C75" t="str">
        <x:v>OTC &amp; Wellness</x:v>
      </x:c>
      <x:c r="D75" t="str">
        <x:v>Digestive Care</x:v>
      </x:c>
      <x:c r="E75" t="str">
        <x:v>Supplier 015</x:v>
      </x:c>
      <x:c r="F75" s="12" t="n">
        <x:v>53.94</x:v>
      </x:c>
      <x:c r="G75" t="n">
        <x:v>62</x:v>
      </x:c>
      <x:c r="H75" s="12" t="n">
        <x:v>3344.28</x:v>
      </x:c>
      <x:c r="I75" s="12" t="n">
        <x:v>3344.28</x:v>
      </x:c>
      <x:c r="J75" t="str">
        <x:v>Medium 25-99</x:v>
      </x:c>
    </x:row>
    <x:row r="76">
      <x:c r="A76" t="str">
        <x:v>SKU00800</x:v>
      </x:c>
      <x:c r="B76" t="str">
        <x:v>Sample Product 00800</x:v>
      </x:c>
      <x:c r="C76" t="str">
        <x:v>Nutrition</x:v>
      </x:c>
      <x:c r="D76" t="str">
        <x:v>Adult Nutrition</x:v>
      </x:c>
      <x:c r="E76" t="str">
        <x:v>Supplier 027</x:v>
      </x:c>
      <x:c r="F76" s="12" t="n">
        <x:v>274.01</x:v>
      </x:c>
      <x:c r="G76" t="n">
        <x:v>3</x:v>
      </x:c>
      <x:c r="H76" s="12" t="n">
        <x:v>822.03</x:v>
      </x:c>
      <x:c r="I76" s="12" t="n">
        <x:v>822.03</x:v>
      </x:c>
      <x:c r="J76" t="str">
        <x:v>High 100-299</x:v>
      </x:c>
    </x:row>
    <x:row r="77">
      <x:c r="A77" t="str">
        <x:v>SKU00801</x:v>
      </x:c>
      <x:c r="B77" t="str">
        <x:v>Sample Product 00801</x:v>
      </x:c>
      <x:c r="C77" t="str">
        <x:v>Medical Devices</x:v>
      </x:c>
      <x:c r="D77" t="str">
        <x:v>Monitoring Supplies</x:v>
      </x:c>
      <x:c r="E77" t="str">
        <x:v>Supplier 010</x:v>
      </x:c>
      <x:c r="F77" s="12" t="n">
        <x:v>139.43</x:v>
      </x:c>
      <x:c r="G77" t="n">
        <x:v>61</x:v>
      </x:c>
      <x:c r="H77" s="12" t="n">
        <x:v>8505.23</x:v>
      </x:c>
      <x:c r="I77" s="12" t="n">
        <x:v>8505.23</x:v>
      </x:c>
      <x:c r="J77" t="str">
        <x:v>High 100-299</x:v>
      </x:c>
    </x:row>
    <x:row r="78">
      <x:c r="A78" t="str">
        <x:v>SKU00802</x:v>
      </x:c>
      <x:c r="B78" t="str">
        <x:v>Sample Product 00802</x:v>
      </x:c>
      <x:c r="C78" t="str">
        <x:v>Medical Devices</x:v>
      </x:c>
      <x:c r="D78" t="str">
        <x:v>Monitoring Supplies</x:v>
      </x:c>
      <x:c r="E78" t="str">
        <x:v>Supplier 025</x:v>
      </x:c>
      <x:c r="F78" s="12" t="n">
        <x:v>225.63</x:v>
      </x:c>
      <x:c r="G78" t="n">
        <x:v>10</x:v>
      </x:c>
      <x:c r="H78" s="12" t="n">
        <x:v>2256.3</x:v>
      </x:c>
      <x:c r="I78" s="12" t="n">
        <x:v>2256.3</x:v>
      </x:c>
      <x:c r="J78" t="str">
        <x:v>High 100-299</x:v>
      </x:c>
    </x:row>
    <x:row r="79">
      <x:c r="A79" t="str">
        <x:v>SKU00809</x:v>
      </x:c>
      <x:c r="B79" t="str">
        <x:v>Sample Product 00809</x:v>
      </x:c>
      <x:c r="C79" t="str">
        <x:v>Nutrition</x:v>
      </x:c>
      <x:c r="D79" t="str">
        <x:v>Healthy Snacks</x:v>
      </x:c>
      <x:c r="E79" t="str">
        <x:v>Supplier 002</x:v>
      </x:c>
      <x:c r="F79" s="12" t="n">
        <x:v>53.85</x:v>
      </x:c>
      <x:c r="G79" t="n">
        <x:v>37</x:v>
      </x:c>
      <x:c r="H79" s="12" t="n">
        <x:v>1992.45</x:v>
      </x:c>
      <x:c r="I79" s="12" t="n">
        <x:v>1992.45</x:v>
      </x:c>
      <x:c r="J79" t="str">
        <x:v>Medium 25-99</x:v>
      </x:c>
    </x:row>
    <x:row r="80">
      <x:c r="A80" t="str">
        <x:v>SKU00837</x:v>
      </x:c>
      <x:c r="B80" t="str">
        <x:v>Sample Product 00837</x:v>
      </x:c>
      <x:c r="C80" t="str">
        <x:v>General Merchandise</x:v>
      </x:c>
      <x:c r="D80" t="str">
        <x:v>Accessories</x:v>
      </x:c>
      <x:c r="E80" t="str">
        <x:v>Supplier 023</x:v>
      </x:c>
      <x:c r="F80" s="12" t="n">
        <x:v>14</x:v>
      </x:c>
      <x:c r="G80" t="n">
        <x:v>62</x:v>
      </x:c>
      <x:c r="H80" s="12" t="n">
        <x:v>868</x:v>
      </x:c>
      <x:c r="I80" s="12" t="n">
        <x:v>868</x:v>
      </x:c>
      <x:c r="J80" t="str">
        <x:v>Low &lt; 25</x:v>
      </x:c>
    </x:row>
    <x:row r="81">
      <x:c r="A81" t="str">
        <x:v>SKU00841</x:v>
      </x:c>
      <x:c r="B81" t="str">
        <x:v>Sample Product 00841</x:v>
      </x:c>
      <x:c r="C81" t="str">
        <x:v>OTC &amp; Wellness</x:v>
      </x:c>
      <x:c r="D81" t="str">
        <x:v>Digestive Care</x:v>
      </x:c>
      <x:c r="E81" t="str">
        <x:v>Supplier 027</x:v>
      </x:c>
      <x:c r="F81" s="12" t="n">
        <x:v>232.82</x:v>
      </x:c>
      <x:c r="G81" t="n">
        <x:v>45</x:v>
      </x:c>
      <x:c r="H81" s="12" t="n">
        <x:v>10476.9</x:v>
      </x:c>
      <x:c r="I81" s="12" t="n">
        <x:v>10476.9</x:v>
      </x:c>
      <x:c r="J81" t="str">
        <x:v>High 100-299</x:v>
      </x:c>
    </x:row>
    <x:row r="82">
      <x:c r="A82" t="str">
        <x:v>SKU00850</x:v>
      </x:c>
      <x:c r="B82" t="str">
        <x:v>Sample Product 00850</x:v>
      </x:c>
      <x:c r="C82" t="str">
        <x:v>General Merchandise</x:v>
      </x:c>
      <x:c r="D82" t="str">
        <x:v>Seasonal Care</x:v>
      </x:c>
      <x:c r="E82" t="str">
        <x:v>Supplier 019</x:v>
      </x:c>
      <x:c r="F82" s="12" t="n">
        <x:v>164.6</x:v>
      </x:c>
      <x:c r="G82" t="n">
        <x:v>1</x:v>
      </x:c>
      <x:c r="H82" s="12" t="n">
        <x:v>164.6</x:v>
      </x:c>
      <x:c r="I82" s="12" t="n">
        <x:v>164.6</x:v>
      </x:c>
      <x:c r="J82" t="str">
        <x:v>High 100-299</x:v>
      </x:c>
    </x:row>
    <x:row r="83">
      <x:c r="A83" t="str">
        <x:v>SKU00873</x:v>
      </x:c>
      <x:c r="B83" t="str">
        <x:v>Sample Product 00873</x:v>
      </x:c>
      <x:c r="C83" t="str">
        <x:v>OTC &amp; Wellness</x:v>
      </x:c>
      <x:c r="D83" t="str">
        <x:v>Vitamins</x:v>
      </x:c>
      <x:c r="E83" t="str">
        <x:v>Supplier 010</x:v>
      </x:c>
      <x:c r="F83" s="12" t="n">
        <x:v>216.04</x:v>
      </x:c>
      <x:c r="G83" t="n">
        <x:v>23</x:v>
      </x:c>
      <x:c r="H83" s="12" t="n">
        <x:v>4968.92</x:v>
      </x:c>
      <x:c r="I83" s="12" t="n">
        <x:v>4968.92</x:v>
      </x:c>
      <x:c r="J83" t="str">
        <x:v>High 100-299</x:v>
      </x:c>
    </x:row>
    <x:row r="84">
      <x:c r="A84" t="str">
        <x:v>SKU00878</x:v>
      </x:c>
      <x:c r="B84" t="str">
        <x:v>Sample Product 00878</x:v>
      </x:c>
      <x:c r="C84" t="str">
        <x:v>General Merchandise</x:v>
      </x:c>
      <x:c r="D84" t="str">
        <x:v>Accessories</x:v>
      </x:c>
      <x:c r="E84" t="str">
        <x:v>Supplier 007</x:v>
      </x:c>
      <x:c r="F84" s="12" t="n">
        <x:v>48.89</x:v>
      </x:c>
      <x:c r="G84" t="n">
        <x:v>36</x:v>
      </x:c>
      <x:c r="H84" s="12" t="n">
        <x:v>1760.04</x:v>
      </x:c>
      <x:c r="I84" s="12" t="n">
        <x:v>1760.04</x:v>
      </x:c>
      <x:c r="J84" t="str">
        <x:v>Medium 25-99</x:v>
      </x:c>
    </x:row>
    <x:row r="85">
      <x:c r="A85" t="str">
        <x:v>SKU00889</x:v>
      </x:c>
      <x:c r="B85" t="str">
        <x:v>Sample Product 00889</x:v>
      </x:c>
      <x:c r="C85" t="str">
        <x:v>General Merchandise</x:v>
      </x:c>
      <x:c r="D85" t="str">
        <x:v>Baby Essentials</x:v>
      </x:c>
      <x:c r="E85" t="str">
        <x:v>Supplier 017</x:v>
      </x:c>
      <x:c r="F85" s="12" t="n">
        <x:v>13.94</x:v>
      </x:c>
      <x:c r="G85" t="n">
        <x:v>11</x:v>
      </x:c>
      <x:c r="H85" s="12" t="n">
        <x:v>153.34</x:v>
      </x:c>
      <x:c r="I85" s="12" t="n">
        <x:v>153.34</x:v>
      </x:c>
      <x:c r="J85" t="str">
        <x:v>Low &lt; 25</x:v>
      </x:c>
    </x:row>
    <x:row r="86">
      <x:c r="A86" t="str">
        <x:v>SKU00894</x:v>
      </x:c>
      <x:c r="B86" t="str">
        <x:v>Sample Product 00894</x:v>
      </x:c>
      <x:c r="C86" t="str">
        <x:v>Nutrition</x:v>
      </x:c>
      <x:c r="D86" t="str">
        <x:v>Adult Nutrition</x:v>
      </x:c>
      <x:c r="E86" t="str">
        <x:v>Supplier 008</x:v>
      </x:c>
      <x:c r="F86" s="12" t="n">
        <x:v>84.62</x:v>
      </x:c>
      <x:c r="G86" t="n">
        <x:v>16</x:v>
      </x:c>
      <x:c r="H86" s="12" t="n">
        <x:v>1353.92</x:v>
      </x:c>
      <x:c r="I86" s="12" t="n">
        <x:v>1353.92</x:v>
      </x:c>
      <x:c r="J86" t="str">
        <x:v>Medium 25-99</x:v>
      </x:c>
    </x:row>
    <x:row r="87">
      <x:c r="A87" t="str">
        <x:v>SKU00910</x:v>
      </x:c>
      <x:c r="B87" t="str">
        <x:v>Sample Product 00910</x:v>
      </x:c>
      <x:c r="C87" t="str">
        <x:v>General Merchandise</x:v>
      </x:c>
      <x:c r="D87" t="str">
        <x:v>Seasonal Care</x:v>
      </x:c>
      <x:c r="E87" t="str">
        <x:v>Supplier 027</x:v>
      </x:c>
      <x:c r="F87" s="12" t="n">
        <x:v>21.07</x:v>
      </x:c>
      <x:c r="G87" t="n">
        <x:v>0</x:v>
      </x:c>
      <x:c r="H87" s="12" t="n">
        <x:v>0</x:v>
      </x:c>
      <x:c r="I87" s="12" t="n">
        <x:v>0</x:v>
      </x:c>
      <x:c r="J87" t="str">
        <x:v>Low &lt; 25</x:v>
      </x:c>
    </x:row>
    <x:row r="88">
      <x:c r="A88" t="str">
        <x:v>SKU00918</x:v>
      </x:c>
      <x:c r="B88" t="str">
        <x:v>Sample Product 00918</x:v>
      </x:c>
      <x:c r="C88" t="str">
        <x:v>Nutrition</x:v>
      </x:c>
      <x:c r="D88" t="str">
        <x:v>Adult Nutrition</x:v>
      </x:c>
      <x:c r="E88" t="str">
        <x:v>Supplier 013</x:v>
      </x:c>
      <x:c r="F88" s="12" t="n">
        <x:v>282.94</x:v>
      </x:c>
      <x:c r="G88" t="n">
        <x:v>56</x:v>
      </x:c>
      <x:c r="H88" s="12" t="n">
        <x:v>15844.64</x:v>
      </x:c>
      <x:c r="I88" s="12" t="n">
        <x:v>15844.64</x:v>
      </x:c>
      <x:c r="J88" t="str">
        <x:v>High 100-299</x:v>
      </x:c>
    </x:row>
    <x:row r="89">
      <x:c r="A89" t="str">
        <x:v>SKU00969</x:v>
      </x:c>
      <x:c r="B89" t="str">
        <x:v>Sample Product 00969</x:v>
      </x:c>
      <x:c r="C89" t="str">
        <x:v>OTC &amp; Wellness</x:v>
      </x:c>
      <x:c r="D89" t="str">
        <x:v>Digestive Care</x:v>
      </x:c>
      <x:c r="E89" t="str">
        <x:v>Supplier 017</x:v>
      </x:c>
      <x:c r="F89" s="12" t="n">
        <x:v>8.05</x:v>
      </x:c>
      <x:c r="G89" t="n">
        <x:v>29</x:v>
      </x:c>
      <x:c r="H89" s="12" t="n">
        <x:v>233.45</x:v>
      </x:c>
      <x:c r="I89" s="12" t="n">
        <x:v>233.45</x:v>
      </x:c>
      <x:c r="J89" t="str">
        <x:v>Low &lt; 25</x:v>
      </x:c>
    </x:row>
    <x:row r="90">
      <x:c r="A90" t="str">
        <x:v>SKU00984</x:v>
      </x:c>
      <x:c r="B90" t="str">
        <x:v>Sample Product 00984</x:v>
      </x:c>
      <x:c r="C90" t="str">
        <x:v>Nutrition</x:v>
      </x:c>
      <x:c r="D90" t="str">
        <x:v>Healthy Snacks</x:v>
      </x:c>
      <x:c r="E90" t="str">
        <x:v>Supplier 017</x:v>
      </x:c>
      <x:c r="F90" s="12" t="n">
        <x:v>21.71</x:v>
      </x:c>
      <x:c r="G90" t="n">
        <x:v>61</x:v>
      </x:c>
      <x:c r="H90" s="12" t="n">
        <x:v>1324.31</x:v>
      </x:c>
      <x:c r="I90" s="12" t="n">
        <x:v>1324.31</x:v>
      </x:c>
      <x:c r="J90" t="str">
        <x:v>Low &lt; 25</x:v>
      </x:c>
    </x:row>
    <x:row r="91">
      <x:c r="A91" t="str">
        <x:v>SKU01002</x:v>
      </x:c>
      <x:c r="B91" t="str">
        <x:v>Sample Product 01002</x:v>
      </x:c>
      <x:c r="C91" t="str">
        <x:v>Personal Care</x:v>
      </x:c>
      <x:c r="D91" t="str">
        <x:v>Hygiene</x:v>
      </x:c>
      <x:c r="E91" t="str">
        <x:v>Supplier 002</x:v>
      </x:c>
      <x:c r="F91" s="12" t="n">
        <x:v>43.89</x:v>
      </x:c>
      <x:c r="G91" t="n">
        <x:v>42</x:v>
      </x:c>
      <x:c r="H91" s="12" t="n">
        <x:v>1843.38</x:v>
      </x:c>
      <x:c r="I91" s="12" t="n">
        <x:v>1843.38</x:v>
      </x:c>
      <x:c r="J91" t="str">
        <x:v>Medium 25-99</x:v>
      </x:c>
    </x:row>
    <x:row r="92">
      <x:c r="A92" t="str">
        <x:v>SKU01012</x:v>
      </x:c>
      <x:c r="B92" t="str">
        <x:v>Sample Product 01012</x:v>
      </x:c>
      <x:c r="C92" t="str">
        <x:v>General Merchandise</x:v>
      </x:c>
      <x:c r="D92" t="str">
        <x:v>Seasonal Care</x:v>
      </x:c>
      <x:c r="E92" t="str">
        <x:v>Supplier 021</x:v>
      </x:c>
      <x:c r="F92" s="12" t="n">
        <x:v>21.97</x:v>
      </x:c>
      <x:c r="G92" t="n">
        <x:v>61</x:v>
      </x:c>
      <x:c r="H92" s="12" t="n">
        <x:v>1340.17</x:v>
      </x:c>
      <x:c r="I92" s="12" t="n">
        <x:v>1340.17</x:v>
      </x:c>
      <x:c r="J92" t="str">
        <x:v>Low &lt; 25</x:v>
      </x:c>
    </x:row>
    <x:row r="93">
      <x:c r="A93" t="str">
        <x:v>SKU01017</x:v>
      </x:c>
      <x:c r="B93" t="str">
        <x:v>Sample Product 01017</x:v>
      </x:c>
      <x:c r="C93" t="str">
        <x:v>Personal Care</x:v>
      </x:c>
      <x:c r="D93" t="str">
        <x:v>Oral Care</x:v>
      </x:c>
      <x:c r="E93" t="str">
        <x:v>Supplier 023</x:v>
      </x:c>
      <x:c r="F93" s="12" t="n">
        <x:v>188.95</x:v>
      </x:c>
      <x:c r="G93" t="n">
        <x:v>5</x:v>
      </x:c>
      <x:c r="H93" s="12" t="n">
        <x:v>944.75</x:v>
      </x:c>
      <x:c r="I93" s="12" t="n">
        <x:v>944.75</x:v>
      </x:c>
      <x:c r="J93" t="str">
        <x:v>High 100-299</x:v>
      </x:c>
    </x:row>
    <x:row r="94">
      <x:c r="A94" t="str">
        <x:v>SKU01019</x:v>
      </x:c>
      <x:c r="B94" t="str">
        <x:v>Sample Product 01019</x:v>
      </x:c>
      <x:c r="C94" t="str">
        <x:v>OTC &amp; Wellness</x:v>
      </x:c>
      <x:c r="D94" t="str">
        <x:v>Digestive Care</x:v>
      </x:c>
      <x:c r="E94" t="str">
        <x:v>Supplier 019</x:v>
      </x:c>
      <x:c r="F94" s="12" t="n">
        <x:v>75.91</x:v>
      </x:c>
      <x:c r="G94" t="n">
        <x:v>21</x:v>
      </x:c>
      <x:c r="H94" s="12" t="n">
        <x:v>1594.11</x:v>
      </x:c>
      <x:c r="I94" s="12" t="n">
        <x:v>1594.11</x:v>
      </x:c>
      <x:c r="J94" t="str">
        <x:v>Medium 25-99</x:v>
      </x:c>
    </x:row>
    <x:row r="95">
      <x:c r="A95" t="str">
        <x:v>SKU01022</x:v>
      </x:c>
      <x:c r="B95" t="str">
        <x:v>Sample Product 01022</x:v>
      </x:c>
      <x:c r="C95" t="str">
        <x:v>Medical Devices</x:v>
      </x:c>
      <x:c r="D95" t="str">
        <x:v>Monitoring Supplies</x:v>
      </x:c>
      <x:c r="E95" t="str">
        <x:v>Supplier 002</x:v>
      </x:c>
      <x:c r="F95" s="12" t="n">
        <x:v>7.38</x:v>
      </x:c>
      <x:c r="G95" t="n">
        <x:v>27</x:v>
      </x:c>
      <x:c r="H95" s="12" t="n">
        <x:v>199.26</x:v>
      </x:c>
      <x:c r="I95" s="12" t="n">
        <x:v>199.26</x:v>
      </x:c>
      <x:c r="J95" t="str">
        <x:v>Low &lt; 25</x:v>
      </x:c>
    </x:row>
    <x:row r="96">
      <x:c r="A96" t="str">
        <x:v>SKU01025</x:v>
      </x:c>
      <x:c r="B96" t="str">
        <x:v>Sample Product 01025</x:v>
      </x:c>
      <x:c r="C96" t="str">
        <x:v>Personal Care</x:v>
      </x:c>
      <x:c r="D96" t="str">
        <x:v>Oral Care</x:v>
      </x:c>
      <x:c r="E96" t="str">
        <x:v>Supplier 006</x:v>
      </x:c>
      <x:c r="F96" s="12" t="n">
        <x:v>116.11</x:v>
      </x:c>
      <x:c r="G96" t="n">
        <x:v>41</x:v>
      </x:c>
      <x:c r="H96" s="12" t="n">
        <x:v>4760.51</x:v>
      </x:c>
      <x:c r="I96" s="12" t="n">
        <x:v>4760.51</x:v>
      </x:c>
      <x:c r="J96" t="str">
        <x:v>High 100-299</x:v>
      </x:c>
    </x:row>
    <x:row r="97">
      <x:c r="A97" t="str">
        <x:v>SKU01054</x:v>
      </x:c>
      <x:c r="B97" t="str">
        <x:v>Sample Product 01054</x:v>
      </x:c>
      <x:c r="C97" t="str">
        <x:v>Nutrition</x:v>
      </x:c>
      <x:c r="D97" t="str">
        <x:v>Hydration</x:v>
      </x:c>
      <x:c r="E97" t="str">
        <x:v>Supplier 023</x:v>
      </x:c>
      <x:c r="F97" s="12" t="n">
        <x:v>54.71</x:v>
      </x:c>
      <x:c r="G97" t="n">
        <x:v>1</x:v>
      </x:c>
      <x:c r="H97" s="12" t="n">
        <x:v>54.71</x:v>
      </x:c>
      <x:c r="I97" s="12" t="n">
        <x:v>54.71</x:v>
      </x:c>
      <x:c r="J97" t="str">
        <x:v>Medium 25-99</x:v>
      </x:c>
    </x:row>
    <x:row r="98">
      <x:c r="A98" t="str">
        <x:v>SKU01070</x:v>
      </x:c>
      <x:c r="B98" t="str">
        <x:v>Sample Product 01070</x:v>
      </x:c>
      <x:c r="C98" t="str">
        <x:v>OTC &amp; Wellness</x:v>
      </x:c>
      <x:c r="D98" t="str">
        <x:v>Vitamins</x:v>
      </x:c>
      <x:c r="E98" t="str">
        <x:v>Supplier 030</x:v>
      </x:c>
      <x:c r="F98" s="12" t="n">
        <x:v>126.11</x:v>
      </x:c>
      <x:c r="G98" t="n">
        <x:v>16</x:v>
      </x:c>
      <x:c r="H98" s="12" t="n">
        <x:v>2017.76</x:v>
      </x:c>
      <x:c r="I98" s="12" t="n">
        <x:v>2017.76</x:v>
      </x:c>
      <x:c r="J98" t="str">
        <x:v>High 100-299</x:v>
      </x:c>
    </x:row>
    <x:row r="99">
      <x:c r="A99" t="str">
        <x:v>SKU01107</x:v>
      </x:c>
      <x:c r="B99" t="str">
        <x:v>Sample Product 01107</x:v>
      </x:c>
      <x:c r="C99" t="str">
        <x:v>Nutrition</x:v>
      </x:c>
      <x:c r="D99" t="str">
        <x:v>Hydration</x:v>
      </x:c>
      <x:c r="E99" t="str">
        <x:v>Supplier 004</x:v>
      </x:c>
      <x:c r="F99" s="12" t="n">
        <x:v>277.16</x:v>
      </x:c>
      <x:c r="G99" t="n">
        <x:v>18</x:v>
      </x:c>
      <x:c r="H99" s="12" t="n">
        <x:v>4988.88</x:v>
      </x:c>
      <x:c r="I99" s="12" t="n">
        <x:v>4988.88</x:v>
      </x:c>
      <x:c r="J99" t="str">
        <x:v>High 100-299</x:v>
      </x:c>
    </x:row>
    <x:row r="100">
      <x:c r="A100" t="str">
        <x:v>SKU01136</x:v>
      </x:c>
      <x:c r="B100" t="str">
        <x:v>Sample Product 01136</x:v>
      </x:c>
      <x:c r="C100" t="str">
        <x:v>Medical Devices</x:v>
      </x:c>
      <x:c r="D100" t="str">
        <x:v>Monitoring Supplies</x:v>
      </x:c>
      <x:c r="E100" t="str">
        <x:v>Supplier 001</x:v>
      </x:c>
      <x:c r="F100" s="12" t="n">
        <x:v>4.65</x:v>
      </x:c>
      <x:c r="G100" t="n">
        <x:v>48</x:v>
      </x:c>
      <x:c r="H100" s="12" t="n">
        <x:v>223.2</x:v>
      </x:c>
      <x:c r="I100" s="12" t="n">
        <x:v>223.2</x:v>
      </x:c>
      <x:c r="J100" t="str">
        <x:v>Low &lt; 25</x:v>
      </x:c>
    </x:row>
    <x:row r="101">
      <x:c r="A101" t="str">
        <x:v>SKU01140</x:v>
      </x:c>
      <x:c r="B101" t="str">
        <x:v>Sample Product 01140</x:v>
      </x:c>
      <x:c r="C101" t="str">
        <x:v>Personal Care</x:v>
      </x:c>
      <x:c r="D101" t="str">
        <x:v>Hair Care</x:v>
      </x:c>
      <x:c r="E101" t="str">
        <x:v>Supplier 007</x:v>
      </x:c>
      <x:c r="F101" s="12" t="n">
        <x:v>27.38</x:v>
      </x:c>
      <x:c r="G101" t="n">
        <x:v>64</x:v>
      </x:c>
      <x:c r="H101" s="12" t="n">
        <x:v>1752.32</x:v>
      </x:c>
      <x:c r="I101" s="12" t="n">
        <x:v>1752.32</x:v>
      </x:c>
      <x:c r="J101" t="str">
        <x:v>Medium 25-99</x:v>
      </x:c>
    </x:row>
    <x:row r="102">
      <x:c r="A102" t="str">
        <x:v>SKU01162</x:v>
      </x:c>
      <x:c r="B102" t="str">
        <x:v>Sample Product 01162</x:v>
      </x:c>
      <x:c r="C102" t="str">
        <x:v>Personal Care</x:v>
      </x:c>
      <x:c r="D102" t="str">
        <x:v>Oral Care</x:v>
      </x:c>
      <x:c r="E102" t="str">
        <x:v>Supplier 011</x:v>
      </x:c>
      <x:c r="F102" s="12" t="n">
        <x:v>44.28</x:v>
      </x:c>
      <x:c r="G102" t="n">
        <x:v>44</x:v>
      </x:c>
      <x:c r="H102" s="12" t="n">
        <x:v>1948.32</x:v>
      </x:c>
      <x:c r="I102" s="12" t="n">
        <x:v>1948.32</x:v>
      </x:c>
      <x:c r="J102" t="str">
        <x:v>Medium 25-99</x:v>
      </x:c>
    </x:row>
    <x:row r="103">
      <x:c r="A103" t="str">
        <x:v>SKU01170</x:v>
      </x:c>
      <x:c r="B103" t="str">
        <x:v>Sample Product 01170</x:v>
      </x:c>
      <x:c r="C103" t="str">
        <x:v>General Merchandise</x:v>
      </x:c>
      <x:c r="D103" t="str">
        <x:v>Baby Essentials</x:v>
      </x:c>
      <x:c r="E103" t="str">
        <x:v>Supplier 026</x:v>
      </x:c>
      <x:c r="F103" s="12" t="n">
        <x:v>188.21</x:v>
      </x:c>
      <x:c r="G103" t="n">
        <x:v>20</x:v>
      </x:c>
      <x:c r="H103" s="12" t="n">
        <x:v>3764.2</x:v>
      </x:c>
      <x:c r="I103" s="12" t="n">
        <x:v>3764.2</x:v>
      </x:c>
      <x:c r="J103" t="str">
        <x:v>High 100-299</x:v>
      </x:c>
    </x:row>
    <x:row r="104">
      <x:c r="A104" t="str">
        <x:v>SKU01176</x:v>
      </x:c>
      <x:c r="B104" t="str">
        <x:v>Sample Product 01176</x:v>
      </x:c>
      <x:c r="C104" t="str">
        <x:v>OTC &amp; Wellness</x:v>
      </x:c>
      <x:c r="D104" t="str">
        <x:v>Pain Relief</x:v>
      </x:c>
      <x:c r="E104" t="str">
        <x:v>Supplier 025</x:v>
      </x:c>
      <x:c r="F104" s="12" t="n">
        <x:v>99.73</x:v>
      </x:c>
      <x:c r="G104" t="n">
        <x:v>53</x:v>
      </x:c>
      <x:c r="H104" s="12" t="n">
        <x:v>5285.69</x:v>
      </x:c>
      <x:c r="I104" s="12" t="n">
        <x:v>5285.69</x:v>
      </x:c>
      <x:c r="J104" t="str">
        <x:v>Medium 25-99</x:v>
      </x:c>
    </x:row>
    <x:row r="105">
      <x:c r="A105" t="str">
        <x:v>SKU01193</x:v>
      </x:c>
      <x:c r="B105" t="str">
        <x:v>Sample Product 01193</x:v>
      </x:c>
      <x:c r="C105" t="str">
        <x:v>General Merchandise</x:v>
      </x:c>
      <x:c r="D105" t="str">
        <x:v>Baby Essentials</x:v>
      </x:c>
      <x:c r="E105" t="str">
        <x:v>Supplier 009</x:v>
      </x:c>
      <x:c r="F105" s="12" t="n">
        <x:v>20.18</x:v>
      </x:c>
      <x:c r="G105" t="n">
        <x:v>58</x:v>
      </x:c>
      <x:c r="H105" s="12" t="n">
        <x:v>1170.44</x:v>
      </x:c>
      <x:c r="I105" s="12" t="n">
        <x:v>1170.44</x:v>
      </x:c>
      <x:c r="J105" t="str">
        <x:v>Low &lt; 25</x:v>
      </x:c>
    </x:row>
    <x:row r="106">
      <x:c r="A106" t="str">
        <x:v>SKU01198</x:v>
      </x:c>
      <x:c r="B106" t="str">
        <x:v>Sample Product 01198</x:v>
      </x:c>
      <x:c r="C106" t="str">
        <x:v>Nutrition</x:v>
      </x:c>
      <x:c r="D106" t="str">
        <x:v>Healthy Snacks</x:v>
      </x:c>
      <x:c r="E106" t="str">
        <x:v>Supplier 006</x:v>
      </x:c>
      <x:c r="F106" s="12" t="n">
        <x:v>293.7</x:v>
      </x:c>
      <x:c r="G106" t="n">
        <x:v>11</x:v>
      </x:c>
      <x:c r="H106" s="12" t="n">
        <x:v>3230.7</x:v>
      </x:c>
      <x:c r="I106" s="12" t="n">
        <x:v>3230.7</x:v>
      </x:c>
      <x:c r="J106" t="str">
        <x:v>High 100-299</x:v>
      </x:c>
    </x:row>
    <x:row r="107">
      <x:c r="A107" t="str">
        <x:v>SKU01201</x:v>
      </x:c>
      <x:c r="B107" t="str">
        <x:v>Sample Product 01201</x:v>
      </x:c>
      <x:c r="C107" t="str">
        <x:v>Medical Devices</x:v>
      </x:c>
      <x:c r="D107" t="str">
        <x:v>Monitoring Supplies</x:v>
      </x:c>
      <x:c r="E107" t="str">
        <x:v>Supplier 009</x:v>
      </x:c>
      <x:c r="F107" s="12" t="n">
        <x:v>20.6</x:v>
      </x:c>
      <x:c r="G107" t="n">
        <x:v>55</x:v>
      </x:c>
      <x:c r="H107" s="12" t="n">
        <x:v>1133</x:v>
      </x:c>
      <x:c r="I107" s="12" t="n">
        <x:v>1133</x:v>
      </x:c>
      <x:c r="J107" t="str">
        <x:v>Low &lt; 25</x:v>
      </x:c>
    </x:row>
    <x:row r="108">
      <x:c r="A108" t="str">
        <x:v>SKU01223</x:v>
      </x:c>
      <x:c r="B108" t="str">
        <x:v>Sample Product 01223</x:v>
      </x:c>
      <x:c r="C108" t="str">
        <x:v>OTC &amp; Wellness</x:v>
      </x:c>
      <x:c r="D108" t="str">
        <x:v>Pain Relief</x:v>
      </x:c>
      <x:c r="E108" t="str">
        <x:v>Supplier 029</x:v>
      </x:c>
      <x:c r="F108" s="12" t="n">
        <x:v>155.4</x:v>
      </x:c>
      <x:c r="G108" t="n">
        <x:v>5</x:v>
      </x:c>
      <x:c r="H108" s="12" t="n">
        <x:v>777</x:v>
      </x:c>
      <x:c r="I108" s="12" t="n">
        <x:v>777</x:v>
      </x:c>
      <x:c r="J108" t="str">
        <x:v>High 100-299</x:v>
      </x:c>
    </x:row>
    <x:row r="109">
      <x:c r="A109" t="str">
        <x:v>SKU01234</x:v>
      </x:c>
      <x:c r="B109" t="str">
        <x:v>Sample Product 01234</x:v>
      </x:c>
      <x:c r="C109" t="str">
        <x:v>Nutrition</x:v>
      </x:c>
      <x:c r="D109" t="str">
        <x:v>Adult Nutrition</x:v>
      </x:c>
      <x:c r="E109" t="str">
        <x:v>Supplier 004</x:v>
      </x:c>
      <x:c r="F109" s="12" t="n">
        <x:v>55.38</x:v>
      </x:c>
      <x:c r="G109" t="n">
        <x:v>6</x:v>
      </x:c>
      <x:c r="H109" s="12" t="n">
        <x:v>332.28</x:v>
      </x:c>
      <x:c r="I109" s="12" t="n">
        <x:v>332.28</x:v>
      </x:c>
      <x:c r="J109" t="str">
        <x:v>Medium 25-99</x:v>
      </x:c>
    </x:row>
    <x:row r="110">
      <x:c r="A110" t="str">
        <x:v>SKU01238</x:v>
      </x:c>
      <x:c r="B110" t="str">
        <x:v>Sample Product 01238</x:v>
      </x:c>
      <x:c r="C110" t="str">
        <x:v>Personal Care</x:v>
      </x:c>
      <x:c r="D110" t="str">
        <x:v>Hygiene</x:v>
      </x:c>
      <x:c r="E110" t="str">
        <x:v>Supplier 020</x:v>
      </x:c>
      <x:c r="F110" s="12" t="n">
        <x:v>9.6</x:v>
      </x:c>
      <x:c r="G110" t="n">
        <x:v>49</x:v>
      </x:c>
      <x:c r="H110" s="12" t="n">
        <x:v>470.4</x:v>
      </x:c>
      <x:c r="I110" s="12" t="n">
        <x:v>470.4</x:v>
      </x:c>
      <x:c r="J110" t="str">
        <x:v>Low &lt; 25</x:v>
      </x:c>
    </x:row>
    <x:row r="111">
      <x:c r="A111" t="str">
        <x:v>SKU01271</x:v>
      </x:c>
      <x:c r="B111" t="str">
        <x:v>Sample Product 01271</x:v>
      </x:c>
      <x:c r="C111" t="str">
        <x:v>Medical Devices</x:v>
      </x:c>
      <x:c r="D111" t="str">
        <x:v>Home Diagnostics</x:v>
      </x:c>
      <x:c r="E111" t="str">
        <x:v>Supplier 003</x:v>
      </x:c>
      <x:c r="F111" s="12" t="n">
        <x:v>71.17</x:v>
      </x:c>
      <x:c r="G111" t="n">
        <x:v>41</x:v>
      </x:c>
      <x:c r="H111" s="12" t="n">
        <x:v>2917.97</x:v>
      </x:c>
      <x:c r="I111" s="12" t="n">
        <x:v>2917.97</x:v>
      </x:c>
      <x:c r="J111" t="str">
        <x:v>Medium 25-99</x:v>
      </x:c>
    </x:row>
    <x:row r="112">
      <x:c r="A112" t="str">
        <x:v>SKU01272</x:v>
      </x:c>
      <x:c r="B112" t="str">
        <x:v>Sample Product 01272</x:v>
      </x:c>
      <x:c r="C112" t="str">
        <x:v>Medical Devices</x:v>
      </x:c>
      <x:c r="D112" t="str">
        <x:v>Mobility Aids</x:v>
      </x:c>
      <x:c r="E112" t="str">
        <x:v>Supplier 011</x:v>
      </x:c>
      <x:c r="F112" s="12" t="n">
        <x:v>126.77</x:v>
      </x:c>
      <x:c r="G112" t="n">
        <x:v>24</x:v>
      </x:c>
      <x:c r="H112" s="12" t="n">
        <x:v>3042.48</x:v>
      </x:c>
      <x:c r="I112" s="12" t="n">
        <x:v>3042.48</x:v>
      </x:c>
      <x:c r="J112" t="str">
        <x:v>High 100-299</x:v>
      </x:c>
    </x:row>
    <x:row r="113">
      <x:c r="A113" t="str">
        <x:v>SKU01293</x:v>
      </x:c>
      <x:c r="B113" t="str">
        <x:v>Sample Product 01293</x:v>
      </x:c>
      <x:c r="C113" t="str">
        <x:v>OTC &amp; Wellness</x:v>
      </x:c>
      <x:c r="D113" t="str">
        <x:v>Cold &amp; Allergy</x:v>
      </x:c>
      <x:c r="E113" t="str">
        <x:v>Supplier 013</x:v>
      </x:c>
      <x:c r="F113" s="12" t="n">
        <x:v>11.29</x:v>
      </x:c>
      <x:c r="G113" t="n">
        <x:v>57</x:v>
      </x:c>
      <x:c r="H113" s="12" t="n">
        <x:v>643.53</x:v>
      </x:c>
      <x:c r="I113" s="12" t="n">
        <x:v>643.53</x:v>
      </x:c>
      <x:c r="J113" t="str">
        <x:v>Low &lt; 25</x:v>
      </x:c>
    </x:row>
    <x:row r="114">
      <x:c r="A114" t="str">
        <x:v>SKU01299</x:v>
      </x:c>
      <x:c r="B114" t="str">
        <x:v>Sample Product 01299</x:v>
      </x:c>
      <x:c r="C114" t="str">
        <x:v>General Merchandise</x:v>
      </x:c>
      <x:c r="D114" t="str">
        <x:v>Accessories</x:v>
      </x:c>
      <x:c r="E114" t="str">
        <x:v>Supplier 004</x:v>
      </x:c>
      <x:c r="F114" s="12" t="n">
        <x:v>263.77</x:v>
      </x:c>
      <x:c r="G114" t="n">
        <x:v>32</x:v>
      </x:c>
      <x:c r="H114" s="12" t="n">
        <x:v>8440.64</x:v>
      </x:c>
      <x:c r="I114" s="12" t="n">
        <x:v>8440.64</x:v>
      </x:c>
      <x:c r="J114" t="str">
        <x:v>High 100-299</x:v>
      </x:c>
    </x:row>
    <x:row r="115">
      <x:c r="A115" t="str">
        <x:v>SKU01300</x:v>
      </x:c>
      <x:c r="B115" t="str">
        <x:v>Sample Product 01300</x:v>
      </x:c>
      <x:c r="C115" t="str">
        <x:v>Nutrition</x:v>
      </x:c>
      <x:c r="D115" t="str">
        <x:v>Adult Nutrition</x:v>
      </x:c>
      <x:c r="E115" t="str">
        <x:v>Supplier 004</x:v>
      </x:c>
      <x:c r="F115" s="12" t="n">
        <x:v>6.5</x:v>
      </x:c>
      <x:c r="G115" t="n">
        <x:v>57</x:v>
      </x:c>
      <x:c r="H115" s="12" t="n">
        <x:v>370.5</x:v>
      </x:c>
      <x:c r="I115" s="12" t="n">
        <x:v>370.5</x:v>
      </x:c>
      <x:c r="J115" t="str">
        <x:v>Low &lt; 25</x:v>
      </x:c>
    </x:row>
    <x:row r="116">
      <x:c r="A116" t="str">
        <x:v>SKU01302</x:v>
      </x:c>
      <x:c r="B116" t="str">
        <x:v>Sample Product 01302</x:v>
      </x:c>
      <x:c r="C116" t="str">
        <x:v>Personal Care</x:v>
      </x:c>
      <x:c r="D116" t="str">
        <x:v>Skin Care</x:v>
      </x:c>
      <x:c r="E116" t="str">
        <x:v>Supplier 012</x:v>
      </x:c>
      <x:c r="F116" s="12" t="n">
        <x:v>21.28</x:v>
      </x:c>
      <x:c r="G116" t="n">
        <x:v>0</x:v>
      </x:c>
      <x:c r="H116" s="12" t="n">
        <x:v>0</x:v>
      </x:c>
      <x:c r="I116" s="12" t="n">
        <x:v>0</x:v>
      </x:c>
      <x:c r="J116" t="str">
        <x:v>Low &lt; 25</x:v>
      </x:c>
    </x:row>
    <x:row r="117">
      <x:c r="A117" t="str">
        <x:v>SKU01306</x:v>
      </x:c>
      <x:c r="B117" t="str">
        <x:v>Sample Product 01306</x:v>
      </x:c>
      <x:c r="C117" t="str">
        <x:v>Personal Care</x:v>
      </x:c>
      <x:c r="D117" t="str">
        <x:v>Hygiene</x:v>
      </x:c>
      <x:c r="E117" t="str">
        <x:v>Supplier 009</x:v>
      </x:c>
      <x:c r="F117" s="12" t="n">
        <x:v>37.15</x:v>
      </x:c>
      <x:c r="G117" t="n">
        <x:v>2</x:v>
      </x:c>
      <x:c r="H117" s="12" t="n">
        <x:v>74.3</x:v>
      </x:c>
      <x:c r="I117" s="12" t="n">
        <x:v>74.3</x:v>
      </x:c>
      <x:c r="J117" t="str">
        <x:v>Medium 25-99</x:v>
      </x:c>
    </x:row>
    <x:row r="118">
      <x:c r="A118" t="str">
        <x:v>SKU01320</x:v>
      </x:c>
      <x:c r="B118" t="str">
        <x:v>Sample Product 01320</x:v>
      </x:c>
      <x:c r="C118" t="str">
        <x:v>General Merchandise</x:v>
      </x:c>
      <x:c r="D118" t="str">
        <x:v>Baby Essentials</x:v>
      </x:c>
      <x:c r="E118" t="str">
        <x:v>Supplier 002</x:v>
      </x:c>
      <x:c r="F118" s="12" t="n">
        <x:v>54.62</x:v>
      </x:c>
      <x:c r="G118" t="n">
        <x:v>50</x:v>
      </x:c>
      <x:c r="H118" s="12" t="n">
        <x:v>2731</x:v>
      </x:c>
      <x:c r="I118" s="12" t="n">
        <x:v>2731</x:v>
      </x:c>
      <x:c r="J118" t="str">
        <x:v>Medium 25-99</x:v>
      </x:c>
    </x:row>
    <x:row r="119">
      <x:c r="A119" t="str">
        <x:v>SKU01335</x:v>
      </x:c>
      <x:c r="B119" t="str">
        <x:v>Sample Product 01335</x:v>
      </x:c>
      <x:c r="C119" t="str">
        <x:v>General Merchandise</x:v>
      </x:c>
      <x:c r="D119" t="str">
        <x:v>Travel Health</x:v>
      </x:c>
      <x:c r="E119" t="str">
        <x:v>Supplier 019</x:v>
      </x:c>
      <x:c r="F119" s="12" t="n">
        <x:v>95.42</x:v>
      </x:c>
      <x:c r="G119" t="n">
        <x:v>7</x:v>
      </x:c>
      <x:c r="H119" s="12" t="n">
        <x:v>667.94</x:v>
      </x:c>
      <x:c r="I119" s="12" t="n">
        <x:v>667.94</x:v>
      </x:c>
      <x:c r="J119" t="str">
        <x:v>Medium 25-99</x:v>
      </x:c>
    </x:row>
    <x:row r="120">
      <x:c r="A120" t="str">
        <x:v>SKU01356</x:v>
      </x:c>
      <x:c r="B120" t="str">
        <x:v>Sample Product 01356</x:v>
      </x:c>
      <x:c r="C120" t="str">
        <x:v>OTC &amp; Wellness</x:v>
      </x:c>
      <x:c r="D120" t="str">
        <x:v>Vitamins</x:v>
      </x:c>
      <x:c r="E120" t="str">
        <x:v>Supplier 021</x:v>
      </x:c>
      <x:c r="F120" s="12" t="n">
        <x:v>90.09</x:v>
      </x:c>
      <x:c r="G120" t="n">
        <x:v>11</x:v>
      </x:c>
      <x:c r="H120" s="12" t="n">
        <x:v>990.99</x:v>
      </x:c>
      <x:c r="I120" s="12" t="n">
        <x:v>990.99</x:v>
      </x:c>
      <x:c r="J120" t="str">
        <x:v>Medium 25-99</x:v>
      </x:c>
    </x:row>
    <x:row r="121">
      <x:c r="A121" t="str">
        <x:v>SKU01375</x:v>
      </x:c>
      <x:c r="B121" t="str">
        <x:v>Sample Product 01375</x:v>
      </x:c>
      <x:c r="C121" t="str">
        <x:v>Medical Devices</x:v>
      </x:c>
      <x:c r="D121" t="str">
        <x:v>First Aid</x:v>
      </x:c>
      <x:c r="E121" t="str">
        <x:v>Supplier 003</x:v>
      </x:c>
      <x:c r="F121" s="12" t="n">
        <x:v>237.63</x:v>
      </x:c>
      <x:c r="G121" t="n">
        <x:v>28</x:v>
      </x:c>
      <x:c r="H121" s="12" t="n">
        <x:v>6653.64</x:v>
      </x:c>
      <x:c r="I121" s="12" t="n">
        <x:v>6653.64</x:v>
      </x:c>
      <x:c r="J121" t="str">
        <x:v>High 100-299</x:v>
      </x:c>
    </x:row>
    <x:row r="122">
      <x:c r="A122" t="str">
        <x:v>SKU01386</x:v>
      </x:c>
      <x:c r="B122" t="str">
        <x:v>Sample Product 01386</x:v>
      </x:c>
      <x:c r="C122" t="str">
        <x:v>OTC &amp; Wellness</x:v>
      </x:c>
      <x:c r="D122" t="str">
        <x:v>Cold &amp; Allergy</x:v>
      </x:c>
      <x:c r="E122" t="str">
        <x:v>Supplier 017</x:v>
      </x:c>
      <x:c r="F122" s="12" t="n">
        <x:v>20.29</x:v>
      </x:c>
      <x:c r="G122" t="n">
        <x:v>32</x:v>
      </x:c>
      <x:c r="H122" s="12" t="n">
        <x:v>649.28</x:v>
      </x:c>
      <x:c r="I122" s="12" t="n">
        <x:v>649.28</x:v>
      </x:c>
      <x:c r="J122" t="str">
        <x:v>Low &lt; 25</x:v>
      </x:c>
    </x:row>
    <x:row r="123">
      <x:c r="A123" t="str">
        <x:v>SKU01390</x:v>
      </x:c>
      <x:c r="B123" t="str">
        <x:v>Sample Product 01390</x:v>
      </x:c>
      <x:c r="C123" t="str">
        <x:v>Personal Care</x:v>
      </x:c>
      <x:c r="D123" t="str">
        <x:v>Oral Care</x:v>
      </x:c>
      <x:c r="E123" t="str">
        <x:v>Supplier 017</x:v>
      </x:c>
      <x:c r="F123" s="12" t="n">
        <x:v>17.84</x:v>
      </x:c>
      <x:c r="G123" t="n">
        <x:v>53</x:v>
      </x:c>
      <x:c r="H123" s="12" t="n">
        <x:v>945.52</x:v>
      </x:c>
      <x:c r="I123" s="12" t="n">
        <x:v>945.52</x:v>
      </x:c>
      <x:c r="J123" t="str">
        <x:v>Low &lt; 25</x:v>
      </x:c>
    </x:row>
    <x:row r="124">
      <x:c r="A124" t="str">
        <x:v>SKU01391</x:v>
      </x:c>
      <x:c r="B124" t="str">
        <x:v>Sample Product 01391</x:v>
      </x:c>
      <x:c r="C124" t="str">
        <x:v>General Merchandise</x:v>
      </x:c>
      <x:c r="D124" t="str">
        <x:v>Travel Health</x:v>
      </x:c>
      <x:c r="E124" t="str">
        <x:v>Supplier 019</x:v>
      </x:c>
      <x:c r="F124" s="12" t="n">
        <x:v>48.34</x:v>
      </x:c>
      <x:c r="G124" t="n">
        <x:v>18</x:v>
      </x:c>
      <x:c r="H124" s="12" t="n">
        <x:v>870.12</x:v>
      </x:c>
      <x:c r="I124" s="12" t="n">
        <x:v>870.12</x:v>
      </x:c>
      <x:c r="J124" t="str">
        <x:v>Medium 25-99</x:v>
      </x:c>
    </x:row>
    <x:row r="125">
      <x:c r="A125" t="str">
        <x:v>SKU01403</x:v>
      </x:c>
      <x:c r="B125" t="str">
        <x:v>Sample Product 01403</x:v>
      </x:c>
      <x:c r="C125" t="str">
        <x:v>Nutrition</x:v>
      </x:c>
      <x:c r="D125" t="str">
        <x:v>Healthy Snacks</x:v>
      </x:c>
      <x:c r="E125" t="str">
        <x:v>Supplier 029</x:v>
      </x:c>
      <x:c r="F125" s="12" t="n">
        <x:v>89.98</x:v>
      </x:c>
      <x:c r="G125" t="n">
        <x:v>54</x:v>
      </x:c>
      <x:c r="H125" s="12" t="n">
        <x:v>4858.92</x:v>
      </x:c>
      <x:c r="I125" s="12" t="n">
        <x:v>4858.92</x:v>
      </x:c>
      <x:c r="J125" t="str">
        <x:v>Medium 25-99</x:v>
      </x:c>
    </x:row>
    <x:row r="126">
      <x:c r="A126" t="str">
        <x:v>SKU01426</x:v>
      </x:c>
      <x:c r="B126" t="str">
        <x:v>Sample Product 01426</x:v>
      </x:c>
      <x:c r="C126" t="str">
        <x:v>Nutrition</x:v>
      </x:c>
      <x:c r="D126" t="str">
        <x:v>Adult Nutrition</x:v>
      </x:c>
      <x:c r="E126" t="str">
        <x:v>Supplier 026</x:v>
      </x:c>
      <x:c r="F126" s="12" t="n">
        <x:v>57.09</x:v>
      </x:c>
      <x:c r="G126" t="n">
        <x:v>19</x:v>
      </x:c>
      <x:c r="H126" s="12" t="n">
        <x:v>1084.71</x:v>
      </x:c>
      <x:c r="I126" s="12" t="n">
        <x:v>1084.71</x:v>
      </x:c>
      <x:c r="J126" t="str">
        <x:v>Medium 25-99</x:v>
      </x:c>
    </x:row>
    <x:row r="127">
      <x:c r="A127" t="str">
        <x:v>SKU01450</x:v>
      </x:c>
      <x:c r="B127" t="str">
        <x:v>Sample Product 01450</x:v>
      </x:c>
      <x:c r="C127" t="str">
        <x:v>OTC &amp; Wellness</x:v>
      </x:c>
      <x:c r="D127" t="str">
        <x:v>Vitamins</x:v>
      </x:c>
      <x:c r="E127" t="str">
        <x:v>Supplier 011</x:v>
      </x:c>
      <x:c r="F127" s="12" t="n">
        <x:v>89.25</x:v>
      </x:c>
      <x:c r="G127" t="n">
        <x:v>58</x:v>
      </x:c>
      <x:c r="H127" s="12" t="n">
        <x:v>5176.5</x:v>
      </x:c>
      <x:c r="I127" s="12" t="n">
        <x:v>5176.5</x:v>
      </x:c>
      <x:c r="J127" t="str">
        <x:v>Medium 25-99</x:v>
      </x:c>
    </x:row>
    <x:row r="128">
      <x:c r="A128" t="str">
        <x:v>SKU01469</x:v>
      </x:c>
      <x:c r="B128" t="str">
        <x:v>Sample Product 01469</x:v>
      </x:c>
      <x:c r="C128" t="str">
        <x:v>Medical Devices</x:v>
      </x:c>
      <x:c r="D128" t="str">
        <x:v>Home Diagnostics</x:v>
      </x:c>
      <x:c r="E128" t="str">
        <x:v>Supplier 003</x:v>
      </x:c>
      <x:c r="F128" s="12" t="n">
        <x:v>64.71</x:v>
      </x:c>
      <x:c r="G128" t="n">
        <x:v>14</x:v>
      </x:c>
      <x:c r="H128" s="12" t="n">
        <x:v>905.94</x:v>
      </x:c>
      <x:c r="I128" s="12" t="n">
        <x:v>905.94</x:v>
      </x:c>
      <x:c r="J128" t="str">
        <x:v>Medium 25-99</x:v>
      </x:c>
    </x:row>
    <x:row r="129">
      <x:c r="A129" t="str">
        <x:v>SKU01471</x:v>
      </x:c>
      <x:c r="B129" t="str">
        <x:v>Sample Product 01471</x:v>
      </x:c>
      <x:c r="C129" t="str">
        <x:v>OTC &amp; Wellness</x:v>
      </x:c>
      <x:c r="D129" t="str">
        <x:v>Digestive Care</x:v>
      </x:c>
      <x:c r="E129" t="str">
        <x:v>Supplier 001</x:v>
      </x:c>
      <x:c r="F129" s="12" t="n">
        <x:v>84.49</x:v>
      </x:c>
      <x:c r="G129" t="n">
        <x:v>5</x:v>
      </x:c>
      <x:c r="H129" s="12" t="n">
        <x:v>422.45</x:v>
      </x:c>
      <x:c r="I129" s="12" t="n">
        <x:v>422.45</x:v>
      </x:c>
      <x:c r="J129" t="str">
        <x:v>Medium 25-99</x:v>
      </x:c>
    </x:row>
    <x:row r="130">
      <x:c r="A130" t="str">
        <x:v>SKU01484</x:v>
      </x:c>
      <x:c r="B130" t="str">
        <x:v>Sample Product 01484</x:v>
      </x:c>
      <x:c r="C130" t="str">
        <x:v>OTC &amp; Wellness</x:v>
      </x:c>
      <x:c r="D130" t="str">
        <x:v>Vitamins</x:v>
      </x:c>
      <x:c r="E130" t="str">
        <x:v>Supplier 028</x:v>
      </x:c>
      <x:c r="F130" s="12" t="n">
        <x:v>546.57</x:v>
      </x:c>
      <x:c r="G130" t="n">
        <x:v>15</x:v>
      </x:c>
      <x:c r="H130" s="12" t="n">
        <x:v>8198.55</x:v>
      </x:c>
      <x:c r="I130" s="12" t="n">
        <x:v>8198.55</x:v>
      </x:c>
      <x:c r="J130" t="str">
        <x:v>Premium 300+</x:v>
      </x:c>
    </x:row>
    <x:row r="131">
      <x:c r="A131" t="str">
        <x:v>SKU01486</x:v>
      </x:c>
      <x:c r="B131" t="str">
        <x:v>Sample Product 01486</x:v>
      </x:c>
      <x:c r="C131" t="str">
        <x:v>Nutrition</x:v>
      </x:c>
      <x:c r="D131" t="str">
        <x:v>Hydration</x:v>
      </x:c>
      <x:c r="E131" t="str">
        <x:v>Supplier 030</x:v>
      </x:c>
      <x:c r="F131" s="12" t="n">
        <x:v>205.25</x:v>
      </x:c>
      <x:c r="G131" t="n">
        <x:v>48</x:v>
      </x:c>
      <x:c r="H131" s="12" t="n">
        <x:v>9852</x:v>
      </x:c>
      <x:c r="I131" s="12" t="n">
        <x:v>9852</x:v>
      </x:c>
      <x:c r="J131" t="str">
        <x:v>High 100-299</x:v>
      </x:c>
    </x:row>
    <x:row r="132">
      <x:c r="A132" t="str">
        <x:v>SKU01495</x:v>
      </x:c>
      <x:c r="B132" t="str">
        <x:v>Sample Product 01495</x:v>
      </x:c>
      <x:c r="C132" t="str">
        <x:v>OTC &amp; Wellness</x:v>
      </x:c>
      <x:c r="D132" t="str">
        <x:v>Cold &amp; Allergy</x:v>
      </x:c>
      <x:c r="E132" t="str">
        <x:v>Supplier 027</x:v>
      </x:c>
      <x:c r="F132" s="12" t="n">
        <x:v>7.81</x:v>
      </x:c>
      <x:c r="G132" t="n">
        <x:v>64</x:v>
      </x:c>
      <x:c r="H132" s="12" t="n">
        <x:v>499.84</x:v>
      </x:c>
      <x:c r="I132" s="12" t="n">
        <x:v>499.84</x:v>
      </x:c>
      <x:c r="J132" t="str">
        <x:v>Low &lt; 25</x:v>
      </x:c>
    </x:row>
  </x:sheetData>
  <x:mergeCells>
    <x:mergeCell ref="A1:J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4" max="4" width="22" hidden="0" customWidth="1"/>
  </x:cols>
  <x:sheetData>
    <x:row r="1">
      <x:c r="A1" s="17" t="str">
        <x:v>Top 20 Performers per Category</x:v>
      </x:c>
      <x:c r="B1" s="17"/>
      <x:c r="C1" s="17"/>
      <x:c r="D1" s="17"/>
      <x:c r="E1" s="17"/>
      <x:c r="F1" s="17"/>
      <x:c r="G1" s="17"/>
    </x:row>
    <x:row r="3">
      <x:c r="A3" s="5" t="str">
        <x:v>Category</x:v>
      </x:c>
      <x:c r="B3" s="5" t="str">
        <x:v>Rank</x:v>
      </x:c>
      <x:c r="C3" s="5" t="str">
        <x:v>SKU</x:v>
      </x:c>
      <x:c r="D3" s="5" t="str">
        <x:v>Item_Name</x:v>
      </x:c>
      <x:c r="E3" s="5" t="str">
        <x:v>Sales_Qty</x:v>
      </x:c>
      <x:c r="F3" s="5" t="str">
        <x:v>Sales_Value</x:v>
      </x:c>
      <x:c r="G3" s="5" t="str">
        <x:v>Profit_Value</x:v>
      </x:c>
    </x:row>
    <x:row r="4">
      <x:c r="A4" t="str">
        <x:v>OTC &amp; Wellness</x:v>
      </x:c>
      <x:c r="B4" t="n">
        <x:v>1</x:v>
      </x:c>
      <x:c r="C4" t="str">
        <x:v>SKU01438</x:v>
      </x:c>
      <x:c r="D4" t="str">
        <x:v>Sample Product 01438</x:v>
      </x:c>
      <x:c r="E4" t="n">
        <x:v>202</x:v>
      </x:c>
      <x:c r="F4" s="12" t="n">
        <x:v>856.48</x:v>
      </x:c>
      <x:c r="G4" s="12" t="n">
        <x:v>327.18</x:v>
      </x:c>
    </x:row>
    <x:row r="5">
      <x:c r="A5" t="str">
        <x:v>OTC &amp; Wellness</x:v>
      </x:c>
      <x:c r="B5" t="n">
        <x:v>2</x:v>
      </x:c>
      <x:c r="C5" t="str">
        <x:v>SKU00399</x:v>
      </x:c>
      <x:c r="D5" t="str">
        <x:v>Sample Product 00399</x:v>
      </x:c>
      <x:c r="E5" t="n">
        <x:v>148</x:v>
      </x:c>
      <x:c r="F5" s="12" t="n">
        <x:v>4192.84</x:v>
      </x:c>
      <x:c r="G5" s="12" t="n">
        <x:v>1777.76</x:v>
      </x:c>
    </x:row>
    <x:row r="6">
      <x:c r="A6" t="str">
        <x:v>OTC &amp; Wellness</x:v>
      </x:c>
      <x:c r="B6" t="n">
        <x:v>3</x:v>
      </x:c>
      <x:c r="C6" t="str">
        <x:v>SKU01154</x:v>
      </x:c>
      <x:c r="D6" t="str">
        <x:v>Sample Product 01154</x:v>
      </x:c>
      <x:c r="E6" t="n">
        <x:v>137</x:v>
      </x:c>
      <x:c r="F6" s="12" t="n">
        <x:v>22207.7</x:v>
      </x:c>
      <x:c r="G6" s="12" t="n">
        <x:v>7150.88</x:v>
      </x:c>
    </x:row>
    <x:row r="7">
      <x:c r="A7" t="str">
        <x:v>OTC &amp; Wellness</x:v>
      </x:c>
      <x:c r="B7" t="n">
        <x:v>4</x:v>
      </x:c>
      <x:c r="C7" t="str">
        <x:v>SKU00173</x:v>
      </x:c>
      <x:c r="D7" t="str">
        <x:v>Sample Product 00173</x:v>
      </x:c>
      <x:c r="E7" t="n">
        <x:v>127</x:v>
      </x:c>
      <x:c r="F7" s="12" t="n">
        <x:v>14043.66</x:v>
      </x:c>
      <x:c r="G7" s="12" t="n">
        <x:v>4929.32</x:v>
      </x:c>
    </x:row>
    <x:row r="8">
      <x:c r="A8" t="str">
        <x:v>OTC &amp; Wellness</x:v>
      </x:c>
      <x:c r="B8" t="n">
        <x:v>5</x:v>
      </x:c>
      <x:c r="C8" t="str">
        <x:v>SKU00016</x:v>
      </x:c>
      <x:c r="D8" t="str">
        <x:v>Sample Product 00016</x:v>
      </x:c>
      <x:c r="E8" t="n">
        <x:v>114</x:v>
      </x:c>
      <x:c r="F8" s="12" t="n">
        <x:v>1561.8</x:v>
      </x:c>
      <x:c r="G8" s="12" t="n">
        <x:v>427.93</x:v>
      </x:c>
    </x:row>
    <x:row r="9">
      <x:c r="A9" t="str">
        <x:v>OTC &amp; Wellness</x:v>
      </x:c>
      <x:c r="B9" t="n">
        <x:v>6</x:v>
      </x:c>
      <x:c r="C9" t="str">
        <x:v>SKU01361</x:v>
      </x:c>
      <x:c r="D9" t="str">
        <x:v>Sample Product 01361</x:v>
      </x:c>
      <x:c r="E9" t="n">
        <x:v>103</x:v>
      </x:c>
      <x:c r="F9" s="12" t="n">
        <x:v>1417.28</x:v>
      </x:c>
      <x:c r="G9" s="12" t="n">
        <x:v>408.18</x:v>
      </x:c>
    </x:row>
    <x:row r="10">
      <x:c r="A10" t="str">
        <x:v>OTC &amp; Wellness</x:v>
      </x:c>
      <x:c r="B10" t="n">
        <x:v>7</x:v>
      </x:c>
      <x:c r="C10" t="str">
        <x:v>SKU01294</x:v>
      </x:c>
      <x:c r="D10" t="str">
        <x:v>Sample Product 01294</x:v>
      </x:c>
      <x:c r="E10" t="n">
        <x:v>98</x:v>
      </x:c>
      <x:c r="F10" s="12" t="n">
        <x:v>17867.36</x:v>
      </x:c>
      <x:c r="G10" s="12" t="n">
        <x:v>5967.7</x:v>
      </x:c>
    </x:row>
    <x:row r="11">
      <x:c r="A11" t="str">
        <x:v>OTC &amp; Wellness</x:v>
      </x:c>
      <x:c r="B11" t="n">
        <x:v>8</x:v>
      </x:c>
      <x:c r="C11" t="str">
        <x:v>SKU01218</x:v>
      </x:c>
      <x:c r="D11" t="str">
        <x:v>Sample Product 01218</x:v>
      </x:c>
      <x:c r="E11" t="n">
        <x:v>95</x:v>
      </x:c>
      <x:c r="F11" s="12" t="n">
        <x:v>13031.15</x:v>
      </x:c>
      <x:c r="G11" s="12" t="n">
        <x:v>5082.15</x:v>
      </x:c>
    </x:row>
    <x:row r="12">
      <x:c r="A12" t="str">
        <x:v>OTC &amp; Wellness</x:v>
      </x:c>
      <x:c r="B12" t="n">
        <x:v>9</x:v>
      </x:c>
      <x:c r="C12" t="str">
        <x:v>SKU00312</x:v>
      </x:c>
      <x:c r="D12" t="str">
        <x:v>Sample Product 00312</x:v>
      </x:c>
      <x:c r="E12" t="n">
        <x:v>88</x:v>
      </x:c>
      <x:c r="F12" s="12" t="n">
        <x:v>3311.44</x:v>
      </x:c>
      <x:c r="G12" s="12" t="n">
        <x:v>1602.74</x:v>
      </x:c>
    </x:row>
    <x:row r="13">
      <x:c r="A13" t="str">
        <x:v>OTC &amp; Wellness</x:v>
      </x:c>
      <x:c r="B13" t="n">
        <x:v>10</x:v>
      </x:c>
      <x:c r="C13" t="str">
        <x:v>SKU00354</x:v>
      </x:c>
      <x:c r="D13" t="str">
        <x:v>Sample Product 00354</x:v>
      </x:c>
      <x:c r="E13" t="n">
        <x:v>78</x:v>
      </x:c>
      <x:c r="F13" s="12" t="n">
        <x:v>7634.64</x:v>
      </x:c>
      <x:c r="G13" s="12" t="n">
        <x:v>1946.83</x:v>
      </x:c>
    </x:row>
    <x:row r="14">
      <x:c r="A14" t="str">
        <x:v>OTC &amp; Wellness</x:v>
      </x:c>
      <x:c r="B14" t="n">
        <x:v>11</x:v>
      </x:c>
      <x:c r="C14" t="str">
        <x:v>SKU01263</x:v>
      </x:c>
      <x:c r="D14" t="str">
        <x:v>Sample Product 01263</x:v>
      </x:c>
      <x:c r="E14" t="n">
        <x:v>72</x:v>
      </x:c>
      <x:c r="F14" s="12" t="n">
        <x:v>15850.08</x:v>
      </x:c>
      <x:c r="G14" s="12" t="n">
        <x:v>5072.03</x:v>
      </x:c>
    </x:row>
    <x:row r="15">
      <x:c r="A15" t="str">
        <x:v>OTC &amp; Wellness</x:v>
      </x:c>
      <x:c r="B15" t="n">
        <x:v>12</x:v>
      </x:c>
      <x:c r="C15" t="str">
        <x:v>SKU00446</x:v>
      </x:c>
      <x:c r="D15" t="str">
        <x:v>Sample Product 00446</x:v>
      </x:c>
      <x:c r="E15" t="n">
        <x:v>72</x:v>
      </x:c>
      <x:c r="F15" s="12" t="n">
        <x:v>3707.28</x:v>
      </x:c>
      <x:c r="G15" s="12" t="n">
        <x:v>1260.48</x:v>
      </x:c>
    </x:row>
    <x:row r="16">
      <x:c r="A16" t="str">
        <x:v>OTC &amp; Wellness</x:v>
      </x:c>
      <x:c r="B16" t="n">
        <x:v>13</x:v>
      </x:c>
      <x:c r="C16" t="str">
        <x:v>SKU00999</x:v>
      </x:c>
      <x:c r="D16" t="str">
        <x:v>Sample Product 00999</x:v>
      </x:c>
      <x:c r="E16" t="n">
        <x:v>72</x:v>
      </x:c>
      <x:c r="F16" s="12" t="n">
        <x:v>1026</x:v>
      </x:c>
      <x:c r="G16" s="12" t="n">
        <x:v>380.65</x:v>
      </x:c>
    </x:row>
    <x:row r="17">
      <x:c r="A17" t="str">
        <x:v>OTC &amp; Wellness</x:v>
      </x:c>
      <x:c r="B17" t="n">
        <x:v>14</x:v>
      </x:c>
      <x:c r="C17" t="str">
        <x:v>SKU01404</x:v>
      </x:c>
      <x:c r="D17" t="str">
        <x:v>Sample Product 01404</x:v>
      </x:c>
      <x:c r="E17" t="n">
        <x:v>72</x:v>
      </x:c>
      <x:c r="F17" s="12" t="n">
        <x:v>712.8</x:v>
      </x:c>
      <x:c r="G17" s="12" t="n">
        <x:v>245.2</x:v>
      </x:c>
    </x:row>
    <x:row r="18">
      <x:c r="A18" t="str">
        <x:v>OTC &amp; Wellness</x:v>
      </x:c>
      <x:c r="B18" t="n">
        <x:v>15</x:v>
      </x:c>
      <x:c r="C18" t="str">
        <x:v>SKU00317</x:v>
      </x:c>
      <x:c r="D18" t="str">
        <x:v>Sample Product 00317</x:v>
      </x:c>
      <x:c r="E18" t="n">
        <x:v>70</x:v>
      </x:c>
      <x:c r="F18" s="12" t="n">
        <x:v>12437.6</x:v>
      </x:c>
      <x:c r="G18" s="12" t="n">
        <x:v>3942.72</x:v>
      </x:c>
    </x:row>
    <x:row r="19">
      <x:c r="A19" t="str">
        <x:v>OTC &amp; Wellness</x:v>
      </x:c>
      <x:c r="B19" t="n">
        <x:v>16</x:v>
      </x:c>
      <x:c r="C19" t="str">
        <x:v>SKU00270</x:v>
      </x:c>
      <x:c r="D19" t="str">
        <x:v>Sample Product 00270</x:v>
      </x:c>
      <x:c r="E19" t="n">
        <x:v>69</x:v>
      </x:c>
      <x:c r="F19" s="12" t="n">
        <x:v>6831</x:v>
      </x:c>
      <x:c r="G19" s="12" t="n">
        <x:v>2855.36</x:v>
      </x:c>
    </x:row>
    <x:row r="20">
      <x:c r="A20" t="str">
        <x:v>OTC &amp; Wellness</x:v>
      </x:c>
      <x:c r="B20" t="n">
        <x:v>17</x:v>
      </x:c>
      <x:c r="C20" t="str">
        <x:v>SKU01048</x:v>
      </x:c>
      <x:c r="D20" t="str">
        <x:v>Sample Product 01048</x:v>
      </x:c>
      <x:c r="E20" t="n">
        <x:v>69</x:v>
      </x:c>
      <x:c r="F20" s="12" t="n">
        <x:v>6386.64</x:v>
      </x:c>
      <x:c r="G20" s="12" t="n">
        <x:v>1839.35</x:v>
      </x:c>
    </x:row>
    <x:row r="21">
      <x:c r="A21" t="str">
        <x:v>OTC &amp; Wellness</x:v>
      </x:c>
      <x:c r="B21" t="n">
        <x:v>18</x:v>
      </x:c>
      <x:c r="C21" t="str">
        <x:v>SKU00721</x:v>
      </x:c>
      <x:c r="D21" t="str">
        <x:v>Sample Product 00721</x:v>
      </x:c>
      <x:c r="E21" t="n">
        <x:v>68</x:v>
      </x:c>
      <x:c r="F21" s="12" t="n">
        <x:v>12471.2</x:v>
      </x:c>
      <x:c r="G21" s="12" t="n">
        <x:v>4963.54</x:v>
      </x:c>
    </x:row>
    <x:row r="22">
      <x:c r="A22" t="str">
        <x:v>OTC &amp; Wellness</x:v>
      </x:c>
      <x:c r="B22" t="n">
        <x:v>19</x:v>
      </x:c>
      <x:c r="C22" t="str">
        <x:v>SKU01144</x:v>
      </x:c>
      <x:c r="D22" t="str">
        <x:v>Sample Product 01144</x:v>
      </x:c>
      <x:c r="E22" t="n">
        <x:v>68</x:v>
      </x:c>
      <x:c r="F22" s="12" t="n">
        <x:v>1107.04</x:v>
      </x:c>
      <x:c r="G22" s="12" t="n">
        <x:v>389.68</x:v>
      </x:c>
    </x:row>
    <x:row r="23">
      <x:c r="A23" t="str">
        <x:v>OTC &amp; Wellness</x:v>
      </x:c>
      <x:c r="B23" t="n">
        <x:v>20</x:v>
      </x:c>
      <x:c r="C23" t="str">
        <x:v>SKU00092</x:v>
      </x:c>
      <x:c r="D23" t="str">
        <x:v>Sample Product 00092</x:v>
      </x:c>
      <x:c r="E23" t="n">
        <x:v>67</x:v>
      </x:c>
      <x:c r="F23" s="12" t="n">
        <x:v>1517.55</x:v>
      </x:c>
      <x:c r="G23" s="12" t="n">
        <x:v>297.44</x:v>
      </x:c>
    </x:row>
    <x:row r="24">
      <x:c r="A24" t="str">
        <x:v>Personal Care</x:v>
      </x:c>
      <x:c r="B24" t="n">
        <x:v>1</x:v>
      </x:c>
      <x:c r="C24" t="str">
        <x:v>SKU00902</x:v>
      </x:c>
      <x:c r="D24" t="str">
        <x:v>Sample Product 00902</x:v>
      </x:c>
      <x:c r="E24" t="n">
        <x:v>203</x:v>
      </x:c>
      <x:c r="F24" s="12" t="n">
        <x:v>1177.4</x:v>
      </x:c>
      <x:c r="G24" s="12" t="n">
        <x:v>536.89</x:v>
      </x:c>
    </x:row>
    <x:row r="25">
      <x:c r="A25" t="str">
        <x:v>Personal Care</x:v>
      </x:c>
      <x:c r="B25" t="n">
        <x:v>2</x:v>
      </x:c>
      <x:c r="C25" t="str">
        <x:v>SKU00146</x:v>
      </x:c>
      <x:c r="D25" t="str">
        <x:v>Sample Product 00146</x:v>
      </x:c>
      <x:c r="E25" t="n">
        <x:v>184</x:v>
      </x:c>
      <x:c r="F25" s="12" t="n">
        <x:v>3341.44</x:v>
      </x:c>
      <x:c r="G25" s="12" t="n">
        <x:v>1236.33</x:v>
      </x:c>
    </x:row>
    <x:row r="26">
      <x:c r="A26" t="str">
        <x:v>Personal Care</x:v>
      </x:c>
      <x:c r="B26" t="n">
        <x:v>3</x:v>
      </x:c>
      <x:c r="C26" t="str">
        <x:v>SKU00235</x:v>
      </x:c>
      <x:c r="D26" t="str">
        <x:v>Sample Product 00235</x:v>
      </x:c>
      <x:c r="E26" t="n">
        <x:v>178</x:v>
      </x:c>
      <x:c r="F26" s="12" t="n">
        <x:v>9282.7</x:v>
      </x:c>
      <x:c r="G26" s="12" t="n">
        <x:v>3295.36</x:v>
      </x:c>
    </x:row>
    <x:row r="27">
      <x:c r="A27" t="str">
        <x:v>Personal Care</x:v>
      </x:c>
      <x:c r="B27" t="n">
        <x:v>4</x:v>
      </x:c>
      <x:c r="C27" t="str">
        <x:v>SKU00564</x:v>
      </x:c>
      <x:c r="D27" t="str">
        <x:v>Sample Product 00564</x:v>
      </x:c>
      <x:c r="E27" t="n">
        <x:v>168</x:v>
      </x:c>
      <x:c r="F27" s="12" t="n">
        <x:v>5391.12</x:v>
      </x:c>
      <x:c r="G27" s="12" t="n">
        <x:v>1865.33</x:v>
      </x:c>
    </x:row>
    <x:row r="28">
      <x:c r="A28" t="str">
        <x:v>Personal Care</x:v>
      </x:c>
      <x:c r="B28" t="n">
        <x:v>5</x:v>
      </x:c>
      <x:c r="C28" t="str">
        <x:v>SKU00015</x:v>
      </x:c>
      <x:c r="D28" t="str">
        <x:v>Sample Product 00015</x:v>
      </x:c>
      <x:c r="E28" t="n">
        <x:v>160</x:v>
      </x:c>
      <x:c r="F28" s="12" t="n">
        <x:v>44913.6</x:v>
      </x:c>
      <x:c r="G28" s="12" t="n">
        <x:v>15989.24</x:v>
      </x:c>
    </x:row>
    <x:row r="29">
      <x:c r="A29" t="str">
        <x:v>Personal Care</x:v>
      </x:c>
      <x:c r="B29" t="n">
        <x:v>6</x:v>
      </x:c>
      <x:c r="C29" t="str">
        <x:v>SKU00643</x:v>
      </x:c>
      <x:c r="D29" t="str">
        <x:v>Sample Product 00643</x:v>
      </x:c>
      <x:c r="E29" t="n">
        <x:v>137</x:v>
      </x:c>
      <x:c r="F29" s="12" t="n">
        <x:v>10250.34</x:v>
      </x:c>
      <x:c r="G29" s="12" t="n">
        <x:v>2870.1</x:v>
      </x:c>
    </x:row>
    <x:row r="30">
      <x:c r="A30" t="str">
        <x:v>Personal Care</x:v>
      </x:c>
      <x:c r="B30" t="n">
        <x:v>7</x:v>
      </x:c>
      <x:c r="C30" t="str">
        <x:v>SKU00176</x:v>
      </x:c>
      <x:c r="D30" t="str">
        <x:v>Sample Product 00176</x:v>
      </x:c>
      <x:c r="E30" t="n">
        <x:v>136</x:v>
      </x:c>
      <x:c r="F30" s="12" t="n">
        <x:v>62118</x:v>
      </x:c>
      <x:c r="G30" s="12" t="n">
        <x:v>27269.8</x:v>
      </x:c>
    </x:row>
    <x:row r="31">
      <x:c r="A31" t="str">
        <x:v>Personal Care</x:v>
      </x:c>
      <x:c r="B31" t="n">
        <x:v>8</x:v>
      </x:c>
      <x:c r="C31" t="str">
        <x:v>SKU01328</x:v>
      </x:c>
      <x:c r="D31" t="str">
        <x:v>Sample Product 01328</x:v>
      </x:c>
      <x:c r="E31" t="n">
        <x:v>118</x:v>
      </x:c>
      <x:c r="F31" s="12" t="n">
        <x:v>6580.86</x:v>
      </x:c>
      <x:c r="G31" s="12" t="n">
        <x:v>1928.19</x:v>
      </x:c>
    </x:row>
    <x:row r="32">
      <x:c r="A32" t="str">
        <x:v>Personal Care</x:v>
      </x:c>
      <x:c r="B32" t="n">
        <x:v>9</x:v>
      </x:c>
      <x:c r="C32" t="str">
        <x:v>SKU01435</x:v>
      </x:c>
      <x:c r="D32" t="str">
        <x:v>Sample Product 01435</x:v>
      </x:c>
      <x:c r="E32" t="n">
        <x:v>113</x:v>
      </x:c>
      <x:c r="F32" s="12" t="n">
        <x:v>10916.93</x:v>
      </x:c>
      <x:c r="G32" s="12" t="n">
        <x:v>4410.44</x:v>
      </x:c>
    </x:row>
    <x:row r="33">
      <x:c r="A33" t="str">
        <x:v>Personal Care</x:v>
      </x:c>
      <x:c r="B33" t="n">
        <x:v>10</x:v>
      </x:c>
      <x:c r="C33" t="str">
        <x:v>SKU00107</x:v>
      </x:c>
      <x:c r="D33" t="str">
        <x:v>Sample Product 00107</x:v>
      </x:c>
      <x:c r="E33" t="n">
        <x:v>111</x:v>
      </x:c>
      <x:c r="F33" s="12" t="n">
        <x:v>5343.54</x:v>
      </x:c>
      <x:c r="G33" s="12" t="n">
        <x:v>2746.58</x:v>
      </x:c>
    </x:row>
    <x:row r="34">
      <x:c r="A34" t="str">
        <x:v>Personal Care</x:v>
      </x:c>
      <x:c r="B34" t="n">
        <x:v>11</x:v>
      </x:c>
      <x:c r="C34" t="str">
        <x:v>SKU00519</x:v>
      </x:c>
      <x:c r="D34" t="str">
        <x:v>Sample Product 00519</x:v>
      </x:c>
      <x:c r="E34" t="n">
        <x:v>110</x:v>
      </x:c>
      <x:c r="F34" s="12" t="n">
        <x:v>28653.9</x:v>
      </x:c>
      <x:c r="G34" s="12" t="n">
        <x:v>8653.48</x:v>
      </x:c>
    </x:row>
    <x:row r="35">
      <x:c r="A35" t="str">
        <x:v>Personal Care</x:v>
      </x:c>
      <x:c r="B35" t="n">
        <x:v>12</x:v>
      </x:c>
      <x:c r="C35" t="str">
        <x:v>SKU00988</x:v>
      </x:c>
      <x:c r="D35" t="str">
        <x:v>Sample Product 00988</x:v>
      </x:c>
      <x:c r="E35" t="n">
        <x:v>100</x:v>
      </x:c>
      <x:c r="F35" s="12" t="n">
        <x:v>9356</x:v>
      </x:c>
      <x:c r="G35" s="12" t="n">
        <x:v>4247.62</x:v>
      </x:c>
    </x:row>
    <x:row r="36">
      <x:c r="A36" t="str">
        <x:v>Personal Care</x:v>
      </x:c>
      <x:c r="B36" t="n">
        <x:v>13</x:v>
      </x:c>
      <x:c r="C36" t="str">
        <x:v>SKU00394</x:v>
      </x:c>
      <x:c r="D36" t="str">
        <x:v>Sample Product 00394</x:v>
      </x:c>
      <x:c r="E36" t="n">
        <x:v>97</x:v>
      </x:c>
      <x:c r="F36" s="12" t="n">
        <x:v>62851.15</x:v>
      </x:c>
      <x:c r="G36" s="12" t="n">
        <x:v>21997.9</x:v>
      </x:c>
    </x:row>
    <x:row r="37">
      <x:c r="A37" t="str">
        <x:v>Personal Care</x:v>
      </x:c>
      <x:c r="B37" t="n">
        <x:v>14</x:v>
      </x:c>
      <x:c r="C37" t="str">
        <x:v>SKU00456</x:v>
      </x:c>
      <x:c r="D37" t="str">
        <x:v>Sample Product 00456</x:v>
      </x:c>
      <x:c r="E37" t="n">
        <x:v>93</x:v>
      </x:c>
      <x:c r="F37" s="12" t="n">
        <x:v>2142.72</x:v>
      </x:c>
      <x:c r="G37" s="12" t="n">
        <x:v>756.38</x:v>
      </x:c>
    </x:row>
    <x:row r="38">
      <x:c r="A38" t="str">
        <x:v>Personal Care</x:v>
      </x:c>
      <x:c r="B38" t="n">
        <x:v>15</x:v>
      </x:c>
      <x:c r="C38" t="str">
        <x:v>SKU00688</x:v>
      </x:c>
      <x:c r="D38" t="str">
        <x:v>Sample Product 00688</x:v>
      </x:c>
      <x:c r="E38" t="n">
        <x:v>92</x:v>
      </x:c>
      <x:c r="F38" s="12" t="n">
        <x:v>4117.92</x:v>
      </x:c>
      <x:c r="G38" s="12" t="n">
        <x:v>1486.57</x:v>
      </x:c>
    </x:row>
    <x:row r="39">
      <x:c r="A39" t="str">
        <x:v>Personal Care</x:v>
      </x:c>
      <x:c r="B39" t="n">
        <x:v>16</x:v>
      </x:c>
      <x:c r="C39" t="str">
        <x:v>SKU00722</x:v>
      </x:c>
      <x:c r="D39" t="str">
        <x:v>Sample Product 00722</x:v>
      </x:c>
      <x:c r="E39" t="n">
        <x:v>92</x:v>
      </x:c>
      <x:c r="F39" s="12" t="n">
        <x:v>2399.36</x:v>
      </x:c>
      <x:c r="G39" s="12" t="n">
        <x:v>957.34</x:v>
      </x:c>
    </x:row>
    <x:row r="40">
      <x:c r="A40" t="str">
        <x:v>Personal Care</x:v>
      </x:c>
      <x:c r="B40" t="n">
        <x:v>17</x:v>
      </x:c>
      <x:c r="C40" t="str">
        <x:v>SKU00302</x:v>
      </x:c>
      <x:c r="D40" t="str">
        <x:v>Sample Product 00302</x:v>
      </x:c>
      <x:c r="E40" t="n">
        <x:v>85</x:v>
      </x:c>
      <x:c r="F40" s="12" t="n">
        <x:v>5833.55</x:v>
      </x:c>
      <x:c r="G40" s="12" t="n">
        <x:v>2397.59</x:v>
      </x:c>
    </x:row>
    <x:row r="41">
      <x:c r="A41" t="str">
        <x:v>Personal Care</x:v>
      </x:c>
      <x:c r="B41" t="n">
        <x:v>18</x:v>
      </x:c>
      <x:c r="C41" t="str">
        <x:v>SKU01126</x:v>
      </x:c>
      <x:c r="D41" t="str">
        <x:v>Sample Product 01126</x:v>
      </x:c>
      <x:c r="E41" t="n">
        <x:v>81</x:v>
      </x:c>
      <x:c r="F41" s="12" t="n">
        <x:v>12632.76</x:v>
      </x:c>
      <x:c r="G41" s="12" t="n">
        <x:v>7150.14</x:v>
      </x:c>
    </x:row>
    <x:row r="42">
      <x:c r="A42" t="str">
        <x:v>Personal Care</x:v>
      </x:c>
      <x:c r="B42" t="n">
        <x:v>19</x:v>
      </x:c>
      <x:c r="C42" t="str">
        <x:v>SKU01406</x:v>
      </x:c>
      <x:c r="D42" t="str">
        <x:v>Sample Product 01406</x:v>
      </x:c>
      <x:c r="E42" t="n">
        <x:v>80</x:v>
      </x:c>
      <x:c r="F42" s="12" t="n">
        <x:v>505.6</x:v>
      </x:c>
      <x:c r="G42" s="12" t="n">
        <x:v>182.52</x:v>
      </x:c>
    </x:row>
    <x:row r="43">
      <x:c r="A43" t="str">
        <x:v>Personal Care</x:v>
      </x:c>
      <x:c r="B43" t="n">
        <x:v>20</x:v>
      </x:c>
      <x:c r="C43" t="str">
        <x:v>SKU00114</x:v>
      </x:c>
      <x:c r="D43" t="str">
        <x:v>Sample Product 00114</x:v>
      </x:c>
      <x:c r="E43" t="n">
        <x:v>79</x:v>
      </x:c>
      <x:c r="F43" s="12" t="n">
        <x:v>1938.66</x:v>
      </x:c>
      <x:c r="G43" s="12" t="n">
        <x:v>672.72</x:v>
      </x:c>
    </x:row>
    <x:row r="44">
      <x:c r="A44" t="str">
        <x:v>Medical Devices</x:v>
      </x:c>
      <x:c r="B44" t="n">
        <x:v>1</x:v>
      </x:c>
      <x:c r="C44" t="str">
        <x:v>SKU00485</x:v>
      </x:c>
      <x:c r="D44" t="str">
        <x:v>Sample Product 00485</x:v>
      </x:c>
      <x:c r="E44" t="n">
        <x:v>149</x:v>
      </x:c>
      <x:c r="F44" s="12" t="n">
        <x:v>36886.44</x:v>
      </x:c>
      <x:c r="G44" s="12" t="n">
        <x:v>7856.81</x:v>
      </x:c>
    </x:row>
    <x:row r="45">
      <x:c r="A45" t="str">
        <x:v>Medical Devices</x:v>
      </x:c>
      <x:c r="B45" t="n">
        <x:v>2</x:v>
      </x:c>
      <x:c r="C45" t="str">
        <x:v>SKU00901</x:v>
      </x:c>
      <x:c r="D45" t="str">
        <x:v>Sample Product 00901</x:v>
      </x:c>
      <x:c r="E45" t="n">
        <x:v>141</x:v>
      </x:c>
      <x:c r="F45" s="12" t="n">
        <x:v>15078.54</x:v>
      </x:c>
      <x:c r="G45" s="12" t="n">
        <x:v>4825.13</x:v>
      </x:c>
    </x:row>
    <x:row r="46">
      <x:c r="A46" t="str">
        <x:v>Medical Devices</x:v>
      </x:c>
      <x:c r="B46" t="n">
        <x:v>3</x:v>
      </x:c>
      <x:c r="C46" t="str">
        <x:v>SKU01215</x:v>
      </x:c>
      <x:c r="D46" t="str">
        <x:v>Sample Product 01215</x:v>
      </x:c>
      <x:c r="E46" t="n">
        <x:v>120</x:v>
      </x:c>
      <x:c r="F46" s="12" t="n">
        <x:v>34724.4</x:v>
      </x:c>
      <x:c r="G46" s="12" t="n">
        <x:v>16181.57</x:v>
      </x:c>
    </x:row>
    <x:row r="47">
      <x:c r="A47" t="str">
        <x:v>Medical Devices</x:v>
      </x:c>
      <x:c r="B47" t="n">
        <x:v>4</x:v>
      </x:c>
      <x:c r="C47" t="str">
        <x:v>SKU00717</x:v>
      </x:c>
      <x:c r="D47" t="str">
        <x:v>Sample Product 00717</x:v>
      </x:c>
      <x:c r="E47" t="n">
        <x:v>120</x:v>
      </x:c>
      <x:c r="F47" s="12" t="n">
        <x:v>2682</x:v>
      </x:c>
      <x:c r="G47" s="12" t="n">
        <x:v>619.54</x:v>
      </x:c>
    </x:row>
    <x:row r="48">
      <x:c r="A48" t="str">
        <x:v>Medical Devices</x:v>
      </x:c>
      <x:c r="B48" t="n">
        <x:v>5</x:v>
      </x:c>
      <x:c r="C48" t="str">
        <x:v>SKU00070</x:v>
      </x:c>
      <x:c r="D48" t="str">
        <x:v>Sample Product 00070</x:v>
      </x:c>
      <x:c r="E48" t="n">
        <x:v>118</x:v>
      </x:c>
      <x:c r="F48" s="12" t="n">
        <x:v>10595.22</x:v>
      </x:c>
      <x:c r="G48" s="12" t="n">
        <x:v>3199.76</x:v>
      </x:c>
    </x:row>
    <x:row r="49">
      <x:c r="A49" t="str">
        <x:v>Medical Devices</x:v>
      </x:c>
      <x:c r="B49" t="n">
        <x:v>6</x:v>
      </x:c>
      <x:c r="C49" t="str">
        <x:v>SKU01337</x:v>
      </x:c>
      <x:c r="D49" t="str">
        <x:v>Sample Product 01337</x:v>
      </x:c>
      <x:c r="E49" t="n">
        <x:v>117</x:v>
      </x:c>
      <x:c r="F49" s="12" t="n">
        <x:v>44702.19</x:v>
      </x:c>
      <x:c r="G49" s="12" t="n">
        <x:v>14751.72</x:v>
      </x:c>
    </x:row>
    <x:row r="50">
      <x:c r="A50" t="str">
        <x:v>Medical Devices</x:v>
      </x:c>
      <x:c r="B50" t="n">
        <x:v>7</x:v>
      </x:c>
      <x:c r="C50" t="str">
        <x:v>SKU00945</x:v>
      </x:c>
      <x:c r="D50" t="str">
        <x:v>Sample Product 00945</x:v>
      </x:c>
      <x:c r="E50" t="n">
        <x:v>106</x:v>
      </x:c>
      <x:c r="F50" s="12" t="n">
        <x:v>1752.18</x:v>
      </x:c>
      <x:c r="G50" s="12" t="n">
        <x:v>453.81</x:v>
      </x:c>
    </x:row>
    <x:row r="51">
      <x:c r="A51" t="str">
        <x:v>Medical Devices</x:v>
      </x:c>
      <x:c r="B51" t="n">
        <x:v>8</x:v>
      </x:c>
      <x:c r="C51" t="str">
        <x:v>SKU00020</x:v>
      </x:c>
      <x:c r="D51" t="str">
        <x:v>Sample Product 00020</x:v>
      </x:c>
      <x:c r="E51" t="n">
        <x:v>103</x:v>
      </x:c>
      <x:c r="F51" s="12" t="n">
        <x:v>6106.87</x:v>
      </x:c>
      <x:c r="G51" s="12" t="n">
        <x:v>1239.69</x:v>
      </x:c>
    </x:row>
    <x:row r="52">
      <x:c r="A52" t="str">
        <x:v>Medical Devices</x:v>
      </x:c>
      <x:c r="B52" t="n">
        <x:v>9</x:v>
      </x:c>
      <x:c r="C52" t="str">
        <x:v>SKU00431</x:v>
      </x:c>
      <x:c r="D52" t="str">
        <x:v>Sample Product 00431</x:v>
      </x:c>
      <x:c r="E52" t="n">
        <x:v>102</x:v>
      </x:c>
      <x:c r="F52" s="12" t="n">
        <x:v>4577.76</x:v>
      </x:c>
      <x:c r="G52" s="12" t="n">
        <x:v>1236</x:v>
      </x:c>
    </x:row>
    <x:row r="53">
      <x:c r="A53" t="str">
        <x:v>Medical Devices</x:v>
      </x:c>
      <x:c r="B53" t="n">
        <x:v>10</x:v>
      </x:c>
      <x:c r="C53" t="str">
        <x:v>SKU01008</x:v>
      </x:c>
      <x:c r="D53" t="str">
        <x:v>Sample Product 01008</x:v>
      </x:c>
      <x:c r="E53" t="n">
        <x:v>90</x:v>
      </x:c>
      <x:c r="F53" s="12" t="n">
        <x:v>1082.7</x:v>
      </x:c>
      <x:c r="G53" s="12" t="n">
        <x:v>230.62</x:v>
      </x:c>
    </x:row>
    <x:row r="54">
      <x:c r="A54" t="str">
        <x:v>Medical Devices</x:v>
      </x:c>
      <x:c r="B54" t="n">
        <x:v>11</x:v>
      </x:c>
      <x:c r="C54" t="str">
        <x:v>SKU00206</x:v>
      </x:c>
      <x:c r="D54" t="str">
        <x:v>Sample Product 00206</x:v>
      </x:c>
      <x:c r="E54" t="n">
        <x:v>89</x:v>
      </x:c>
      <x:c r="F54" s="12" t="n">
        <x:v>4052.17</x:v>
      </x:c>
      <x:c r="G54" s="12" t="n">
        <x:v>1013.04</x:v>
      </x:c>
    </x:row>
    <x:row r="55">
      <x:c r="A55" t="str">
        <x:v>Medical Devices</x:v>
      </x:c>
      <x:c r="B55" t="n">
        <x:v>12</x:v>
      </x:c>
      <x:c r="C55" t="str">
        <x:v>SKU00675</x:v>
      </x:c>
      <x:c r="D55" t="str">
        <x:v>Sample Product 00675</x:v>
      </x:c>
      <x:c r="E55" t="n">
        <x:v>86</x:v>
      </x:c>
      <x:c r="F55" s="12" t="n">
        <x:v>4509.84</x:v>
      </x:c>
      <x:c r="G55" s="12" t="n">
        <x:v>879.42</x:v>
      </x:c>
    </x:row>
    <x:row r="56">
      <x:c r="A56" t="str">
        <x:v>Medical Devices</x:v>
      </x:c>
      <x:c r="B56" t="n">
        <x:v>13</x:v>
      </x:c>
      <x:c r="C56" t="str">
        <x:v>SKU01453</x:v>
      </x:c>
      <x:c r="D56" t="str">
        <x:v>Sample Product 01453</x:v>
      </x:c>
      <x:c r="E56" t="n">
        <x:v>83</x:v>
      </x:c>
      <x:c r="F56" s="12" t="n">
        <x:v>7697.42</x:v>
      </x:c>
      <x:c r="G56" s="12" t="n">
        <x:v>3232.92</x:v>
      </x:c>
    </x:row>
    <x:row r="57">
      <x:c r="A57" t="str">
        <x:v>Medical Devices</x:v>
      </x:c>
      <x:c r="B57" t="n">
        <x:v>14</x:v>
      </x:c>
      <x:c r="C57" t="str">
        <x:v>SKU00765</x:v>
      </x:c>
      <x:c r="D57" t="str">
        <x:v>Sample Product 00765</x:v>
      </x:c>
      <x:c r="E57" t="n">
        <x:v>83</x:v>
      </x:c>
      <x:c r="F57" s="12" t="n">
        <x:v>2797.1</x:v>
      </x:c>
      <x:c r="G57" s="12" t="n">
        <x:v>998.56</x:v>
      </x:c>
    </x:row>
    <x:row r="58">
      <x:c r="A58" t="str">
        <x:v>Medical Devices</x:v>
      </x:c>
      <x:c r="B58" t="n">
        <x:v>15</x:v>
      </x:c>
      <x:c r="C58" t="str">
        <x:v>SKU00480</x:v>
      </x:c>
      <x:c r="D58" t="str">
        <x:v>Sample Product 00480</x:v>
      </x:c>
      <x:c r="E58" t="n">
        <x:v>82</x:v>
      </x:c>
      <x:c r="F58" s="12" t="n">
        <x:v>11392.26</x:v>
      </x:c>
      <x:c r="G58" s="12" t="n">
        <x:v>3805.01</x:v>
      </x:c>
    </x:row>
    <x:row r="59">
      <x:c r="A59" t="str">
        <x:v>Medical Devices</x:v>
      </x:c>
      <x:c r="B59" t="n">
        <x:v>16</x:v>
      </x:c>
      <x:c r="C59" t="str">
        <x:v>SKU01458</x:v>
      </x:c>
      <x:c r="D59" t="str">
        <x:v>Sample Product 01458</x:v>
      </x:c>
      <x:c r="E59" t="n">
        <x:v>79</x:v>
      </x:c>
      <x:c r="F59" s="12" t="n">
        <x:v>4311.03</x:v>
      </x:c>
      <x:c r="G59" s="12" t="n">
        <x:v>1120.87</x:v>
      </x:c>
    </x:row>
    <x:row r="60">
      <x:c r="A60" t="str">
        <x:v>Medical Devices</x:v>
      </x:c>
      <x:c r="B60" t="n">
        <x:v>17</x:v>
      </x:c>
      <x:c r="C60" t="str">
        <x:v>SKU00967</x:v>
      </x:c>
      <x:c r="D60" t="str">
        <x:v>Sample Product 00967</x:v>
      </x:c>
      <x:c r="E60" t="n">
        <x:v>74</x:v>
      </x:c>
      <x:c r="F60" s="12" t="n">
        <x:v>5416.8</x:v>
      </x:c>
      <x:c r="G60" s="12" t="n">
        <x:v>1847.13</x:v>
      </x:c>
    </x:row>
    <x:row r="61">
      <x:c r="A61" t="str">
        <x:v>Medical Devices</x:v>
      </x:c>
      <x:c r="B61" t="n">
        <x:v>18</x:v>
      </x:c>
      <x:c r="C61" t="str">
        <x:v>SKU00328</x:v>
      </x:c>
      <x:c r="D61" t="str">
        <x:v>Sample Product 00328</x:v>
      </x:c>
      <x:c r="E61" t="n">
        <x:v>73</x:v>
      </x:c>
      <x:c r="F61" s="12" t="n">
        <x:v>6258.29</x:v>
      </x:c>
      <x:c r="G61" s="12" t="n">
        <x:v>1383.08</x:v>
      </x:c>
    </x:row>
    <x:row r="62">
      <x:c r="A62" t="str">
        <x:v>Medical Devices</x:v>
      </x:c>
      <x:c r="B62" t="n">
        <x:v>19</x:v>
      </x:c>
      <x:c r="C62" t="str">
        <x:v>SKU01074</x:v>
      </x:c>
      <x:c r="D62" t="str">
        <x:v>Sample Product 01074</x:v>
      </x:c>
      <x:c r="E62" t="n">
        <x:v>72</x:v>
      </x:c>
      <x:c r="F62" s="12" t="n">
        <x:v>4677.84</x:v>
      </x:c>
      <x:c r="G62" s="12" t="n">
        <x:v>935.57</x:v>
      </x:c>
    </x:row>
    <x:row r="63">
      <x:c r="A63" t="str">
        <x:v>Medical Devices</x:v>
      </x:c>
      <x:c r="B63" t="n">
        <x:v>20</x:v>
      </x:c>
      <x:c r="C63" t="str">
        <x:v>SKU00402</x:v>
      </x:c>
      <x:c r="D63" t="str">
        <x:v>Sample Product 00402</x:v>
      </x:c>
      <x:c r="E63" t="n">
        <x:v>70</x:v>
      </x:c>
      <x:c r="F63" s="12" t="n">
        <x:v>936.6</x:v>
      </x:c>
      <x:c r="G63" s="12" t="n">
        <x:v>164.84</x:v>
      </x:c>
    </x:row>
    <x:row r="64">
      <x:c r="A64" t="str">
        <x:v>Nutrition</x:v>
      </x:c>
      <x:c r="B64" t="n">
        <x:v>1</x:v>
      </x:c>
      <x:c r="C64" t="str">
        <x:v>SKU01336</x:v>
      </x:c>
      <x:c r="D64" t="str">
        <x:v>Sample Product 01336</x:v>
      </x:c>
      <x:c r="E64" t="n">
        <x:v>199</x:v>
      </x:c>
      <x:c r="F64" s="12" t="n">
        <x:v>13315.09</x:v>
      </x:c>
      <x:c r="G64" s="12" t="n">
        <x:v>3035.84</x:v>
      </x:c>
    </x:row>
    <x:row r="65">
      <x:c r="A65" t="str">
        <x:v>Nutrition</x:v>
      </x:c>
      <x:c r="B65" t="n">
        <x:v>2</x:v>
      </x:c>
      <x:c r="C65" t="str">
        <x:v>SKU00772</x:v>
      </x:c>
      <x:c r="D65" t="str">
        <x:v>Sample Product 00772</x:v>
      </x:c>
      <x:c r="E65" t="n">
        <x:v>182</x:v>
      </x:c>
      <x:c r="F65" s="12" t="n">
        <x:v>1233.96</x:v>
      </x:c>
      <x:c r="G65" s="12" t="n">
        <x:v>313.43</x:v>
      </x:c>
    </x:row>
    <x:row r="66">
      <x:c r="A66" t="str">
        <x:v>Nutrition</x:v>
      </x:c>
      <x:c r="B66" t="n">
        <x:v>3</x:v>
      </x:c>
      <x:c r="C66" t="str">
        <x:v>SKU00039</x:v>
      </x:c>
      <x:c r="D66" t="str">
        <x:v>Sample Product 00039</x:v>
      </x:c>
      <x:c r="E66" t="n">
        <x:v>155</x:v>
      </x:c>
      <x:c r="F66" s="12" t="n">
        <x:v>13702</x:v>
      </x:c>
      <x:c r="G66" s="12" t="n">
        <x:v>5398.59</x:v>
      </x:c>
    </x:row>
    <x:row r="67">
      <x:c r="A67" t="str">
        <x:v>Nutrition</x:v>
      </x:c>
      <x:c r="B67" t="n">
        <x:v>4</x:v>
      </x:c>
      <x:c r="C67" t="str">
        <x:v>SKU00032</x:v>
      </x:c>
      <x:c r="D67" t="str">
        <x:v>Sample Product 00032</x:v>
      </x:c>
      <x:c r="E67" t="n">
        <x:v>135</x:v>
      </x:c>
      <x:c r="F67" s="12" t="n">
        <x:v>11892.15</x:v>
      </x:c>
      <x:c r="G67" s="12" t="n">
        <x:v>4340.63</x:v>
      </x:c>
    </x:row>
    <x:row r="68">
      <x:c r="A68" t="str">
        <x:v>Nutrition</x:v>
      </x:c>
      <x:c r="B68" t="n">
        <x:v>5</x:v>
      </x:c>
      <x:c r="C68" t="str">
        <x:v>SKU00261</x:v>
      </x:c>
      <x:c r="D68" t="str">
        <x:v>Sample Product 00261</x:v>
      </x:c>
      <x:c r="E68" t="n">
        <x:v>118</x:v>
      </x:c>
      <x:c r="F68" s="12" t="n">
        <x:v>22653.64</x:v>
      </x:c>
      <x:c r="G68" s="12" t="n">
        <x:v>4032.35</x:v>
      </x:c>
    </x:row>
    <x:row r="69">
      <x:c r="A69" t="str">
        <x:v>Nutrition</x:v>
      </x:c>
      <x:c r="B69" t="n">
        <x:v>6</x:v>
      </x:c>
      <x:c r="C69" t="str">
        <x:v>SKU01407</x:v>
      </x:c>
      <x:c r="D69" t="str">
        <x:v>Sample Product 01407</x:v>
      </x:c>
      <x:c r="E69" t="n">
        <x:v>113</x:v>
      </x:c>
      <x:c r="F69" s="12" t="n">
        <x:v>5718.93</x:v>
      </x:c>
      <x:c r="G69" s="12" t="n">
        <x:v>1229.57</x:v>
      </x:c>
    </x:row>
    <x:row r="70">
      <x:c r="A70" t="str">
        <x:v>Nutrition</x:v>
      </x:c>
      <x:c r="B70" t="n">
        <x:v>7</x:v>
      </x:c>
      <x:c r="C70" t="str">
        <x:v>SKU00081</x:v>
      </x:c>
      <x:c r="D70" t="str">
        <x:v>Sample Product 00081</x:v>
      </x:c>
      <x:c r="E70" t="n">
        <x:v>110</x:v>
      </x:c>
      <x:c r="F70" s="12" t="n">
        <x:v>4936.8</x:v>
      </x:c>
      <x:c r="G70" s="12" t="n">
        <x:v>1905.6</x:v>
      </x:c>
    </x:row>
    <x:row r="71">
      <x:c r="A71" t="str">
        <x:v>Nutrition</x:v>
      </x:c>
      <x:c r="B71" t="n">
        <x:v>8</x:v>
      </x:c>
      <x:c r="C71" t="str">
        <x:v>SKU00550</x:v>
      </x:c>
      <x:c r="D71" t="str">
        <x:v>Sample Product 00550</x:v>
      </x:c>
      <x:c r="E71" t="n">
        <x:v>100</x:v>
      </x:c>
      <x:c r="F71" s="12" t="n">
        <x:v>1761</x:v>
      </x:c>
      <x:c r="G71" s="12" t="n">
        <x:v>658.61</x:v>
      </x:c>
    </x:row>
    <x:row r="72">
      <x:c r="A72" t="str">
        <x:v>Nutrition</x:v>
      </x:c>
      <x:c r="B72" t="n">
        <x:v>9</x:v>
      </x:c>
      <x:c r="C72" t="str">
        <x:v>SKU00458</x:v>
      </x:c>
      <x:c r="D72" t="str">
        <x:v>Sample Product 00458</x:v>
      </x:c>
      <x:c r="E72" t="n">
        <x:v>99</x:v>
      </x:c>
      <x:c r="F72" s="12" t="n">
        <x:v>13672.89</x:v>
      </x:c>
      <x:c r="G72" s="12" t="n">
        <x:v>2912.33</x:v>
      </x:c>
    </x:row>
    <x:row r="73">
      <x:c r="A73" t="str">
        <x:v>Nutrition</x:v>
      </x:c>
      <x:c r="B73" t="n">
        <x:v>10</x:v>
      </x:c>
      <x:c r="C73" t="str">
        <x:v>SKU00105</x:v>
      </x:c>
      <x:c r="D73" t="str">
        <x:v>Sample Product 00105</x:v>
      </x:c>
      <x:c r="E73" t="n">
        <x:v>95</x:v>
      </x:c>
      <x:c r="F73" s="12" t="n">
        <x:v>3303.15</x:v>
      </x:c>
      <x:c r="G73" s="12" t="n">
        <x:v>1057.01</x:v>
      </x:c>
    </x:row>
    <x:row r="74">
      <x:c r="A74" t="str">
        <x:v>Nutrition</x:v>
      </x:c>
      <x:c r="B74" t="n">
        <x:v>11</x:v>
      </x:c>
      <x:c r="C74" t="str">
        <x:v>SKU00118</x:v>
      </x:c>
      <x:c r="D74" t="str">
        <x:v>Sample Product 00118</x:v>
      </x:c>
      <x:c r="E74" t="n">
        <x:v>92</x:v>
      </x:c>
      <x:c r="F74" s="12" t="n">
        <x:v>1517.08</x:v>
      </x:c>
      <x:c r="G74" s="12" t="n">
        <x:v>500.64</x:v>
      </x:c>
    </x:row>
    <x:row r="75">
      <x:c r="A75" t="str">
        <x:v>Nutrition</x:v>
      </x:c>
      <x:c r="B75" t="n">
        <x:v>12</x:v>
      </x:c>
      <x:c r="C75" t="str">
        <x:v>SKU01187</x:v>
      </x:c>
      <x:c r="D75" t="str">
        <x:v>Sample Product 01187</x:v>
      </x:c>
      <x:c r="E75" t="n">
        <x:v>89</x:v>
      </x:c>
      <x:c r="F75" s="12" t="n">
        <x:v>10758.32</x:v>
      </x:c>
      <x:c r="G75" s="12" t="n">
        <x:v>4357.12</x:v>
      </x:c>
    </x:row>
    <x:row r="76">
      <x:c r="A76" t="str">
        <x:v>Nutrition</x:v>
      </x:c>
      <x:c r="B76" t="n">
        <x:v>13</x:v>
      </x:c>
      <x:c r="C76" t="str">
        <x:v>SKU00041</x:v>
      </x:c>
      <x:c r="D76" t="str">
        <x:v>Sample Product 00041</x:v>
      </x:c>
      <x:c r="E76" t="n">
        <x:v>88</x:v>
      </x:c>
      <x:c r="F76" s="12" t="n">
        <x:v>5903.92</x:v>
      </x:c>
      <x:c r="G76" s="12" t="n">
        <x:v>1718.04</x:v>
      </x:c>
    </x:row>
    <x:row r="77">
      <x:c r="A77" t="str">
        <x:v>Nutrition</x:v>
      </x:c>
      <x:c r="B77" t="n">
        <x:v>14</x:v>
      </x:c>
      <x:c r="C77" t="str">
        <x:v>SKU01046</x:v>
      </x:c>
      <x:c r="D77" t="str">
        <x:v>Sample Product 01046</x:v>
      </x:c>
      <x:c r="E77" t="n">
        <x:v>85</x:v>
      </x:c>
      <x:c r="F77" s="12" t="n">
        <x:v>1753.55</x:v>
      </x:c>
      <x:c r="G77" s="12" t="n">
        <x:v>413.84</x:v>
      </x:c>
    </x:row>
    <x:row r="78">
      <x:c r="A78" t="str">
        <x:v>Nutrition</x:v>
      </x:c>
      <x:c r="B78" t="n">
        <x:v>15</x:v>
      </x:c>
      <x:c r="C78" t="str">
        <x:v>SKU00481</x:v>
      </x:c>
      <x:c r="D78" t="str">
        <x:v>Sample Product 00481</x:v>
      </x:c>
      <x:c r="E78" t="n">
        <x:v>84</x:v>
      </x:c>
      <x:c r="F78" s="12" t="n">
        <x:v>9834.72</x:v>
      </x:c>
      <x:c r="G78" s="12" t="n">
        <x:v>3274.96</x:v>
      </x:c>
    </x:row>
    <x:row r="79">
      <x:c r="A79" t="str">
        <x:v>Nutrition</x:v>
      </x:c>
      <x:c r="B79" t="n">
        <x:v>16</x:v>
      </x:c>
      <x:c r="C79" t="str">
        <x:v>SKU00132</x:v>
      </x:c>
      <x:c r="D79" t="str">
        <x:v>Sample Product 00132</x:v>
      </x:c>
      <x:c r="E79" t="n">
        <x:v>81</x:v>
      </x:c>
      <x:c r="F79" s="12" t="n">
        <x:v>2767.77</x:v>
      </x:c>
      <x:c r="G79" s="12" t="n">
        <x:v>639.35</x:v>
      </x:c>
    </x:row>
    <x:row r="80">
      <x:c r="A80" t="str">
        <x:v>Nutrition</x:v>
      </x:c>
      <x:c r="B80" t="n">
        <x:v>17</x:v>
      </x:c>
      <x:c r="C80" t="str">
        <x:v>SKU00567</x:v>
      </x:c>
      <x:c r="D80" t="str">
        <x:v>Sample Product 00567</x:v>
      </x:c>
      <x:c r="E80" t="n">
        <x:v>75</x:v>
      </x:c>
      <x:c r="F80" s="12" t="n">
        <x:v>16353.75</x:v>
      </x:c>
      <x:c r="G80" s="12" t="n">
        <x:v>5609.34</x:v>
      </x:c>
    </x:row>
    <x:row r="81">
      <x:c r="A81" t="str">
        <x:v>Nutrition</x:v>
      </x:c>
      <x:c r="B81" t="n">
        <x:v>18</x:v>
      </x:c>
      <x:c r="C81" t="str">
        <x:v>SKU01041</x:v>
      </x:c>
      <x:c r="D81" t="str">
        <x:v>Sample Product 01041</x:v>
      </x:c>
      <x:c r="E81" t="n">
        <x:v>74</x:v>
      </x:c>
      <x:c r="F81" s="12" t="n">
        <x:v>338.92</x:v>
      </x:c>
      <x:c r="G81" s="12" t="n">
        <x:v>104.73</x:v>
      </x:c>
    </x:row>
    <x:row r="82">
      <x:c r="A82" t="str">
        <x:v>Nutrition</x:v>
      </x:c>
      <x:c r="B82" t="n">
        <x:v>19</x:v>
      </x:c>
      <x:c r="C82" t="str">
        <x:v>SKU01200</x:v>
      </x:c>
      <x:c r="D82" t="str">
        <x:v>Sample Product 01200</x:v>
      </x:c>
      <x:c r="E82" t="n">
        <x:v>73</x:v>
      </x:c>
      <x:c r="F82" s="12" t="n">
        <x:v>4404.82</x:v>
      </x:c>
      <x:c r="G82" s="12" t="n">
        <x:v>1317.04</x:v>
      </x:c>
    </x:row>
    <x:row r="83">
      <x:c r="A83" t="str">
        <x:v>Nutrition</x:v>
      </x:c>
      <x:c r="B83" t="n">
        <x:v>20</x:v>
      </x:c>
      <x:c r="C83" t="str">
        <x:v>SKU01437</x:v>
      </x:c>
      <x:c r="D83" t="str">
        <x:v>Sample Product 01437</x:v>
      </x:c>
      <x:c r="E83" t="n">
        <x:v>73</x:v>
      </x:c>
      <x:c r="F83" s="12" t="n">
        <x:v>798.62</x:v>
      </x:c>
      <x:c r="G83" s="12" t="n">
        <x:v>276.32</x:v>
      </x:c>
    </x:row>
    <x:row r="84">
      <x:c r="A84" t="str">
        <x:v>General Merchandise</x:v>
      </x:c>
      <x:c r="B84" t="n">
        <x:v>1</x:v>
      </x:c>
      <x:c r="C84" t="str">
        <x:v>SKU00634</x:v>
      </x:c>
      <x:c r="D84" t="str">
        <x:v>Sample Product 00634</x:v>
      </x:c>
      <x:c r="E84" t="n">
        <x:v>221</x:v>
      </x:c>
      <x:c r="F84" s="12" t="n">
        <x:v>21814.91</x:v>
      </x:c>
      <x:c r="G84" s="12" t="n">
        <x:v>5606.43</x:v>
      </x:c>
    </x:row>
    <x:row r="85">
      <x:c r="A85" t="str">
        <x:v>General Merchandise</x:v>
      </x:c>
      <x:c r="B85" t="n">
        <x:v>2</x:v>
      </x:c>
      <x:c r="C85" t="str">
        <x:v>SKU00036</x:v>
      </x:c>
      <x:c r="D85" t="str">
        <x:v>Sample Product 00036</x:v>
      </x:c>
      <x:c r="E85" t="n">
        <x:v>189</x:v>
      </x:c>
      <x:c r="F85" s="12" t="n">
        <x:v>13129.83</x:v>
      </x:c>
      <x:c r="G85" s="12" t="n">
        <x:v>6092.24</x:v>
      </x:c>
    </x:row>
    <x:row r="86">
      <x:c r="A86" t="str">
        <x:v>General Merchandise</x:v>
      </x:c>
      <x:c r="B86" t="n">
        <x:v>3</x:v>
      </x:c>
      <x:c r="C86" t="str">
        <x:v>SKU00045</x:v>
      </x:c>
      <x:c r="D86" t="str">
        <x:v>Sample Product 00045</x:v>
      </x:c>
      <x:c r="E86" t="n">
        <x:v>179</x:v>
      </x:c>
      <x:c r="F86" s="12" t="n">
        <x:v>2813.88</x:v>
      </x:c>
      <x:c r="G86" s="12" t="n">
        <x:v>740.05</x:v>
      </x:c>
    </x:row>
    <x:row r="87">
      <x:c r="A87" t="str">
        <x:v>General Merchandise</x:v>
      </x:c>
      <x:c r="B87" t="n">
        <x:v>4</x:v>
      </x:c>
      <x:c r="C87" t="str">
        <x:v>SKU01312</x:v>
      </x:c>
      <x:c r="D87" t="str">
        <x:v>Sample Product 01312</x:v>
      </x:c>
      <x:c r="E87" t="n">
        <x:v>130</x:v>
      </x:c>
      <x:c r="F87" s="12" t="n">
        <x:v>38273.3</x:v>
      </x:c>
      <x:c r="G87" s="12" t="n">
        <x:v>13510.47</x:v>
      </x:c>
    </x:row>
    <x:row r="88">
      <x:c r="A88" t="str">
        <x:v>General Merchandise</x:v>
      </x:c>
      <x:c r="B88" t="n">
        <x:v>5</x:v>
      </x:c>
      <x:c r="C88" t="str">
        <x:v>SKU00169</x:v>
      </x:c>
      <x:c r="D88" t="str">
        <x:v>Sample Product 00169</x:v>
      </x:c>
      <x:c r="E88" t="n">
        <x:v>118</x:v>
      </x:c>
      <x:c r="F88" s="12" t="n">
        <x:v>1351.1</x:v>
      </x:c>
      <x:c r="G88" s="12" t="n">
        <x:v>464.78</x:v>
      </x:c>
    </x:row>
    <x:row r="89">
      <x:c r="A89" t="str">
        <x:v>General Merchandise</x:v>
      </x:c>
      <x:c r="B89" t="n">
        <x:v>6</x:v>
      </x:c>
      <x:c r="C89" t="str">
        <x:v>SKU01423</x:v>
      </x:c>
      <x:c r="D89" t="str">
        <x:v>Sample Product 01423</x:v>
      </x:c>
      <x:c r="E89" t="n">
        <x:v>112</x:v>
      </x:c>
      <x:c r="F89" s="12" t="n">
        <x:v>19781.44</x:v>
      </x:c>
      <x:c r="G89" s="12" t="n">
        <x:v>4965.14</x:v>
      </x:c>
    </x:row>
    <x:row r="90">
      <x:c r="A90" t="str">
        <x:v>General Merchandise</x:v>
      </x:c>
      <x:c r="B90" t="n">
        <x:v>7</x:v>
      </x:c>
      <x:c r="C90" t="str">
        <x:v>SKU01297</x:v>
      </x:c>
      <x:c r="D90" t="str">
        <x:v>Sample Product 01297</x:v>
      </x:c>
      <x:c r="E90" t="n">
        <x:v>104</x:v>
      </x:c>
      <x:c r="F90" s="12" t="n">
        <x:v>1500.72</x:v>
      </x:c>
      <x:c r="G90" s="12" t="n">
        <x:v>438.21</x:v>
      </x:c>
    </x:row>
    <x:row r="91">
      <x:c r="A91" t="str">
        <x:v>General Merchandise</x:v>
      </x:c>
      <x:c r="B91" t="n">
        <x:v>8</x:v>
      </x:c>
      <x:c r="C91" t="str">
        <x:v>SKU00929</x:v>
      </x:c>
      <x:c r="D91" t="str">
        <x:v>Sample Product 00929</x:v>
      </x:c>
      <x:c r="E91" t="n">
        <x:v>92</x:v>
      </x:c>
      <x:c r="F91" s="12" t="n">
        <x:v>24364.36</x:v>
      </x:c>
      <x:c r="G91" s="12" t="n">
        <x:v>10159.94</x:v>
      </x:c>
    </x:row>
    <x:row r="92">
      <x:c r="A92" t="str">
        <x:v>General Merchandise</x:v>
      </x:c>
      <x:c r="B92" t="n">
        <x:v>9</x:v>
      </x:c>
      <x:c r="C92" t="str">
        <x:v>SKU00789</x:v>
      </x:c>
      <x:c r="D92" t="str">
        <x:v>Sample Product 00789</x:v>
      </x:c>
      <x:c r="E92" t="n">
        <x:v>90</x:v>
      </x:c>
      <x:c r="F92" s="12" t="n">
        <x:v>2161.8</x:v>
      </x:c>
      <x:c r="G92" s="12" t="n">
        <x:v>786.9</x:v>
      </x:c>
    </x:row>
    <x:row r="93">
      <x:c r="A93" t="str">
        <x:v>General Merchandise</x:v>
      </x:c>
      <x:c r="B93" t="n">
        <x:v>10</x:v>
      </x:c>
      <x:c r="C93" t="str">
        <x:v>SKU00021</x:v>
      </x:c>
      <x:c r="D93" t="str">
        <x:v>Sample Product 00021</x:v>
      </x:c>
      <x:c r="E93" t="n">
        <x:v>85</x:v>
      </x:c>
      <x:c r="F93" s="12" t="n">
        <x:v>6431.95</x:v>
      </x:c>
      <x:c r="G93" s="12" t="n">
        <x:v>2810.76</x:v>
      </x:c>
    </x:row>
    <x:row r="94">
      <x:c r="A94" t="str">
        <x:v>General Merchandise</x:v>
      </x:c>
      <x:c r="B94" t="n">
        <x:v>11</x:v>
      </x:c>
      <x:c r="C94" t="str">
        <x:v>SKU01398</x:v>
      </x:c>
      <x:c r="D94" t="str">
        <x:v>Sample Product 01398</x:v>
      </x:c>
      <x:c r="E94" t="n">
        <x:v>75</x:v>
      </x:c>
      <x:c r="F94" s="12" t="n">
        <x:v>3954.75</x:v>
      </x:c>
      <x:c r="G94" s="12" t="n">
        <x:v>1000.55</x:v>
      </x:c>
    </x:row>
    <x:row r="95">
      <x:c r="A95" t="str">
        <x:v>General Merchandise</x:v>
      </x:c>
      <x:c r="B95" t="n">
        <x:v>12</x:v>
      </x:c>
      <x:c r="C95" t="str">
        <x:v>SKU01199</x:v>
      </x:c>
      <x:c r="D95" t="str">
        <x:v>Sample Product 01199</x:v>
      </x:c>
      <x:c r="E95" t="n">
        <x:v>73</x:v>
      </x:c>
      <x:c r="F95" s="12" t="n">
        <x:v>18588.72</x:v>
      </x:c>
      <x:c r="G95" s="12" t="n">
        <x:v>5018.95</x:v>
      </x:c>
    </x:row>
    <x:row r="96">
      <x:c r="A96" t="str">
        <x:v>General Merchandise</x:v>
      </x:c>
      <x:c r="B96" t="n">
        <x:v>13</x:v>
      </x:c>
      <x:c r="C96" t="str">
        <x:v>SKU00566</x:v>
      </x:c>
      <x:c r="D96" t="str">
        <x:v>Sample Product 00566</x:v>
      </x:c>
      <x:c r="E96" t="n">
        <x:v>69</x:v>
      </x:c>
      <x:c r="F96" s="12" t="n">
        <x:v>12187.47</x:v>
      </x:c>
      <x:c r="G96" s="12" t="n">
        <x:v>4143.74</x:v>
      </x:c>
    </x:row>
    <x:row r="97">
      <x:c r="A97" t="str">
        <x:v>General Merchandise</x:v>
      </x:c>
      <x:c r="B97" t="n">
        <x:v>14</x:v>
      </x:c>
      <x:c r="C97" t="str">
        <x:v>SKU00835</x:v>
      </x:c>
      <x:c r="D97" t="str">
        <x:v>Sample Product 00835</x:v>
      </x:c>
      <x:c r="E97" t="n">
        <x:v>66</x:v>
      </x:c>
      <x:c r="F97" s="12" t="n">
        <x:v>3268.98</x:v>
      </x:c>
      <x:c r="G97" s="12" t="n">
        <x:v>1225.87</x:v>
      </x:c>
    </x:row>
    <x:row r="98">
      <x:c r="A98" t="str">
        <x:v>General Merchandise</x:v>
      </x:c>
      <x:c r="B98" t="n">
        <x:v>15</x:v>
      </x:c>
      <x:c r="C98" t="str">
        <x:v>SKU01460</x:v>
      </x:c>
      <x:c r="D98" t="str">
        <x:v>Sample Product 01460</x:v>
      </x:c>
      <x:c r="E98" t="n">
        <x:v>65</x:v>
      </x:c>
      <x:c r="F98" s="12" t="n">
        <x:v>14816.75</x:v>
      </x:c>
      <x:c r="G98" s="12" t="n">
        <x:v>8060.31</x:v>
      </x:c>
    </x:row>
    <x:row r="99">
      <x:c r="A99" t="str">
        <x:v>General Merchandise</x:v>
      </x:c>
      <x:c r="B99" t="n">
        <x:v>16</x:v>
      </x:c>
      <x:c r="C99" t="str">
        <x:v>SKU00056</x:v>
      </x:c>
      <x:c r="D99" t="str">
        <x:v>Sample Product 00056</x:v>
      </x:c>
      <x:c r="E99" t="n">
        <x:v>65</x:v>
      </x:c>
      <x:c r="F99" s="12" t="n">
        <x:v>10998.65</x:v>
      </x:c>
      <x:c r="G99" s="12" t="n">
        <x:v>4927.4</x:v>
      </x:c>
    </x:row>
    <x:row r="100">
      <x:c r="A100" t="str">
        <x:v>General Merchandise</x:v>
      </x:c>
      <x:c r="B100" t="n">
        <x:v>17</x:v>
      </x:c>
      <x:c r="C100" t="str">
        <x:v>SKU00482</x:v>
      </x:c>
      <x:c r="D100" t="str">
        <x:v>Sample Product 00482</x:v>
      </x:c>
      <x:c r="E100" t="n">
        <x:v>65</x:v>
      </x:c>
      <x:c r="F100" s="12" t="n">
        <x:v>615.55</x:v>
      </x:c>
      <x:c r="G100" s="12" t="n">
        <x:v>266.53</x:v>
      </x:c>
    </x:row>
    <x:row r="101">
      <x:c r="A101" t="str">
        <x:v>General Merchandise</x:v>
      </x:c>
      <x:c r="B101" t="n">
        <x:v>18</x:v>
      </x:c>
      <x:c r="C101" t="str">
        <x:v>SKU01173</x:v>
      </x:c>
      <x:c r="D101" t="str">
        <x:v>Sample Product 01173</x:v>
      </x:c>
      <x:c r="E101" t="n">
        <x:v>64</x:v>
      </x:c>
      <x:c r="F101" s="12" t="n">
        <x:v>17094.4</x:v>
      </x:c>
      <x:c r="G101" s="12" t="n">
        <x:v>5983.04</x:v>
      </x:c>
    </x:row>
    <x:row r="102">
      <x:c r="A102" t="str">
        <x:v>General Merchandise</x:v>
      </x:c>
      <x:c r="B102" t="n">
        <x:v>19</x:v>
      </x:c>
      <x:c r="C102" t="str">
        <x:v>SKU00136</x:v>
      </x:c>
      <x:c r="D102" t="str">
        <x:v>Sample Product 00136</x:v>
      </x:c>
      <x:c r="E102" t="n">
        <x:v>64</x:v>
      </x:c>
      <x:c r="F102" s="12" t="n">
        <x:v>4189.44</x:v>
      </x:c>
      <x:c r="G102" s="12" t="n">
        <x:v>1273.59</x:v>
      </x:c>
    </x:row>
    <x:row r="103">
      <x:c r="A103" t="str">
        <x:v>General Merchandise</x:v>
      </x:c>
      <x:c r="B103" t="n">
        <x:v>20</x:v>
      </x:c>
      <x:c r="C103" t="str">
        <x:v>SKU01077</x:v>
      </x:c>
      <x:c r="D103" t="str">
        <x:v>Sample Product 01077</x:v>
      </x:c>
      <x:c r="E103" t="n">
        <x:v>63</x:v>
      </x:c>
      <x:c r="F103" s="12" t="n">
        <x:v>9431.1</x:v>
      </x:c>
      <x:c r="G103" s="12" t="n">
        <x:v>4310.01</x:v>
      </x:c>
    </x:row>
    <x:row r="106">
      <x:c r="A106" s="23" t="str">
        <x:v>Top 20 by Profit Value</x:v>
      </x:c>
      <x:c r="B106" s="23"/>
      <x:c r="C106" s="23"/>
      <x:c r="D106" s="23"/>
      <x:c r="E106" s="23"/>
      <x:c r="F106" s="23"/>
      <x:c r="G106" s="23"/>
    </x:row>
    <x:row r="107">
      <x:c r="A107" s="5" t="str">
        <x:v>Category</x:v>
      </x:c>
      <x:c r="B107" s="5" t="str">
        <x:v>Rank</x:v>
      </x:c>
      <x:c r="C107" s="5" t="str">
        <x:v>SKU</x:v>
      </x:c>
      <x:c r="D107" s="5" t="str">
        <x:v>Item_Name</x:v>
      </x:c>
      <x:c r="E107" s="5" t="str">
        <x:v>Profit_Value</x:v>
      </x:c>
      <x:c r="F107" s="5" t="str">
        <x:v>Sales_Qty</x:v>
      </x:c>
      <x:c r="G107" s="5" t="str">
        <x:v>Sales_Value</x:v>
      </x:c>
    </x:row>
    <x:row r="108">
      <x:c r="A108" t="str">
        <x:v>OTC &amp; Wellness</x:v>
      </x:c>
      <x:c r="B108" t="n">
        <x:v>1</x:v>
      </x:c>
      <x:c r="C108" t="str">
        <x:v>SKU01124</x:v>
      </x:c>
      <x:c r="D108" t="str">
        <x:v>Sample Product 01124</x:v>
      </x:c>
      <x:c r="E108" s="12" t="n">
        <x:v>8062.57</x:v>
      </x:c>
      <x:c r="F108" t="n">
        <x:v>37</x:v>
      </x:c>
      <x:c r="G108" s="12" t="n">
        <x:v>18199.93</x:v>
      </x:c>
    </x:row>
    <x:row r="109">
      <x:c r="A109" t="str">
        <x:v>OTC &amp; Wellness</x:v>
      </x:c>
      <x:c r="B109" t="n">
        <x:v>2</x:v>
      </x:c>
      <x:c r="C109" t="str">
        <x:v>SKU01154</x:v>
      </x:c>
      <x:c r="D109" t="str">
        <x:v>Sample Product 01154</x:v>
      </x:c>
      <x:c r="E109" s="12" t="n">
        <x:v>7150.88</x:v>
      </x:c>
      <x:c r="F109" t="n">
        <x:v>137</x:v>
      </x:c>
      <x:c r="G109" s="12" t="n">
        <x:v>22207.7</x:v>
      </x:c>
    </x:row>
    <x:row r="110">
      <x:c r="A110" t="str">
        <x:v>OTC &amp; Wellness</x:v>
      </x:c>
      <x:c r="B110" t="n">
        <x:v>3</x:v>
      </x:c>
      <x:c r="C110" t="str">
        <x:v>SKU00824</x:v>
      </x:c>
      <x:c r="D110" t="str">
        <x:v>Sample Product 00824</x:v>
      </x:c>
      <x:c r="E110" s="12" t="n">
        <x:v>6149.54</x:v>
      </x:c>
      <x:c r="F110" t="n">
        <x:v>23</x:v>
      </x:c>
      <x:c r="G110" s="12" t="n">
        <x:v>14782.56</x:v>
      </x:c>
    </x:row>
    <x:row r="111">
      <x:c r="A111" t="str">
        <x:v>OTC &amp; Wellness</x:v>
      </x:c>
      <x:c r="B111" t="n">
        <x:v>4</x:v>
      </x:c>
      <x:c r="C111" t="str">
        <x:v>SKU01294</x:v>
      </x:c>
      <x:c r="D111" t="str">
        <x:v>Sample Product 01294</x:v>
      </x:c>
      <x:c r="E111" s="12" t="n">
        <x:v>5967.7</x:v>
      </x:c>
      <x:c r="F111" t="n">
        <x:v>98</x:v>
      </x:c>
      <x:c r="G111" s="12" t="n">
        <x:v>17867.36</x:v>
      </x:c>
    </x:row>
    <x:row r="112">
      <x:c r="A112" t="str">
        <x:v>OTC &amp; Wellness</x:v>
      </x:c>
      <x:c r="B112" t="n">
        <x:v>5</x:v>
      </x:c>
      <x:c r="C112" t="str">
        <x:v>SKU01177</x:v>
      </x:c>
      <x:c r="D112" t="str">
        <x:v>Sample Product 01177</x:v>
      </x:c>
      <x:c r="E112" s="12" t="n">
        <x:v>5501.96</x:v>
      </x:c>
      <x:c r="F112" t="n">
        <x:v>26</x:v>
      </x:c>
      <x:c r="G112" s="12" t="n">
        <x:v>16229.98</x:v>
      </x:c>
    </x:row>
    <x:row r="113">
      <x:c r="A113" t="str">
        <x:v>OTC &amp; Wellness</x:v>
      </x:c>
      <x:c r="B113" t="n">
        <x:v>6</x:v>
      </x:c>
      <x:c r="C113" t="str">
        <x:v>SKU01218</x:v>
      </x:c>
      <x:c r="D113" t="str">
        <x:v>Sample Product 01218</x:v>
      </x:c>
      <x:c r="E113" s="12" t="n">
        <x:v>5082.15</x:v>
      </x:c>
      <x:c r="F113" t="n">
        <x:v>95</x:v>
      </x:c>
      <x:c r="G113" s="12" t="n">
        <x:v>13031.15</x:v>
      </x:c>
    </x:row>
    <x:row r="114">
      <x:c r="A114" t="str">
        <x:v>OTC &amp; Wellness</x:v>
      </x:c>
      <x:c r="B114" t="n">
        <x:v>7</x:v>
      </x:c>
      <x:c r="C114" t="str">
        <x:v>SKU01263</x:v>
      </x:c>
      <x:c r="D114" t="str">
        <x:v>Sample Product 01263</x:v>
      </x:c>
      <x:c r="E114" s="12" t="n">
        <x:v>5072.03</x:v>
      </x:c>
      <x:c r="F114" t="n">
        <x:v>72</x:v>
      </x:c>
      <x:c r="G114" s="12" t="n">
        <x:v>15850.08</x:v>
      </x:c>
    </x:row>
    <x:row r="115">
      <x:c r="A115" t="str">
        <x:v>OTC &amp; Wellness</x:v>
      </x:c>
      <x:c r="B115" t="n">
        <x:v>8</x:v>
      </x:c>
      <x:c r="C115" t="str">
        <x:v>SKU00155</x:v>
      </x:c>
      <x:c r="D115" t="str">
        <x:v>Sample Product 00155</x:v>
      </x:c>
      <x:c r="E115" s="12" t="n">
        <x:v>4982.46</x:v>
      </x:c>
      <x:c r="F115" t="n">
        <x:v>45</x:v>
      </x:c>
      <x:c r="G115" s="12" t="n">
        <x:v>13429.8</x:v>
      </x:c>
    </x:row>
    <x:row r="116">
      <x:c r="A116" t="str">
        <x:v>OTC &amp; Wellness</x:v>
      </x:c>
      <x:c r="B116" t="n">
        <x:v>9</x:v>
      </x:c>
      <x:c r="C116" t="str">
        <x:v>SKU00721</x:v>
      </x:c>
      <x:c r="D116" t="str">
        <x:v>Sample Product 00721</x:v>
      </x:c>
      <x:c r="E116" s="12" t="n">
        <x:v>4963.54</x:v>
      </x:c>
      <x:c r="F116" t="n">
        <x:v>68</x:v>
      </x:c>
      <x:c r="G116" s="12" t="n">
        <x:v>12471.2</x:v>
      </x:c>
    </x:row>
    <x:row r="117">
      <x:c r="A117" t="str">
        <x:v>OTC &amp; Wellness</x:v>
      </x:c>
      <x:c r="B117" t="n">
        <x:v>10</x:v>
      </x:c>
      <x:c r="C117" t="str">
        <x:v>SKU00173</x:v>
      </x:c>
      <x:c r="D117" t="str">
        <x:v>Sample Product 00173</x:v>
      </x:c>
      <x:c r="E117" s="12" t="n">
        <x:v>4929.32</x:v>
      </x:c>
      <x:c r="F117" t="n">
        <x:v>127</x:v>
      </x:c>
      <x:c r="G117" s="12" t="n">
        <x:v>14043.66</x:v>
      </x:c>
    </x:row>
    <x:row r="118">
      <x:c r="A118" t="str">
        <x:v>OTC &amp; Wellness</x:v>
      </x:c>
      <x:c r="B118" t="n">
        <x:v>11</x:v>
      </x:c>
      <x:c r="C118" t="str">
        <x:v>SKU01351</x:v>
      </x:c>
      <x:c r="D118" t="str">
        <x:v>Sample Product 01351</x:v>
      </x:c>
      <x:c r="E118" s="12" t="n">
        <x:v>4500.39</x:v>
      </x:c>
      <x:c r="F118" t="n">
        <x:v>20</x:v>
      </x:c>
      <x:c r="G118" s="12" t="n">
        <x:v>11003.4</x:v>
      </x:c>
    </x:row>
    <x:row r="119">
      <x:c r="A119" t="str">
        <x:v>OTC &amp; Wellness</x:v>
      </x:c>
      <x:c r="B119" t="n">
        <x:v>12</x:v>
      </x:c>
      <x:c r="C119" t="str">
        <x:v>SKU01303</x:v>
      </x:c>
      <x:c r="D119" t="str">
        <x:v>Sample Product 01303</x:v>
      </x:c>
      <x:c r="E119" s="12" t="n">
        <x:v>4496.88</x:v>
      </x:c>
      <x:c r="F119" t="n">
        <x:v>59</x:v>
      </x:c>
      <x:c r="G119" s="12" t="n">
        <x:v>17429.78</x:v>
      </x:c>
    </x:row>
    <x:row r="120">
      <x:c r="A120" t="str">
        <x:v>OTC &amp; Wellness</x:v>
      </x:c>
      <x:c r="B120" t="n">
        <x:v>13</x:v>
      </x:c>
      <x:c r="C120" t="str">
        <x:v>SKU00822</x:v>
      </x:c>
      <x:c r="D120" t="str">
        <x:v>Sample Product 00822</x:v>
      </x:c>
      <x:c r="E120" s="12" t="n">
        <x:v>4399.45</x:v>
      </x:c>
      <x:c r="F120" t="n">
        <x:v>33</x:v>
      </x:c>
      <x:c r="G120" s="12" t="n">
        <x:v>13331.67</x:v>
      </x:c>
    </x:row>
    <x:row r="121">
      <x:c r="A121" t="str">
        <x:v>OTC &amp; Wellness</x:v>
      </x:c>
      <x:c r="B121" t="n">
        <x:v>14</x:v>
      </x:c>
      <x:c r="C121" t="str">
        <x:v>SKU00773</x:v>
      </x:c>
      <x:c r="D121" t="str">
        <x:v>Sample Product 00773</x:v>
      </x:c>
      <x:c r="E121" s="12" t="n">
        <x:v>4055.57</x:v>
      </x:c>
      <x:c r="F121" t="n">
        <x:v>61</x:v>
      </x:c>
      <x:c r="G121" s="12" t="n">
        <x:v>10672.56</x:v>
      </x:c>
    </x:row>
    <x:row r="122">
      <x:c r="A122" t="str">
        <x:v>OTC &amp; Wellness</x:v>
      </x:c>
      <x:c r="B122" t="n">
        <x:v>15</x:v>
      </x:c>
      <x:c r="C122" t="str">
        <x:v>SKU00317</x:v>
      </x:c>
      <x:c r="D122" t="str">
        <x:v>Sample Product 00317</x:v>
      </x:c>
      <x:c r="E122" s="12" t="n">
        <x:v>3942.72</x:v>
      </x:c>
      <x:c r="F122" t="n">
        <x:v>70</x:v>
      </x:c>
      <x:c r="G122" s="12" t="n">
        <x:v>12437.6</x:v>
      </x:c>
    </x:row>
    <x:row r="123">
      <x:c r="A123" t="str">
        <x:v>OTC &amp; Wellness</x:v>
      </x:c>
      <x:c r="B123" t="n">
        <x:v>16</x:v>
      </x:c>
      <x:c r="C123" t="str">
        <x:v>SKU01151</x:v>
      </x:c>
      <x:c r="D123" t="str">
        <x:v>Sample Product 01151</x:v>
      </x:c>
      <x:c r="E123" s="12" t="n">
        <x:v>3555.59</x:v>
      </x:c>
      <x:c r="F123" t="n">
        <x:v>31</x:v>
      </x:c>
      <x:c r="G123" s="12" t="n">
        <x:v>7422.95</x:v>
      </x:c>
    </x:row>
    <x:row r="124">
      <x:c r="A124" t="str">
        <x:v>OTC &amp; Wellness</x:v>
      </x:c>
      <x:c r="B124" t="n">
        <x:v>17</x:v>
      </x:c>
      <x:c r="C124" t="str">
        <x:v>SKU00816</x:v>
      </x:c>
      <x:c r="D124" t="str">
        <x:v>Sample Product 00816</x:v>
      </x:c>
      <x:c r="E124" s="12" t="n">
        <x:v>2904.94</x:v>
      </x:c>
      <x:c r="F124" t="n">
        <x:v>52</x:v>
      </x:c>
      <x:c r="G124" s="12" t="n">
        <x:v>12361.44</x:v>
      </x:c>
    </x:row>
    <x:row r="125">
      <x:c r="A125" t="str">
        <x:v>OTC &amp; Wellness</x:v>
      </x:c>
      <x:c r="B125" t="n">
        <x:v>18</x:v>
      </x:c>
      <x:c r="C125" t="str">
        <x:v>SKU00270</x:v>
      </x:c>
      <x:c r="D125" t="str">
        <x:v>Sample Product 00270</x:v>
      </x:c>
      <x:c r="E125" s="12" t="n">
        <x:v>2855.36</x:v>
      </x:c>
      <x:c r="F125" t="n">
        <x:v>69</x:v>
      </x:c>
      <x:c r="G125" s="12" t="n">
        <x:v>6831</x:v>
      </x:c>
    </x:row>
    <x:row r="126">
      <x:c r="A126" t="str">
        <x:v>OTC &amp; Wellness</x:v>
      </x:c>
      <x:c r="B126" t="n">
        <x:v>19</x:v>
      </x:c>
      <x:c r="C126" t="str">
        <x:v>SKU01400</x:v>
      </x:c>
      <x:c r="D126" t="str">
        <x:v>Sample Product 01400</x:v>
      </x:c>
      <x:c r="E126" s="12" t="n">
        <x:v>2842.3</x:v>
      </x:c>
      <x:c r="F126" t="n">
        <x:v>18</x:v>
      </x:c>
      <x:c r="G126" s="12" t="n">
        <x:v>7460.1</x:v>
      </x:c>
    </x:row>
    <x:row r="127">
      <x:c r="A127" t="str">
        <x:v>OTC &amp; Wellness</x:v>
      </x:c>
      <x:c r="B127" t="n">
        <x:v>20</x:v>
      </x:c>
      <x:c r="C127" t="str">
        <x:v>SKU00334</x:v>
      </x:c>
      <x:c r="D127" t="str">
        <x:v>Sample Product 00334</x:v>
      </x:c>
      <x:c r="E127" s="12" t="n">
        <x:v>2807.04</x:v>
      </x:c>
      <x:c r="F127" t="n">
        <x:v>17</x:v>
      </x:c>
      <x:c r="G127" s="12" t="n">
        <x:v>8968.18</x:v>
      </x:c>
    </x:row>
    <x:row r="128">
      <x:c r="A128" t="str">
        <x:v>Personal Care</x:v>
      </x:c>
      <x:c r="B128" t="n">
        <x:v>1</x:v>
      </x:c>
      <x:c r="C128" t="str">
        <x:v>SKU00176</x:v>
      </x:c>
      <x:c r="D128" t="str">
        <x:v>Sample Product 00176</x:v>
      </x:c>
      <x:c r="E128" s="12" t="n">
        <x:v>27269.8</x:v>
      </x:c>
      <x:c r="F128" t="n">
        <x:v>136</x:v>
      </x:c>
      <x:c r="G128" s="12" t="n">
        <x:v>62118</x:v>
      </x:c>
    </x:row>
    <x:row r="129">
      <x:c r="A129" t="str">
        <x:v>Personal Care</x:v>
      </x:c>
      <x:c r="B129" t="n">
        <x:v>2</x:v>
      </x:c>
      <x:c r="C129" t="str">
        <x:v>SKU00394</x:v>
      </x:c>
      <x:c r="D129" t="str">
        <x:v>Sample Product 00394</x:v>
      </x:c>
      <x:c r="E129" s="12" t="n">
        <x:v>21997.9</x:v>
      </x:c>
      <x:c r="F129" t="n">
        <x:v>97</x:v>
      </x:c>
      <x:c r="G129" s="12" t="n">
        <x:v>62851.15</x:v>
      </x:c>
    </x:row>
    <x:row r="130">
      <x:c r="A130" t="str">
        <x:v>Personal Care</x:v>
      </x:c>
      <x:c r="B130" t="n">
        <x:v>3</x:v>
      </x:c>
      <x:c r="C130" t="str">
        <x:v>SKU00015</x:v>
      </x:c>
      <x:c r="D130" t="str">
        <x:v>Sample Product 00015</x:v>
      </x:c>
      <x:c r="E130" s="12" t="n">
        <x:v>15989.24</x:v>
      </x:c>
      <x:c r="F130" t="n">
        <x:v>160</x:v>
      </x:c>
      <x:c r="G130" s="12" t="n">
        <x:v>44913.6</x:v>
      </x:c>
    </x:row>
    <x:row r="131">
      <x:c r="A131" t="str">
        <x:v>Personal Care</x:v>
      </x:c>
      <x:c r="B131" t="n">
        <x:v>4</x:v>
      </x:c>
      <x:c r="C131" t="str">
        <x:v>SKU00276</x:v>
      </x:c>
      <x:c r="D131" t="str">
        <x:v>Sample Product 00276</x:v>
      </x:c>
      <x:c r="E131" s="12" t="n">
        <x:v>11506.19</x:v>
      </x:c>
      <x:c r="F131" t="n">
        <x:v>52</x:v>
      </x:c>
      <x:c r="G131" s="12" t="n">
        <x:v>27009.84</x:v>
      </x:c>
    </x:row>
    <x:row r="132">
      <x:c r="A132" t="str">
        <x:v>Personal Care</x:v>
      </x:c>
      <x:c r="B132" t="n">
        <x:v>5</x:v>
      </x:c>
      <x:c r="C132" t="str">
        <x:v>SKU00519</x:v>
      </x:c>
      <x:c r="D132" t="str">
        <x:v>Sample Product 00519</x:v>
      </x:c>
      <x:c r="E132" s="12" t="n">
        <x:v>8653.48</x:v>
      </x:c>
      <x:c r="F132" t="n">
        <x:v>110</x:v>
      </x:c>
      <x:c r="G132" s="12" t="n">
        <x:v>28653.9</x:v>
      </x:c>
    </x:row>
    <x:row r="133">
      <x:c r="A133" t="str">
        <x:v>Personal Care</x:v>
      </x:c>
      <x:c r="B133" t="n">
        <x:v>6</x:v>
      </x:c>
      <x:c r="C133" t="str">
        <x:v>SKU01374</x:v>
      </x:c>
      <x:c r="D133" t="str">
        <x:v>Sample Product 01374</x:v>
      </x:c>
      <x:c r="E133" s="12" t="n">
        <x:v>7747.87</x:v>
      </x:c>
      <x:c r="F133" t="n">
        <x:v>58</x:v>
      </x:c>
      <x:c r="G133" s="12" t="n">
        <x:v>32016</x:v>
      </x:c>
    </x:row>
    <x:row r="134">
      <x:c r="A134" t="str">
        <x:v>Personal Care</x:v>
      </x:c>
      <x:c r="B134" t="n">
        <x:v>7</x:v>
      </x:c>
      <x:c r="C134" t="str">
        <x:v>SKU00264</x:v>
      </x:c>
      <x:c r="D134" t="str">
        <x:v>Sample Product 00264</x:v>
      </x:c>
      <x:c r="E134" s="12" t="n">
        <x:v>7704.85</x:v>
      </x:c>
      <x:c r="F134" t="n">
        <x:v>34</x:v>
      </x:c>
      <x:c r="G134" s="12" t="n">
        <x:v>18044.14</x:v>
      </x:c>
    </x:row>
    <x:row r="135">
      <x:c r="A135" t="str">
        <x:v>Personal Care</x:v>
      </x:c>
      <x:c r="B135" t="n">
        <x:v>8</x:v>
      </x:c>
      <x:c r="C135" t="str">
        <x:v>SKU00961</x:v>
      </x:c>
      <x:c r="D135" t="str">
        <x:v>Sample Product 00961</x:v>
      </x:c>
      <x:c r="E135" s="12" t="n">
        <x:v>7352.84</x:v>
      </x:c>
      <x:c r="F135" t="n">
        <x:v>49</x:v>
      </x:c>
      <x:c r="G135" s="12" t="n">
        <x:v>14249.69</x:v>
      </x:c>
    </x:row>
    <x:row r="136">
      <x:c r="A136" t="str">
        <x:v>Personal Care</x:v>
      </x:c>
      <x:c r="B136" t="n">
        <x:v>9</x:v>
      </x:c>
      <x:c r="C136" t="str">
        <x:v>SKU01126</x:v>
      </x:c>
      <x:c r="D136" t="str">
        <x:v>Sample Product 01126</x:v>
      </x:c>
      <x:c r="E136" s="12" t="n">
        <x:v>7150.14</x:v>
      </x:c>
      <x:c r="F136" t="n">
        <x:v>81</x:v>
      </x:c>
      <x:c r="G136" s="12" t="n">
        <x:v>12632.76</x:v>
      </x:c>
    </x:row>
    <x:row r="137">
      <x:c r="A137" t="str">
        <x:v>Personal Care</x:v>
      </x:c>
      <x:c r="B137" t="n">
        <x:v>10</x:v>
      </x:c>
      <x:c r="C137" t="str">
        <x:v>SKU00188</x:v>
      </x:c>
      <x:c r="D137" t="str">
        <x:v>Sample Product 00188</x:v>
      </x:c>
      <x:c r="E137" s="12" t="n">
        <x:v>6976.23</x:v>
      </x:c>
      <x:c r="F137" t="n">
        <x:v>75</x:v>
      </x:c>
      <x:c r="G137" s="12" t="n">
        <x:v>17616.75</x:v>
      </x:c>
    </x:row>
    <x:row r="138">
      <x:c r="A138" t="str">
        <x:v>Personal Care</x:v>
      </x:c>
      <x:c r="B138" t="n">
        <x:v>11</x:v>
      </x:c>
      <x:c r="C138" t="str">
        <x:v>SKU01080</x:v>
      </x:c>
      <x:c r="D138" t="str">
        <x:v>Sample Product 01080</x:v>
      </x:c>
      <x:c r="E138" s="12" t="n">
        <x:v>6752.24</x:v>
      </x:c>
      <x:c r="F138" t="n">
        <x:v>69</x:v>
      </x:c>
      <x:c r="G138" s="12" t="n">
        <x:v>12188.16</x:v>
      </x:c>
    </x:row>
    <x:row r="139">
      <x:c r="A139" t="str">
        <x:v>Personal Care</x:v>
      </x:c>
      <x:c r="B139" t="n">
        <x:v>12</x:v>
      </x:c>
      <x:c r="C139" t="str">
        <x:v>SKU00595</x:v>
      </x:c>
      <x:c r="D139" t="str">
        <x:v>Sample Product 00595</x:v>
      </x:c>
      <x:c r="E139" s="12" t="n">
        <x:v>5989.01</x:v>
      </x:c>
      <x:c r="F139" t="n">
        <x:v>26</x:v>
      </x:c>
      <x:c r="G139" s="12" t="n">
        <x:v>14362.14</x:v>
      </x:c>
    </x:row>
    <x:row r="140">
      <x:c r="A140" t="str">
        <x:v>Personal Care</x:v>
      </x:c>
      <x:c r="B140" t="n">
        <x:v>13</x:v>
      </x:c>
      <x:c r="C140" t="str">
        <x:v>SKU00867</x:v>
      </x:c>
      <x:c r="D140" t="str">
        <x:v>Sample Product 00867</x:v>
      </x:c>
      <x:c r="E140" s="12" t="n">
        <x:v>5805.68</x:v>
      </x:c>
      <x:c r="F140" t="n">
        <x:v>70</x:v>
      </x:c>
      <x:c r="G140" s="12" t="n">
        <x:v>15819.3</x:v>
      </x:c>
    </x:row>
    <x:row r="141">
      <x:c r="A141" t="str">
        <x:v>Personal Care</x:v>
      </x:c>
      <x:c r="B141" t="n">
        <x:v>14</x:v>
      </x:c>
      <x:c r="C141" t="str">
        <x:v>SKU01360</x:v>
      </x:c>
      <x:c r="D141" t="str">
        <x:v>Sample Product 01360</x:v>
      </x:c>
      <x:c r="E141" s="12" t="n">
        <x:v>5618.01</x:v>
      </x:c>
      <x:c r="F141" t="n">
        <x:v>21</x:v>
      </x:c>
      <x:c r="G141" s="12" t="n">
        <x:v>12456.78</x:v>
      </x:c>
    </x:row>
    <x:row r="142">
      <x:c r="A142" t="str">
        <x:v>Personal Care</x:v>
      </x:c>
      <x:c r="B142" t="n">
        <x:v>15</x:v>
      </x:c>
      <x:c r="C142" t="str">
        <x:v>SKU01062</x:v>
      </x:c>
      <x:c r="D142" t="str">
        <x:v>Sample Product 01062</x:v>
      </x:c>
      <x:c r="E142" s="12" t="n">
        <x:v>5584.76</x:v>
      </x:c>
      <x:c r="F142" t="n">
        <x:v>60</x:v>
      </x:c>
      <x:c r="G142" s="12" t="n">
        <x:v>16572</x:v>
      </x:c>
    </x:row>
    <x:row r="143">
      <x:c r="A143" t="str">
        <x:v>Personal Care</x:v>
      </x:c>
      <x:c r="B143" t="n">
        <x:v>16</x:v>
      </x:c>
      <x:c r="C143" t="str">
        <x:v>SKU00650</x:v>
      </x:c>
      <x:c r="D143" t="str">
        <x:v>Sample Product 00650</x:v>
      </x:c>
      <x:c r="E143" s="12" t="n">
        <x:v>5446.2</x:v>
      </x:c>
      <x:c r="F143" t="n">
        <x:v>75</x:v>
      </x:c>
      <x:c r="G143" s="12" t="n">
        <x:v>12434.25</x:v>
      </x:c>
    </x:row>
    <x:row r="144">
      <x:c r="A144" t="str">
        <x:v>Personal Care</x:v>
      </x:c>
      <x:c r="B144" t="n">
        <x:v>17</x:v>
      </x:c>
      <x:c r="C144" t="str">
        <x:v>SKU00342</x:v>
      </x:c>
      <x:c r="D144" t="str">
        <x:v>Sample Product 00342</x:v>
      </x:c>
      <x:c r="E144" s="12" t="n">
        <x:v>4651.08</x:v>
      </x:c>
      <x:c r="F144" t="n">
        <x:v>45</x:v>
      </x:c>
      <x:c r="G144" s="12" t="n">
        <x:v>14718.6</x:v>
      </x:c>
    </x:row>
    <x:row r="145">
      <x:c r="A145" t="str">
        <x:v>Personal Care</x:v>
      </x:c>
      <x:c r="B145" t="n">
        <x:v>18</x:v>
      </x:c>
      <x:c r="C145" t="str">
        <x:v>SKU00981</x:v>
      </x:c>
      <x:c r="D145" t="str">
        <x:v>Sample Product 00981</x:v>
      </x:c>
      <x:c r="E145" s="12" t="n">
        <x:v>4572.95</x:v>
      </x:c>
      <x:c r="F145" t="n">
        <x:v>60</x:v>
      </x:c>
      <x:c r="G145" s="12" t="n">
        <x:v>17454</x:v>
      </x:c>
    </x:row>
    <x:row r="146">
      <x:c r="A146" t="str">
        <x:v>Personal Care</x:v>
      </x:c>
      <x:c r="B146" t="n">
        <x:v>19</x:v>
      </x:c>
      <x:c r="C146" t="str">
        <x:v>SKU01435</x:v>
      </x:c>
      <x:c r="D146" t="str">
        <x:v>Sample Product 01435</x:v>
      </x:c>
      <x:c r="E146" s="12" t="n">
        <x:v>4410.44</x:v>
      </x:c>
      <x:c r="F146" t="n">
        <x:v>113</x:v>
      </x:c>
      <x:c r="G146" s="12" t="n">
        <x:v>10916.93</x:v>
      </x:c>
    </x:row>
    <x:row r="147">
      <x:c r="A147" t="str">
        <x:v>Personal Care</x:v>
      </x:c>
      <x:c r="B147" t="n">
        <x:v>20</x:v>
      </x:c>
      <x:c r="C147" t="str">
        <x:v>SKU01393</x:v>
      </x:c>
      <x:c r="D147" t="str">
        <x:v>Sample Product 01393</x:v>
      </x:c>
      <x:c r="E147" s="12" t="n">
        <x:v>4386.8</x:v>
      </x:c>
      <x:c r="F147" t="n">
        <x:v>51</x:v>
      </x:c>
      <x:c r="G147" s="12" t="n">
        <x:v>10321.89</x:v>
      </x:c>
    </x:row>
    <x:row r="148">
      <x:c r="A148" t="str">
        <x:v>Medical Devices</x:v>
      </x:c>
      <x:c r="B148" t="n">
        <x:v>1</x:v>
      </x:c>
      <x:c r="C148" t="str">
        <x:v>SKU01215</x:v>
      </x:c>
      <x:c r="D148" t="str">
        <x:v>Sample Product 01215</x:v>
      </x:c>
      <x:c r="E148" s="12" t="n">
        <x:v>16181.57</x:v>
      </x:c>
      <x:c r="F148" t="n">
        <x:v>120</x:v>
      </x:c>
      <x:c r="G148" s="12" t="n">
        <x:v>34724.4</x:v>
      </x:c>
    </x:row>
    <x:row r="149">
      <x:c r="A149" t="str">
        <x:v>Medical Devices</x:v>
      </x:c>
      <x:c r="B149" t="n">
        <x:v>2</x:v>
      </x:c>
      <x:c r="C149" t="str">
        <x:v>SKU01337</x:v>
      </x:c>
      <x:c r="D149" t="str">
        <x:v>Sample Product 01337</x:v>
      </x:c>
      <x:c r="E149" s="12" t="n">
        <x:v>14751.72</x:v>
      </x:c>
      <x:c r="F149" t="n">
        <x:v>117</x:v>
      </x:c>
      <x:c r="G149" s="12" t="n">
        <x:v>44702.19</x:v>
      </x:c>
    </x:row>
    <x:row r="150">
      <x:c r="A150" t="str">
        <x:v>Medical Devices</x:v>
      </x:c>
      <x:c r="B150" t="n">
        <x:v>3</x:v>
      </x:c>
      <x:c r="C150" t="str">
        <x:v>SKU01276</x:v>
      </x:c>
      <x:c r="D150" t="str">
        <x:v>Sample Product 01276</x:v>
      </x:c>
      <x:c r="E150" s="12" t="n">
        <x:v>8239.88</x:v>
      </x:c>
      <x:c r="F150" t="n">
        <x:v>54</x:v>
      </x:c>
      <x:c r="G150" s="12" t="n">
        <x:v>33769.98</x:v>
      </x:c>
    </x:row>
    <x:row r="151">
      <x:c r="A151" t="str">
        <x:v>Medical Devices</x:v>
      </x:c>
      <x:c r="B151" t="n">
        <x:v>4</x:v>
      </x:c>
      <x:c r="C151" t="str">
        <x:v>SKU00485</x:v>
      </x:c>
      <x:c r="D151" t="str">
        <x:v>Sample Product 00485</x:v>
      </x:c>
      <x:c r="E151" s="12" t="n">
        <x:v>7856.81</x:v>
      </x:c>
      <x:c r="F151" t="n">
        <x:v>149</x:v>
      </x:c>
      <x:c r="G151" s="12" t="n">
        <x:v>36886.44</x:v>
      </x:c>
    </x:row>
    <x:row r="152">
      <x:c r="A152" t="str">
        <x:v>Medical Devices</x:v>
      </x:c>
      <x:c r="B152" t="n">
        <x:v>5</x:v>
      </x:c>
      <x:c r="C152" t="str">
        <x:v>SKU00384</x:v>
      </x:c>
      <x:c r="D152" t="str">
        <x:v>Sample Product 00384</x:v>
      </x:c>
      <x:c r="E152" s="12" t="n">
        <x:v>7756.42</x:v>
      </x:c>
      <x:c r="F152" t="n">
        <x:v>69</x:v>
      </x:c>
      <x:c r="G152" s="12" t="n">
        <x:v>39573.57</x:v>
      </x:c>
    </x:row>
    <x:row r="153">
      <x:c r="A153" t="str">
        <x:v>Medical Devices</x:v>
      </x:c>
      <x:c r="B153" t="n">
        <x:v>6</x:v>
      </x:c>
      <x:c r="C153" t="str">
        <x:v>SKU01327</x:v>
      </x:c>
      <x:c r="D153" t="str">
        <x:v>Sample Product 01327</x:v>
      </x:c>
      <x:c r="E153" s="12" t="n">
        <x:v>7167.15</x:v>
      </x:c>
      <x:c r="F153" t="n">
        <x:v>56</x:v>
      </x:c>
      <x:c r="G153" s="12" t="n">
        <x:v>33491.36</x:v>
      </x:c>
    </x:row>
    <x:row r="154">
      <x:c r="A154" t="str">
        <x:v>Medical Devices</x:v>
      </x:c>
      <x:c r="B154" t="n">
        <x:v>7</x:v>
      </x:c>
      <x:c r="C154" t="str">
        <x:v>SKU00148</x:v>
      </x:c>
      <x:c r="D154" t="str">
        <x:v>Sample Product 00148</x:v>
      </x:c>
      <x:c r="E154" s="12" t="n">
        <x:v>5630.27</x:v>
      </x:c>
      <x:c r="F154" t="n">
        <x:v>68</x:v>
      </x:c>
      <x:c r="G154" s="12" t="n">
        <x:v>21993.24</x:v>
      </x:c>
    </x:row>
    <x:row r="155">
      <x:c r="A155" t="str">
        <x:v>Medical Devices</x:v>
      </x:c>
      <x:c r="B155" t="n">
        <x:v>8</x:v>
      </x:c>
      <x:c r="C155" t="str">
        <x:v>SKU01419</x:v>
      </x:c>
      <x:c r="D155" t="str">
        <x:v>Sample Product 01419</x:v>
      </x:c>
      <x:c r="E155" s="12" t="n">
        <x:v>5576.69</x:v>
      </x:c>
      <x:c r="F155" t="n">
        <x:v>40</x:v>
      </x:c>
      <x:c r="G155" s="12" t="n">
        <x:v>14299.2</x:v>
      </x:c>
    </x:row>
    <x:row r="156">
      <x:c r="A156" t="str">
        <x:v>Medical Devices</x:v>
      </x:c>
      <x:c r="B156" t="n">
        <x:v>9</x:v>
      </x:c>
      <x:c r="C156" t="str">
        <x:v>SKU00901</x:v>
      </x:c>
      <x:c r="D156" t="str">
        <x:v>Sample Product 00901</x:v>
      </x:c>
      <x:c r="E156" s="12" t="n">
        <x:v>4825.13</x:v>
      </x:c>
      <x:c r="F156" t="n">
        <x:v>141</x:v>
      </x:c>
      <x:c r="G156" s="12" t="n">
        <x:v>15078.54</x:v>
      </x:c>
    </x:row>
    <x:row r="157">
      <x:c r="A157" t="str">
        <x:v>Medical Devices</x:v>
      </x:c>
      <x:c r="B157" t="n">
        <x:v>10</x:v>
      </x:c>
      <x:c r="C157" t="str">
        <x:v>SKU00644</x:v>
      </x:c>
      <x:c r="D157" t="str">
        <x:v>Sample Product 00644</x:v>
      </x:c>
      <x:c r="E157" s="12" t="n">
        <x:v>4089.83</x:v>
      </x:c>
      <x:c r="F157" t="n">
        <x:v>37</x:v>
      </x:c>
      <x:c r="G157" s="12" t="n">
        <x:v>18934.38</x:v>
      </x:c>
    </x:row>
    <x:row r="158">
      <x:c r="A158" t="str">
        <x:v>Medical Devices</x:v>
      </x:c>
      <x:c r="B158" t="n">
        <x:v>11</x:v>
      </x:c>
      <x:c r="C158" t="str">
        <x:v>SKU00480</x:v>
      </x:c>
      <x:c r="D158" t="str">
        <x:v>Sample Product 00480</x:v>
      </x:c>
      <x:c r="E158" s="12" t="n">
        <x:v>3805.01</x:v>
      </x:c>
      <x:c r="F158" t="n">
        <x:v>82</x:v>
      </x:c>
      <x:c r="G158" s="12" t="n">
        <x:v>11392.26</x:v>
      </x:c>
    </x:row>
    <x:row r="159">
      <x:c r="A159" t="str">
        <x:v>Medical Devices</x:v>
      </x:c>
      <x:c r="B159" t="n">
        <x:v>12</x:v>
      </x:c>
      <x:c r="C159" t="str">
        <x:v>SKU00534</x:v>
      </x:c>
      <x:c r="D159" t="str">
        <x:v>Sample Product 00534</x:v>
      </x:c>
      <x:c r="E159" s="12" t="n">
        <x:v>3460.64</x:v>
      </x:c>
      <x:c r="F159" t="n">
        <x:v>54</x:v>
      </x:c>
      <x:c r="G159" s="12" t="n">
        <x:v>10486.8</x:v>
      </x:c>
    </x:row>
    <x:row r="160">
      <x:c r="A160" t="str">
        <x:v>Medical Devices</x:v>
      </x:c>
      <x:c r="B160" t="n">
        <x:v>13</x:v>
      </x:c>
      <x:c r="C160" t="str">
        <x:v>SKU01129</x:v>
      </x:c>
      <x:c r="D160" t="str">
        <x:v>Sample Product 01129</x:v>
      </x:c>
      <x:c r="E160" s="12" t="n">
        <x:v>3362.55</x:v>
      </x:c>
      <x:c r="F160" t="n">
        <x:v>37</x:v>
      </x:c>
      <x:c r="G160" s="12" t="n">
        <x:v>9832.01</x:v>
      </x:c>
    </x:row>
    <x:row r="161">
      <x:c r="A161" t="str">
        <x:v>Medical Devices</x:v>
      </x:c>
      <x:c r="B161" t="n">
        <x:v>14</x:v>
      </x:c>
      <x:c r="C161" t="str">
        <x:v>SKU01453</x:v>
      </x:c>
      <x:c r="D161" t="str">
        <x:v>Sample Product 01453</x:v>
      </x:c>
      <x:c r="E161" s="12" t="n">
        <x:v>3232.92</x:v>
      </x:c>
      <x:c r="F161" t="n">
        <x:v>83</x:v>
      </x:c>
      <x:c r="G161" s="12" t="n">
        <x:v>7697.42</x:v>
      </x:c>
    </x:row>
    <x:row r="162">
      <x:c r="A162" t="str">
        <x:v>Medical Devices</x:v>
      </x:c>
      <x:c r="B162" t="n">
        <x:v>15</x:v>
      </x:c>
      <x:c r="C162" t="str">
        <x:v>SKU00070</x:v>
      </x:c>
      <x:c r="D162" t="str">
        <x:v>Sample Product 00070</x:v>
      </x:c>
      <x:c r="E162" s="12" t="n">
        <x:v>3199.76</x:v>
      </x:c>
      <x:c r="F162" t="n">
        <x:v>118</x:v>
      </x:c>
      <x:c r="G162" s="12" t="n">
        <x:v>10595.22</x:v>
      </x:c>
    </x:row>
    <x:row r="163">
      <x:c r="A163" t="str">
        <x:v>Medical Devices</x:v>
      </x:c>
      <x:c r="B163" t="n">
        <x:v>16</x:v>
      </x:c>
      <x:c r="C163" t="str">
        <x:v>SKU01298</x:v>
      </x:c>
      <x:c r="D163" t="str">
        <x:v>Sample Product 01298</x:v>
      </x:c>
      <x:c r="E163" s="12" t="n">
        <x:v>3115.4</x:v>
      </x:c>
      <x:c r="F163" t="n">
        <x:v>52</x:v>
      </x:c>
      <x:c r="G163" s="12" t="n">
        <x:v>8050.12</x:v>
      </x:c>
    </x:row>
    <x:row r="164">
      <x:c r="A164" t="str">
        <x:v>Medical Devices</x:v>
      </x:c>
      <x:c r="B164" t="n">
        <x:v>17</x:v>
      </x:c>
      <x:c r="C164" t="str">
        <x:v>SKU00087</x:v>
      </x:c>
      <x:c r="D164" t="str">
        <x:v>Sample Product 00087</x:v>
      </x:c>
      <x:c r="E164" s="12" t="n">
        <x:v>3096.7</x:v>
      </x:c>
      <x:c r="F164" t="n">
        <x:v>34</x:v>
      </x:c>
      <x:c r="G164" s="12" t="n">
        <x:v>9957.24</x:v>
      </x:c>
    </x:row>
    <x:row r="165">
      <x:c r="A165" t="str">
        <x:v>Medical Devices</x:v>
      </x:c>
      <x:c r="B165" t="n">
        <x:v>18</x:v>
      </x:c>
      <x:c r="C165" t="str">
        <x:v>SKU00349</x:v>
      </x:c>
      <x:c r="D165" t="str">
        <x:v>Sample Product 00349</x:v>
      </x:c>
      <x:c r="E165" s="12" t="n">
        <x:v>2847.63</x:v>
      </x:c>
      <x:c r="F165" t="n">
        <x:v>31</x:v>
      </x:c>
      <x:c r="G165" s="12" t="n">
        <x:v>7474.1</x:v>
      </x:c>
    </x:row>
    <x:row r="166">
      <x:c r="A166" t="str">
        <x:v>Medical Devices</x:v>
      </x:c>
      <x:c r="B166" t="n">
        <x:v>19</x:v>
      </x:c>
      <x:c r="C166" t="str">
        <x:v>SKU01089</x:v>
      </x:c>
      <x:c r="D166" t="str">
        <x:v>Sample Product 01089</x:v>
      </x:c>
      <x:c r="E166" s="12" t="n">
        <x:v>2734.56</x:v>
      </x:c>
      <x:c r="F166" t="n">
        <x:v>36</x:v>
      </x:c>
      <x:c r="G166" s="12" t="n">
        <x:v>8466.12</x:v>
      </x:c>
    </x:row>
    <x:row r="167">
      <x:c r="A167" t="str">
        <x:v>Medical Devices</x:v>
      </x:c>
      <x:c r="B167" t="n">
        <x:v>20</x:v>
      </x:c>
      <x:c r="C167" t="str">
        <x:v>SKU00541</x:v>
      </x:c>
      <x:c r="D167" t="str">
        <x:v>Sample Product 00541</x:v>
      </x:c>
      <x:c r="E167" s="12" t="n">
        <x:v>2580.51</x:v>
      </x:c>
      <x:c r="F167" t="n">
        <x:v>67</x:v>
      </x:c>
      <x:c r="G167" s="12" t="n">
        <x:v>7634.65</x:v>
      </x:c>
    </x:row>
    <x:row r="168">
      <x:c r="A168" t="str">
        <x:v>Nutrition</x:v>
      </x:c>
      <x:c r="B168" t="n">
        <x:v>1</x:v>
      </x:c>
      <x:c r="C168" t="str">
        <x:v>SKU01344</x:v>
      </x:c>
      <x:c r="D168" t="str">
        <x:v>Sample Product 01344</x:v>
      </x:c>
      <x:c r="E168" s="12" t="n">
        <x:v>5627.36</x:v>
      </x:c>
      <x:c r="F168" t="n">
        <x:v>38</x:v>
      </x:c>
      <x:c r="G168" s="12" t="n">
        <x:v>16078.18</x:v>
      </x:c>
    </x:row>
    <x:row r="169">
      <x:c r="A169" t="str">
        <x:v>Nutrition</x:v>
      </x:c>
      <x:c r="B169" t="n">
        <x:v>2</x:v>
      </x:c>
      <x:c r="C169" t="str">
        <x:v>SKU00567</x:v>
      </x:c>
      <x:c r="D169" t="str">
        <x:v>Sample Product 00567</x:v>
      </x:c>
      <x:c r="E169" s="12" t="n">
        <x:v>5609.34</x:v>
      </x:c>
      <x:c r="F169" t="n">
        <x:v>75</x:v>
      </x:c>
      <x:c r="G169" s="12" t="n">
        <x:v>16353.75</x:v>
      </x:c>
    </x:row>
    <x:row r="170">
      <x:c r="A170" t="str">
        <x:v>Nutrition</x:v>
      </x:c>
      <x:c r="B170" t="n">
        <x:v>3</x:v>
      </x:c>
      <x:c r="C170" t="str">
        <x:v>SKU00039</x:v>
      </x:c>
      <x:c r="D170" t="str">
        <x:v>Sample Product 00039</x:v>
      </x:c>
      <x:c r="E170" s="12" t="n">
        <x:v>5398.59</x:v>
      </x:c>
      <x:c r="F170" t="n">
        <x:v>155</x:v>
      </x:c>
      <x:c r="G170" s="12" t="n">
        <x:v>13702</x:v>
      </x:c>
    </x:row>
    <x:row r="171">
      <x:c r="A171" t="str">
        <x:v>Nutrition</x:v>
      </x:c>
      <x:c r="B171" t="n">
        <x:v>4</x:v>
      </x:c>
      <x:c r="C171" t="str">
        <x:v>SKU01431</x:v>
      </x:c>
      <x:c r="D171" t="str">
        <x:v>Sample Product 01431</x:v>
      </x:c>
      <x:c r="E171" s="12" t="n">
        <x:v>5192.45</x:v>
      </x:c>
      <x:c r="F171" t="n">
        <x:v>70</x:v>
      </x:c>
      <x:c r="G171" s="12" t="n">
        <x:v>15271.9</x:v>
      </x:c>
    </x:row>
    <x:row r="172">
      <x:c r="A172" t="str">
        <x:v>Nutrition</x:v>
      </x:c>
      <x:c r="B172" t="n">
        <x:v>5</x:v>
      </x:c>
      <x:c r="C172" t="str">
        <x:v>SKU00596</x:v>
      </x:c>
      <x:c r="D172" t="str">
        <x:v>Sample Product 00596</x:v>
      </x:c>
      <x:c r="E172" s="12" t="n">
        <x:v>4533.04</x:v>
      </x:c>
      <x:c r="F172" t="n">
        <x:v>23</x:v>
      </x:c>
      <x:c r="G172" s="12" t="n">
        <x:v>12769.14</x:v>
      </x:c>
    </x:row>
    <x:row r="173">
      <x:c r="A173" t="str">
        <x:v>Nutrition</x:v>
      </x:c>
      <x:c r="B173" t="n">
        <x:v>6</x:v>
      </x:c>
      <x:c r="C173" t="str">
        <x:v>SKU01217</x:v>
      </x:c>
      <x:c r="D173" t="str">
        <x:v>Sample Product 01217</x:v>
      </x:c>
      <x:c r="E173" s="12" t="n">
        <x:v>4485.32</x:v>
      </x:c>
      <x:c r="F173" t="n">
        <x:v>67</x:v>
      </x:c>
      <x:c r="G173" s="12" t="n">
        <x:v>16429.74</x:v>
      </x:c>
    </x:row>
    <x:row r="174">
      <x:c r="A174" t="str">
        <x:v>Nutrition</x:v>
      </x:c>
      <x:c r="B174" t="n">
        <x:v>7</x:v>
      </x:c>
      <x:c r="C174" t="str">
        <x:v>SKU01187</x:v>
      </x:c>
      <x:c r="D174" t="str">
        <x:v>Sample Product 01187</x:v>
      </x:c>
      <x:c r="E174" s="12" t="n">
        <x:v>4357.12</x:v>
      </x:c>
      <x:c r="F174" t="n">
        <x:v>89</x:v>
      </x:c>
      <x:c r="G174" s="12" t="n">
        <x:v>10758.32</x:v>
      </x:c>
    </x:row>
    <x:row r="175">
      <x:c r="A175" t="str">
        <x:v>Nutrition</x:v>
      </x:c>
      <x:c r="B175" t="n">
        <x:v>8</x:v>
      </x:c>
      <x:c r="C175" t="str">
        <x:v>SKU01078</x:v>
      </x:c>
      <x:c r="D175" t="str">
        <x:v>Sample Product 01078</x:v>
      </x:c>
      <x:c r="E175" s="12" t="n">
        <x:v>4346.88</x:v>
      </x:c>
      <x:c r="F175" t="n">
        <x:v>36</x:v>
      </x:c>
      <x:c r="G175" s="12" t="n">
        <x:v>16099.56</x:v>
      </x:c>
    </x:row>
    <x:row r="176">
      <x:c r="A176" t="str">
        <x:v>Nutrition</x:v>
      </x:c>
      <x:c r="B176" t="n">
        <x:v>9</x:v>
      </x:c>
      <x:c r="C176" t="str">
        <x:v>SKU00032</x:v>
      </x:c>
      <x:c r="D176" t="str">
        <x:v>Sample Product 00032</x:v>
      </x:c>
      <x:c r="E176" s="12" t="n">
        <x:v>4340.63</x:v>
      </x:c>
      <x:c r="F176" t="n">
        <x:v>135</x:v>
      </x:c>
      <x:c r="G176" s="12" t="n">
        <x:v>11892.15</x:v>
      </x:c>
    </x:row>
    <x:row r="177">
      <x:c r="A177" t="str">
        <x:v>Nutrition</x:v>
      </x:c>
      <x:c r="B177" t="n">
        <x:v>10</x:v>
      </x:c>
      <x:c r="C177" t="str">
        <x:v>SKU00261</x:v>
      </x:c>
      <x:c r="D177" t="str">
        <x:v>Sample Product 00261</x:v>
      </x:c>
      <x:c r="E177" s="12" t="n">
        <x:v>4032.35</x:v>
      </x:c>
      <x:c r="F177" t="n">
        <x:v>118</x:v>
      </x:c>
      <x:c r="G177" s="12" t="n">
        <x:v>22653.64</x:v>
      </x:c>
    </x:row>
    <x:row r="178">
      <x:c r="A178" t="str">
        <x:v>Nutrition</x:v>
      </x:c>
      <x:c r="B178" t="n">
        <x:v>11</x:v>
      </x:c>
      <x:c r="C178" t="str">
        <x:v>SKU00776</x:v>
      </x:c>
      <x:c r="D178" t="str">
        <x:v>Sample Product 00776</x:v>
      </x:c>
      <x:c r="E178" s="12" t="n">
        <x:v>3973.44</x:v>
      </x:c>
      <x:c r="F178" t="n">
        <x:v>51</x:v>
      </x:c>
      <x:c r="G178" s="12" t="n">
        <x:v>10916.04</x:v>
      </x:c>
    </x:row>
    <x:row r="179">
      <x:c r="A179" t="str">
        <x:v>Nutrition</x:v>
      </x:c>
      <x:c r="B179" t="n">
        <x:v>12</x:v>
      </x:c>
      <x:c r="C179" t="str">
        <x:v>SKU00590</x:v>
      </x:c>
      <x:c r="D179" t="str">
        <x:v>Sample Product 00590</x:v>
      </x:c>
      <x:c r="E179" s="12" t="n">
        <x:v>3808.5</x:v>
      </x:c>
      <x:c r="F179" t="n">
        <x:v>62</x:v>
      </x:c>
      <x:c r="G179" s="12" t="n">
        <x:v>14994.08</x:v>
      </x:c>
    </x:row>
    <x:row r="180">
      <x:c r="A180" t="str">
        <x:v>Nutrition</x:v>
      </x:c>
      <x:c r="B180" t="n">
        <x:v>13</x:v>
      </x:c>
      <x:c r="C180" t="str">
        <x:v>SKU00897</x:v>
      </x:c>
      <x:c r="D180" t="str">
        <x:v>Sample Product 00897</x:v>
      </x:c>
      <x:c r="E180" s="12" t="n">
        <x:v>3462.79</x:v>
      </x:c>
      <x:c r="F180" t="n">
        <x:v>38</x:v>
      </x:c>
      <x:c r="G180" s="12" t="n">
        <x:v>10008.06</x:v>
      </x:c>
    </x:row>
    <x:row r="181">
      <x:c r="A181" t="str">
        <x:v>Nutrition</x:v>
      </x:c>
      <x:c r="B181" t="n">
        <x:v>14</x:v>
      </x:c>
      <x:c r="C181" t="str">
        <x:v>SKU00481</x:v>
      </x:c>
      <x:c r="D181" t="str">
        <x:v>Sample Product 00481</x:v>
      </x:c>
      <x:c r="E181" s="12" t="n">
        <x:v>3274.96</x:v>
      </x:c>
      <x:c r="F181" t="n">
        <x:v>84</x:v>
      </x:c>
      <x:c r="G181" s="12" t="n">
        <x:v>9834.72</x:v>
      </x:c>
    </x:row>
    <x:row r="182">
      <x:c r="A182" t="str">
        <x:v>Nutrition</x:v>
      </x:c>
      <x:c r="B182" t="n">
        <x:v>15</x:v>
      </x:c>
      <x:c r="C182" t="str">
        <x:v>SKU01336</x:v>
      </x:c>
      <x:c r="D182" t="str">
        <x:v>Sample Product 01336</x:v>
      </x:c>
      <x:c r="E182" s="12" t="n">
        <x:v>3035.84</x:v>
      </x:c>
      <x:c r="F182" t="n">
        <x:v>199</x:v>
      </x:c>
      <x:c r="G182" s="12" t="n">
        <x:v>13315.09</x:v>
      </x:c>
    </x:row>
    <x:row r="183">
      <x:c r="A183" t="str">
        <x:v>Nutrition</x:v>
      </x:c>
      <x:c r="B183" t="n">
        <x:v>16</x:v>
      </x:c>
      <x:c r="C183" t="str">
        <x:v>SKU00221</x:v>
      </x:c>
      <x:c r="D183" t="str">
        <x:v>Sample Product 00221</x:v>
      </x:c>
      <x:c r="E183" s="12" t="n">
        <x:v>2920.69</x:v>
      </x:c>
      <x:c r="F183" t="n">
        <x:v>20</x:v>
      </x:c>
      <x:c r="G183" s="12" t="n">
        <x:v>10857.6</x:v>
      </x:c>
    </x:row>
    <x:row r="184">
      <x:c r="A184" t="str">
        <x:v>Nutrition</x:v>
      </x:c>
      <x:c r="B184" t="n">
        <x:v>17</x:v>
      </x:c>
      <x:c r="C184" t="str">
        <x:v>SKU00458</x:v>
      </x:c>
      <x:c r="D184" t="str">
        <x:v>Sample Product 00458</x:v>
      </x:c>
      <x:c r="E184" s="12" t="n">
        <x:v>2912.33</x:v>
      </x:c>
      <x:c r="F184" t="n">
        <x:v>99</x:v>
      </x:c>
      <x:c r="G184" s="12" t="n">
        <x:v>13672.89</x:v>
      </x:c>
    </x:row>
    <x:row r="185">
      <x:c r="A185" t="str">
        <x:v>Nutrition</x:v>
      </x:c>
      <x:c r="B185" t="n">
        <x:v>18</x:v>
      </x:c>
      <x:c r="C185" t="str">
        <x:v>SKU00575</x:v>
      </x:c>
      <x:c r="D185" t="str">
        <x:v>Sample Product 00575</x:v>
      </x:c>
      <x:c r="E185" s="12" t="n">
        <x:v>2667.1</x:v>
      </x:c>
      <x:c r="F185" t="n">
        <x:v>18</x:v>
      </x:c>
      <x:c r="G185" s="12" t="n">
        <x:v>7227.9</x:v>
      </x:c>
    </x:row>
    <x:row r="186">
      <x:c r="A186" t="str">
        <x:v>Nutrition</x:v>
      </x:c>
      <x:c r="B186" t="n">
        <x:v>19</x:v>
      </x:c>
      <x:c r="C186" t="str">
        <x:v>SKU00553</x:v>
      </x:c>
      <x:c r="D186" t="str">
        <x:v>Sample Product 00553</x:v>
      </x:c>
      <x:c r="E186" s="12" t="n">
        <x:v>2573.21</x:v>
      </x:c>
      <x:c r="F186" t="n">
        <x:v>54</x:v>
      </x:c>
      <x:c r="G186" s="12" t="n">
        <x:v>8464.5</x:v>
      </x:c>
    </x:row>
    <x:row r="187">
      <x:c r="A187" t="str">
        <x:v>Nutrition</x:v>
      </x:c>
      <x:c r="B187" t="n">
        <x:v>20</x:v>
      </x:c>
      <x:c r="C187" t="str">
        <x:v>SKU01108</x:v>
      </x:c>
      <x:c r="D187" t="str">
        <x:v>Sample Product 01108</x:v>
      </x:c>
      <x:c r="E187" s="12" t="n">
        <x:v>2516.74</x:v>
      </x:c>
      <x:c r="F187" t="n">
        <x:v>62</x:v>
      </x:c>
      <x:c r="G187" s="12" t="n">
        <x:v>7402.18</x:v>
      </x:c>
    </x:row>
    <x:row r="188">
      <x:c r="A188" t="str">
        <x:v>General Merchandise</x:v>
      </x:c>
      <x:c r="B188" t="n">
        <x:v>1</x:v>
      </x:c>
      <x:c r="C188" t="str">
        <x:v>SKU01312</x:v>
      </x:c>
      <x:c r="D188" t="str">
        <x:v>Sample Product 01312</x:v>
      </x:c>
      <x:c r="E188" s="12" t="n">
        <x:v>13510.47</x:v>
      </x:c>
      <x:c r="F188" t="n">
        <x:v>130</x:v>
      </x:c>
      <x:c r="G188" s="12" t="n">
        <x:v>38273.3</x:v>
      </x:c>
    </x:row>
    <x:row r="189">
      <x:c r="A189" t="str">
        <x:v>General Merchandise</x:v>
      </x:c>
      <x:c r="B189" t="n">
        <x:v>2</x:v>
      </x:c>
      <x:c r="C189" t="str">
        <x:v>SKU00929</x:v>
      </x:c>
      <x:c r="D189" t="str">
        <x:v>Sample Product 00929</x:v>
      </x:c>
      <x:c r="E189" s="12" t="n">
        <x:v>10159.94</x:v>
      </x:c>
      <x:c r="F189" t="n">
        <x:v>92</x:v>
      </x:c>
      <x:c r="G189" s="12" t="n">
        <x:v>24364.36</x:v>
      </x:c>
    </x:row>
    <x:row r="190">
      <x:c r="A190" t="str">
        <x:v>General Merchandise</x:v>
      </x:c>
      <x:c r="B190" t="n">
        <x:v>3</x:v>
      </x:c>
      <x:c r="C190" t="str">
        <x:v>SKU00926</x:v>
      </x:c>
      <x:c r="D190" t="str">
        <x:v>Sample Product 00926</x:v>
      </x:c>
      <x:c r="E190" s="12" t="n">
        <x:v>8931.55</x:v>
      </x:c>
      <x:c r="F190" t="n">
        <x:v>32</x:v>
      </x:c>
      <x:c r="G190" s="12" t="n">
        <x:v>20674.88</x:v>
      </x:c>
    </x:row>
    <x:row r="191">
      <x:c r="A191" t="str">
        <x:v>General Merchandise</x:v>
      </x:c>
      <x:c r="B191" t="n">
        <x:v>4</x:v>
      </x:c>
      <x:c r="C191" t="str">
        <x:v>SKU01460</x:v>
      </x:c>
      <x:c r="D191" t="str">
        <x:v>Sample Product 01460</x:v>
      </x:c>
      <x:c r="E191" s="12" t="n">
        <x:v>8060.31</x:v>
      </x:c>
      <x:c r="F191" t="n">
        <x:v>65</x:v>
      </x:c>
      <x:c r="G191" s="12" t="n">
        <x:v>14816.75</x:v>
      </x:c>
    </x:row>
    <x:row r="192">
      <x:c r="A192" t="str">
        <x:v>General Merchandise</x:v>
      </x:c>
      <x:c r="B192" t="n">
        <x:v>5</x:v>
      </x:c>
      <x:c r="C192" t="str">
        <x:v>SKU00673</x:v>
      </x:c>
      <x:c r="D192" t="str">
        <x:v>Sample Product 00673</x:v>
      </x:c>
      <x:c r="E192" s="12" t="n">
        <x:v>7434.28</x:v>
      </x:c>
      <x:c r="F192" t="n">
        <x:v>40</x:v>
      </x:c>
      <x:c r="G192" s="12" t="n">
        <x:v>15172</x:v>
      </x:c>
    </x:row>
    <x:row r="193">
      <x:c r="A193" t="str">
        <x:v>General Merchandise</x:v>
      </x:c>
      <x:c r="B193" t="n">
        <x:v>6</x:v>
      </x:c>
      <x:c r="C193" t="str">
        <x:v>SKU00036</x:v>
      </x:c>
      <x:c r="D193" t="str">
        <x:v>Sample Product 00036</x:v>
      </x:c>
      <x:c r="E193" s="12" t="n">
        <x:v>6092.24</x:v>
      </x:c>
      <x:c r="F193" t="n">
        <x:v>189</x:v>
      </x:c>
      <x:c r="G193" s="12" t="n">
        <x:v>13129.83</x:v>
      </x:c>
    </x:row>
    <x:row r="194">
      <x:c r="A194" t="str">
        <x:v>General Merchandise</x:v>
      </x:c>
      <x:c r="B194" t="n">
        <x:v>7</x:v>
      </x:c>
      <x:c r="C194" t="str">
        <x:v>SKU01173</x:v>
      </x:c>
      <x:c r="D194" t="str">
        <x:v>Sample Product 01173</x:v>
      </x:c>
      <x:c r="E194" s="12" t="n">
        <x:v>5983.04</x:v>
      </x:c>
      <x:c r="F194" t="n">
        <x:v>64</x:v>
      </x:c>
      <x:c r="G194" s="12" t="n">
        <x:v>17094.4</x:v>
      </x:c>
    </x:row>
    <x:row r="195">
      <x:c r="A195" t="str">
        <x:v>General Merchandise</x:v>
      </x:c>
      <x:c r="B195" t="n">
        <x:v>8</x:v>
      </x:c>
      <x:c r="C195" t="str">
        <x:v>SKU00634</x:v>
      </x:c>
      <x:c r="D195" t="str">
        <x:v>Sample Product 00634</x:v>
      </x:c>
      <x:c r="E195" s="12" t="n">
        <x:v>5606.43</x:v>
      </x:c>
      <x:c r="F195" t="n">
        <x:v>221</x:v>
      </x:c>
      <x:c r="G195" s="12" t="n">
        <x:v>21814.91</x:v>
      </x:c>
    </x:row>
    <x:row r="196">
      <x:c r="A196" t="str">
        <x:v>General Merchandise</x:v>
      </x:c>
      <x:c r="B196" t="n">
        <x:v>9</x:v>
      </x:c>
      <x:c r="C196" t="str">
        <x:v>SKU01470</x:v>
      </x:c>
      <x:c r="D196" t="str">
        <x:v>Sample Product 01470</x:v>
      </x:c>
      <x:c r="E196" s="12" t="n">
        <x:v>5136.92</x:v>
      </x:c>
      <x:c r="F196" t="n">
        <x:v>54</x:v>
      </x:c>
      <x:c r="G196" s="12" t="n">
        <x:v>13482.72</x:v>
      </x:c>
    </x:row>
    <x:row r="197">
      <x:c r="A197" t="str">
        <x:v>General Merchandise</x:v>
      </x:c>
      <x:c r="B197" t="n">
        <x:v>10</x:v>
      </x:c>
      <x:c r="C197" t="str">
        <x:v>SKU01197</x:v>
      </x:c>
      <x:c r="D197" t="str">
        <x:v>Sample Product 01197</x:v>
      </x:c>
      <x:c r="E197" s="12" t="n">
        <x:v>5123.21</x:v>
      </x:c>
      <x:c r="F197" t="n">
        <x:v>21</x:v>
      </x:c>
      <x:c r="G197" s="12" t="n">
        <x:v>12495.63</x:v>
      </x:c>
    </x:row>
    <x:row r="198">
      <x:c r="A198" t="str">
        <x:v>General Merchandise</x:v>
      </x:c>
      <x:c r="B198" t="n">
        <x:v>11</x:v>
      </x:c>
      <x:c r="C198" t="str">
        <x:v>SKU01199</x:v>
      </x:c>
      <x:c r="D198" t="str">
        <x:v>Sample Product 01199</x:v>
      </x:c>
      <x:c r="E198" s="12" t="n">
        <x:v>5018.95</x:v>
      </x:c>
      <x:c r="F198" t="n">
        <x:v>73</x:v>
      </x:c>
      <x:c r="G198" s="12" t="n">
        <x:v>18588.72</x:v>
      </x:c>
    </x:row>
    <x:row r="199">
      <x:c r="A199" t="str">
        <x:v>General Merchandise</x:v>
      </x:c>
      <x:c r="B199" t="n">
        <x:v>12</x:v>
      </x:c>
      <x:c r="C199" t="str">
        <x:v>SKU01423</x:v>
      </x:c>
      <x:c r="D199" t="str">
        <x:v>Sample Product 01423</x:v>
      </x:c>
      <x:c r="E199" s="12" t="n">
        <x:v>4965.14</x:v>
      </x:c>
      <x:c r="F199" t="n">
        <x:v>112</x:v>
      </x:c>
      <x:c r="G199" s="12" t="n">
        <x:v>19781.44</x:v>
      </x:c>
    </x:row>
    <x:row r="200">
      <x:c r="A200" t="str">
        <x:v>General Merchandise</x:v>
      </x:c>
      <x:c r="B200" t="n">
        <x:v>13</x:v>
      </x:c>
      <x:c r="C200" t="str">
        <x:v>SKU00056</x:v>
      </x:c>
      <x:c r="D200" t="str">
        <x:v>Sample Product 00056</x:v>
      </x:c>
      <x:c r="E200" s="12" t="n">
        <x:v>4927.4</x:v>
      </x:c>
      <x:c r="F200" t="n">
        <x:v>65</x:v>
      </x:c>
      <x:c r="G200" s="12" t="n">
        <x:v>10998.65</x:v>
      </x:c>
    </x:row>
    <x:row r="201">
      <x:c r="A201" t="str">
        <x:v>General Merchandise</x:v>
      </x:c>
      <x:c r="B201" t="n">
        <x:v>14</x:v>
      </x:c>
      <x:c r="C201" t="str">
        <x:v>SKU01077</x:v>
      </x:c>
      <x:c r="D201" t="str">
        <x:v>Sample Product 01077</x:v>
      </x:c>
      <x:c r="E201" s="12" t="n">
        <x:v>4310.01</x:v>
      </x:c>
      <x:c r="F201" t="n">
        <x:v>63</x:v>
      </x:c>
      <x:c r="G201" s="12" t="n">
        <x:v>9431.1</x:v>
      </x:c>
    </x:row>
    <x:row r="202">
      <x:c r="A202" t="str">
        <x:v>General Merchandise</x:v>
      </x:c>
      <x:c r="B202" t="n">
        <x:v>15</x:v>
      </x:c>
      <x:c r="C202" t="str">
        <x:v>SKU00566</x:v>
      </x:c>
      <x:c r="D202" t="str">
        <x:v>Sample Product 00566</x:v>
      </x:c>
      <x:c r="E202" s="12" t="n">
        <x:v>4143.74</x:v>
      </x:c>
      <x:c r="F202" t="n">
        <x:v>69</x:v>
      </x:c>
      <x:c r="G202" s="12" t="n">
        <x:v>12187.47</x:v>
      </x:c>
    </x:row>
    <x:row r="203">
      <x:c r="A203" t="str">
        <x:v>General Merchandise</x:v>
      </x:c>
      <x:c r="B203" t="n">
        <x:v>16</x:v>
      </x:c>
      <x:c r="C203" t="str">
        <x:v>SKU01416</x:v>
      </x:c>
      <x:c r="D203" t="str">
        <x:v>Sample Product 01416</x:v>
      </x:c>
      <x:c r="E203" s="12" t="n">
        <x:v>3837.88</x:v>
      </x:c>
      <x:c r="F203" t="n">
        <x:v>53</x:v>
      </x:c>
      <x:c r="G203" s="12" t="n">
        <x:v>13466.24</x:v>
      </x:c>
    </x:row>
    <x:row r="204">
      <x:c r="A204" t="str">
        <x:v>General Merchandise</x:v>
      </x:c>
      <x:c r="B204" t="n">
        <x:v>17</x:v>
      </x:c>
      <x:c r="C204" t="str">
        <x:v>SKU00437</x:v>
      </x:c>
      <x:c r="D204" t="str">
        <x:v>Sample Product 00437</x:v>
      </x:c>
      <x:c r="E204" s="12" t="n">
        <x:v>3461.58</x:v>
      </x:c>
      <x:c r="F204" t="n">
        <x:v>41</x:v>
      </x:c>
      <x:c r="G204" s="12" t="n">
        <x:v>10181.12</x:v>
      </x:c>
    </x:row>
    <x:row r="205">
      <x:c r="A205" t="str">
        <x:v>General Merchandise</x:v>
      </x:c>
      <x:c r="B205" t="n">
        <x:v>18</x:v>
      </x:c>
      <x:c r="C205" t="str">
        <x:v>SKU01492</x:v>
      </x:c>
      <x:c r="D205" t="str">
        <x:v>Sample Product 01492</x:v>
      </x:c>
      <x:c r="E205" s="12" t="n">
        <x:v>3097.42</x:v>
      </x:c>
      <x:c r="F205" t="n">
        <x:v>32</x:v>
      </x:c>
      <x:c r="G205" s="12" t="n">
        <x:v>8749.76</x:v>
      </x:c>
    </x:row>
    <x:row r="206">
      <x:c r="A206" t="str">
        <x:v>General Merchandise</x:v>
      </x:c>
      <x:c r="B206" t="n">
        <x:v>19</x:v>
      </x:c>
      <x:c r="C206" t="str">
        <x:v>SKU00171</x:v>
      </x:c>
      <x:c r="D206" t="str">
        <x:v>Sample Product 00171</x:v>
      </x:c>
      <x:c r="E206" s="12" t="n">
        <x:v>2949.64</x:v>
      </x:c>
      <x:c r="F206" t="n">
        <x:v>37</x:v>
      </x:c>
      <x:c r="G206" s="12" t="n">
        <x:v>7563.17</x:v>
      </x:c>
    </x:row>
    <x:row r="207">
      <x:c r="A207" t="str">
        <x:v>General Merchandise</x:v>
      </x:c>
      <x:c r="B207" t="n">
        <x:v>20</x:v>
      </x:c>
      <x:c r="C207" t="str">
        <x:v>SKU00243</x:v>
      </x:c>
      <x:c r="D207" t="str">
        <x:v>Sample Product 00243</x:v>
      </x:c>
      <x:c r="E207" s="12" t="n">
        <x:v>2872.55</x:v>
      </x:c>
      <x:c r="F207" t="n">
        <x:v>49</x:v>
      </x:c>
      <x:c r="G207" s="12" t="n">
        <x:v>7619.5</x:v>
      </x:c>
    </x:row>
  </x:sheetData>
  <x:mergeCells>
    <x:mergeCell ref="A1:G1"/>
    <x:mergeCell ref="A106:G10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</x:cols>
  <x:sheetData>
    <x:row r="1">
      <x:c r="A1" s="17" t="str">
        <x:v>Supplier Analysis</x:v>
      </x:c>
      <x:c r="B1" s="17"/>
      <x:c r="C1" s="17"/>
      <x:c r="D1" s="17"/>
      <x:c r="E1" s="17"/>
      <x:c r="F1" s="17"/>
      <x:c r="G1" s="17"/>
    </x:row>
    <x:row r="3">
      <x:c r="A3" s="5" t="str">
        <x:v>Supplier</x:v>
      </x:c>
      <x:c r="B3" s="5" t="str">
        <x:v>Active SKUs</x:v>
      </x:c>
      <x:c r="C3" s="5" t="str">
        <x:v>Sales Qty</x:v>
      </x:c>
      <x:c r="D3" s="5" t="str">
        <x:v>Sales Value</x:v>
      </x:c>
      <x:c r="E3" s="5" t="str">
        <x:v>Profit Value</x:v>
      </x:c>
      <x:c r="F3" s="5" t="str">
        <x:v>Inventory Risk</x:v>
      </x:c>
      <x:c r="G3" s="5" t="str">
        <x:v>Active Share</x:v>
      </x:c>
    </x:row>
    <x:row r="4">
      <x:c r="A4" t="str">
        <x:v>Supplier 001</x:v>
      </x:c>
      <x:c r="B4" t="n">
        <x:f>COUNTIFS(Clean_Data!L2:L1501,A4,Clean_Data!C2:C1501,"Active")</x:f>
        <x:v>42</x:v>
      </x:c>
      <x:c r="C4" t="n">
        <x:f>SUMIF(Clean_Data!L2:L1501,A4,Clean_Data!Q2:Q1501)</x:f>
        <x:v>1073</x:v>
      </x:c>
      <x:c r="D4" s="12" t="n">
        <x:f>SUMIF(Clean_Data!L2:L1501,A4,Clean_Data!S2:S1501)</x:f>
        <x:v>99773.55999999998</x:v>
      </x:c>
      <x:c r="E4" s="12" t="n">
        <x:f>SUMIF(Clean_Data!L2:L1501,A4,Clean_Data!T2:T1501)</x:f>
        <x:v>32822.490000000005</x:v>
      </x:c>
      <x:c r="F4" s="12" t="n">
        <x:f>SUMIF(Clean_Data!L2:L1501,A4,Clean_Data!W2:W1501)</x:f>
        <x:v>7454.0599999999995</x:v>
      </x:c>
      <x:c r="G4" s="10" t="n">
        <x:f>B4/KPI_Summary!B5</x:f>
        <x:v>0.03428571428571429</x:v>
      </x:c>
    </x:row>
    <x:row r="5">
      <x:c r="A5" t="str">
        <x:v>Supplier 002</x:v>
      </x:c>
      <x:c r="B5" t="n">
        <x:f>COUNTIFS(Clean_Data!L2:L1501,A5,Clean_Data!C2:C1501,"Active")</x:f>
        <x:v>35</x:v>
      </x:c>
      <x:c r="C5" t="n">
        <x:f>SUMIF(Clean_Data!L2:L1501,A5,Clean_Data!Q2:Q1501)</x:f>
        <x:v>913</x:v>
      </x:c>
      <x:c r="D5" s="12" t="n">
        <x:f>SUMIF(Clean_Data!L2:L1501,A5,Clean_Data!S2:S1501)</x:f>
        <x:v>171737.66999999998</x:v>
      </x:c>
      <x:c r="E5" s="12" t="n">
        <x:f>SUMIF(Clean_Data!L2:L1501,A5,Clean_Data!T2:T1501)</x:f>
        <x:v>56735.45999999999</x:v>
      </x:c>
      <x:c r="F5" s="12" t="n">
        <x:f>SUMIF(Clean_Data!L2:L1501,A5,Clean_Data!W2:W1501)</x:f>
        <x:v>16178.800000000001</x:v>
      </x:c>
      <x:c r="G5" s="10" t="n">
        <x:f>B5/KPI_Summary!B5</x:f>
        <x:v>0.02857142857142857</x:v>
      </x:c>
    </x:row>
    <x:row r="6">
      <x:c r="A6" t="str">
        <x:v>Supplier 003</x:v>
      </x:c>
      <x:c r="B6" t="n">
        <x:f>COUNTIFS(Clean_Data!L2:L1501,A6,Clean_Data!C2:C1501,"Active")</x:f>
        <x:v>90</x:v>
      </x:c>
      <x:c r="C6" t="n">
        <x:f>SUMIF(Clean_Data!L2:L1501,A6,Clean_Data!Q2:Q1501)</x:f>
        <x:v>2665</x:v>
      </x:c>
      <x:c r="D6" s="12" t="n">
        <x:f>SUMIF(Clean_Data!L2:L1501,A6,Clean_Data!S2:S1501)</x:f>
        <x:v>271599.63000000006</x:v>
      </x:c>
      <x:c r="E6" s="12" t="n">
        <x:f>SUMIF(Clean_Data!L2:L1501,A6,Clean_Data!T2:T1501)</x:f>
        <x:v>74238.56</x:v>
      </x:c>
      <x:c r="F6" s="12" t="n">
        <x:f>SUMIF(Clean_Data!L2:L1501,A6,Clean_Data!W2:W1501)</x:f>
        <x:v>58239.8</x:v>
      </x:c>
      <x:c r="G6" s="10" t="n">
        <x:f>B6/KPI_Summary!B5</x:f>
        <x:v>0.07346938775510205</x:v>
      </x:c>
    </x:row>
    <x:row r="7">
      <x:c r="A7" t="str">
        <x:v>Supplier 004</x:v>
      </x:c>
      <x:c r="B7" t="n">
        <x:f>COUNTIFS(Clean_Data!L2:L1501,A7,Clean_Data!C2:C1501,"Active")</x:f>
        <x:v>37</x:v>
      </x:c>
      <x:c r="C7" t="n">
        <x:f>SUMIF(Clean_Data!L2:L1501,A7,Clean_Data!Q2:Q1501)</x:f>
        <x:v>880</x:v>
      </x:c>
      <x:c r="D7" s="12" t="n">
        <x:f>SUMIF(Clean_Data!L2:L1501,A7,Clean_Data!S2:S1501)</x:f>
        <x:v>96543.40000000001</x:v>
      </x:c>
      <x:c r="E7" s="12" t="n">
        <x:f>SUMIF(Clean_Data!L2:L1501,A7,Clean_Data!T2:T1501)</x:f>
        <x:v>29857.61999999999</x:v>
      </x:c>
      <x:c r="F7" s="12" t="n">
        <x:f>SUMIF(Clean_Data!L2:L1501,A7,Clean_Data!W2:W1501)</x:f>
        <x:v>14132.3</x:v>
      </x:c>
      <x:c r="G7" s="10" t="n">
        <x:f>B7/KPI_Summary!B5</x:f>
        <x:v>0.030204081632653063</x:v>
      </x:c>
    </x:row>
    <x:row r="8">
      <x:c r="A8" t="str">
        <x:v>Supplier 005</x:v>
      </x:c>
      <x:c r="B8" t="n">
        <x:f>COUNTIFS(Clean_Data!L2:L1501,A8,Clean_Data!C2:C1501,"Active")</x:f>
        <x:v>34</x:v>
      </x:c>
      <x:c r="C8" t="n">
        <x:f>SUMIF(Clean_Data!L2:L1501,A8,Clean_Data!Q2:Q1501)</x:f>
        <x:v>942</x:v>
      </x:c>
      <x:c r="D8" s="12" t="n">
        <x:f>SUMIF(Clean_Data!L2:L1501,A8,Clean_Data!S2:S1501)</x:f>
        <x:v>110332.53</x:v>
      </x:c>
      <x:c r="E8" s="12" t="n">
        <x:f>SUMIF(Clean_Data!L2:L1501,A8,Clean_Data!T2:T1501)</x:f>
        <x:v>40987.68000000001</x:v>
      </x:c>
      <x:c r="F8" s="12" t="n">
        <x:f>SUMIF(Clean_Data!L2:L1501,A8,Clean_Data!W2:W1501)</x:f>
        <x:v>42.199999999999996</x:v>
      </x:c>
      <x:c r="G8" s="10" t="n">
        <x:f>B8/KPI_Summary!B5</x:f>
        <x:v>0.027755102040816326</x:v>
      </x:c>
    </x:row>
    <x:row r="9">
      <x:c r="A9" t="str">
        <x:v>Supplier 006</x:v>
      </x:c>
      <x:c r="B9" t="n">
        <x:f>COUNTIFS(Clean_Data!L2:L1501,A9,Clean_Data!C2:C1501,"Active")</x:f>
        <x:v>38</x:v>
      </x:c>
      <x:c r="C9" t="n">
        <x:f>SUMIF(Clean_Data!L2:L1501,A9,Clean_Data!Q2:Q1501)</x:f>
        <x:v>1189</x:v>
      </x:c>
      <x:c r="D9" s="12" t="n">
        <x:f>SUMIF(Clean_Data!L2:L1501,A9,Clean_Data!S2:S1501)</x:f>
        <x:v>97863.43</x:v>
      </x:c>
      <x:c r="E9" s="12" t="n">
        <x:f>SUMIF(Clean_Data!L2:L1501,A9,Clean_Data!T2:T1501)</x:f>
        <x:v>32534.100000000002</x:v>
      </x:c>
      <x:c r="F9" s="12" t="n">
        <x:f>SUMIF(Clean_Data!L2:L1501,A9,Clean_Data!W2:W1501)</x:f>
        <x:v>8492</x:v>
      </x:c>
      <x:c r="G9" s="10" t="n">
        <x:f>B9/KPI_Summary!B5</x:f>
        <x:v>0.031020408163265307</x:v>
      </x:c>
    </x:row>
    <x:row r="10">
      <x:c r="A10" t="str">
        <x:v>Supplier 007</x:v>
      </x:c>
      <x:c r="B10" t="n">
        <x:f>COUNTIFS(Clean_Data!L2:L1501,A10,Clean_Data!C2:C1501,"Active")</x:f>
        <x:v>35</x:v>
      </x:c>
      <x:c r="C10" t="n">
        <x:f>SUMIF(Clean_Data!L2:L1501,A10,Clean_Data!Q2:Q1501)</x:f>
        <x:v>1249</x:v>
      </x:c>
      <x:c r="D10" s="12" t="n">
        <x:f>SUMIF(Clean_Data!L2:L1501,A10,Clean_Data!S2:S1501)</x:f>
        <x:v>113024.63000000002</x:v>
      </x:c>
      <x:c r="E10" s="12" t="n">
        <x:f>SUMIF(Clean_Data!L2:L1501,A10,Clean_Data!T2:T1501)</x:f>
        <x:v>41362.27</x:v>
      </x:c>
      <x:c r="F10" s="12" t="n">
        <x:f>SUMIF(Clean_Data!L2:L1501,A10,Clean_Data!W2:W1501)</x:f>
        <x:v>5679.2</x:v>
      </x:c>
      <x:c r="G10" s="10" t="n">
        <x:f>B10/KPI_Summary!B5</x:f>
        <x:v>0.02857142857142857</x:v>
      </x:c>
    </x:row>
    <x:row r="11">
      <x:c r="A11" t="str">
        <x:v>Supplier 008</x:v>
      </x:c>
      <x:c r="B11" t="n">
        <x:f>COUNTIFS(Clean_Data!L2:L1501,A11,Clean_Data!C2:C1501,"Active")</x:f>
        <x:v>35</x:v>
      </x:c>
      <x:c r="C11" t="n">
        <x:f>SUMIF(Clean_Data!L2:L1501,A11,Clean_Data!Q2:Q1501)</x:f>
        <x:v>1210</x:v>
      </x:c>
      <x:c r="D11" s="12" t="n">
        <x:f>SUMIF(Clean_Data!L2:L1501,A11,Clean_Data!S2:S1501)</x:f>
        <x:v>105719.15000000001</x:v>
      </x:c>
      <x:c r="E11" s="12" t="n">
        <x:f>SUMIF(Clean_Data!L2:L1501,A11,Clean_Data!T2:T1501)</x:f>
        <x:v>34584.67</x:v>
      </x:c>
      <x:c r="F11" s="12" t="n">
        <x:f>SUMIF(Clean_Data!L2:L1501,A11,Clean_Data!W2:W1501)</x:f>
        <x:v>23641.28</x:v>
      </x:c>
      <x:c r="G11" s="10" t="n">
        <x:f>B11/KPI_Summary!B5</x:f>
        <x:v>0.02857142857142857</x:v>
      </x:c>
    </x:row>
    <x:row r="12">
      <x:c r="A12" t="str">
        <x:v>Supplier 009</x:v>
      </x:c>
      <x:c r="B12" t="n">
        <x:f>COUNTIFS(Clean_Data!L2:L1501,A12,Clean_Data!C2:C1501,"Active")</x:f>
        <x:v>47</x:v>
      </x:c>
      <x:c r="C12" t="n">
        <x:f>SUMIF(Clean_Data!L2:L1501,A12,Clean_Data!Q2:Q1501)</x:f>
        <x:v>1504</x:v>
      </x:c>
      <x:c r="D12" s="12" t="n">
        <x:f>SUMIF(Clean_Data!L2:L1501,A12,Clean_Data!S2:S1501)</x:f>
        <x:v>144918.11000000002</x:v>
      </x:c>
      <x:c r="E12" s="12" t="n">
        <x:f>SUMIF(Clean_Data!L2:L1501,A12,Clean_Data!T2:T1501)</x:f>
        <x:v>45172.20000000001</x:v>
      </x:c>
      <x:c r="F12" s="12" t="n">
        <x:f>SUMIF(Clean_Data!L2:L1501,A12,Clean_Data!W2:W1501)</x:f>
        <x:v>10969.85</x:v>
      </x:c>
      <x:c r="G12" s="10" t="n">
        <x:f>B12/KPI_Summary!B5</x:f>
        <x:v>0.03836734693877551</x:v>
      </x:c>
    </x:row>
    <x:row r="13">
      <x:c r="A13" t="str">
        <x:v>Supplier 010</x:v>
      </x:c>
      <x:c r="B13" t="n">
        <x:f>COUNTIFS(Clean_Data!L2:L1501,A13,Clean_Data!C2:C1501,"Active")</x:f>
        <x:v>38</x:v>
      </x:c>
      <x:c r="C13" t="n">
        <x:f>SUMIF(Clean_Data!L2:L1501,A13,Clean_Data!Q2:Q1501)</x:f>
        <x:v>1519</x:v>
      </x:c>
      <x:c r="D13" s="12" t="n">
        <x:f>SUMIF(Clean_Data!L2:L1501,A13,Clean_Data!S2:S1501)</x:f>
        <x:v>150433.67</x:v>
      </x:c>
      <x:c r="E13" s="12" t="n">
        <x:f>SUMIF(Clean_Data!L2:L1501,A13,Clean_Data!T2:T1501)</x:f>
        <x:v>48928.79999999999</x:v>
      </x:c>
      <x:c r="F13" s="12" t="n">
        <x:f>SUMIF(Clean_Data!L2:L1501,A13,Clean_Data!W2:W1501)</x:f>
        <x:v>14982.31</x:v>
      </x:c>
      <x:c r="G13" s="10" t="n">
        <x:f>B13/KPI_Summary!B5</x:f>
        <x:v>0.031020408163265307</x:v>
      </x:c>
    </x:row>
    <x:row r="14">
      <x:c r="A14" t="str">
        <x:v>Supplier 011</x:v>
      </x:c>
      <x:c r="B14" t="n">
        <x:f>COUNTIFS(Clean_Data!L2:L1501,A14,Clean_Data!C2:C1501,"Active")</x:f>
        <x:v>76</x:v>
      </x:c>
      <x:c r="C14" t="n">
        <x:f>SUMIF(Clean_Data!L2:L1501,A14,Clean_Data!Q2:Q1501)</x:f>
        <x:v>2091</x:v>
      </x:c>
      <x:c r="D14" s="12" t="n">
        <x:f>SUMIF(Clean_Data!L2:L1501,A14,Clean_Data!S2:S1501)</x:f>
        <x:v>222414.14000000007</x:v>
      </x:c>
      <x:c r="E14" s="12" t="n">
        <x:f>SUMIF(Clean_Data!L2:L1501,A14,Clean_Data!T2:T1501)</x:f>
        <x:v>61143.989999999976</x:v>
      </x:c>
      <x:c r="F14" s="12" t="n">
        <x:f>SUMIF(Clean_Data!L2:L1501,A14,Clean_Data!W2:W1501)</x:f>
        <x:v>63101.32000000001</x:v>
      </x:c>
      <x:c r="G14" s="10" t="n">
        <x:f>B14/KPI_Summary!B5</x:f>
        <x:v>0.062040816326530614</x:v>
      </x:c>
    </x:row>
    <x:row r="15">
      <x:c r="A15" t="str">
        <x:v>Supplier 012</x:v>
      </x:c>
      <x:c r="B15" t="n">
        <x:f>COUNTIFS(Clean_Data!L2:L1501,A15,Clean_Data!C2:C1501,"Active")</x:f>
        <x:v>29</x:v>
      </x:c>
      <x:c r="C15" t="n">
        <x:f>SUMIF(Clean_Data!L2:L1501,A15,Clean_Data!Q2:Q1501)</x:f>
        <x:v>889</x:v>
      </x:c>
      <x:c r="D15" s="12" t="n">
        <x:f>SUMIF(Clean_Data!L2:L1501,A15,Clean_Data!S2:S1501)</x:f>
        <x:v>99324.81999999999</x:v>
      </x:c>
      <x:c r="E15" s="12" t="n">
        <x:f>SUMIF(Clean_Data!L2:L1501,A15,Clean_Data!T2:T1501)</x:f>
        <x:v>35527.49999999999</x:v>
      </x:c>
      <x:c r="F15" s="12" t="n">
        <x:f>SUMIF(Clean_Data!L2:L1501,A15,Clean_Data!W2:W1501)</x:f>
        <x:v>0</x:v>
      </x:c>
      <x:c r="G15" s="10" t="n">
        <x:f>B15/KPI_Summary!B5</x:f>
        <x:v>0.0236734693877551</x:v>
      </x:c>
    </x:row>
    <x:row r="16">
      <x:c r="A16" t="str">
        <x:v>Supplier 013</x:v>
      </x:c>
      <x:c r="B16" t="n">
        <x:f>COUNTIFS(Clean_Data!L2:L1501,A16,Clean_Data!C2:C1501,"Active")</x:f>
        <x:v>36</x:v>
      </x:c>
      <x:c r="C16" t="n">
        <x:f>SUMIF(Clean_Data!L2:L1501,A16,Clean_Data!Q2:Q1501)</x:f>
        <x:v>1097</x:v>
      </x:c>
      <x:c r="D16" s="12" t="n">
        <x:f>SUMIF(Clean_Data!L2:L1501,A16,Clean_Data!S2:S1501)</x:f>
        <x:v>93008.93</x:v>
      </x:c>
      <x:c r="E16" s="12" t="n">
        <x:f>SUMIF(Clean_Data!L2:L1501,A16,Clean_Data!T2:T1501)</x:f>
        <x:v>29634.120000000003</x:v>
      </x:c>
      <x:c r="F16" s="12" t="n">
        <x:f>SUMIF(Clean_Data!L2:L1501,A16,Clean_Data!W2:W1501)</x:f>
        <x:v>30974.199999999997</x:v>
      </x:c>
      <x:c r="G16" s="10" t="n">
        <x:f>B16/KPI_Summary!B5</x:f>
        <x:v>0.029387755102040815</x:v>
      </x:c>
    </x:row>
    <x:row r="17">
      <x:c r="A17" t="str">
        <x:v>Supplier 014</x:v>
      </x:c>
      <x:c r="B17" t="n">
        <x:f>COUNTIFS(Clean_Data!L2:L1501,A17,Clean_Data!C2:C1501,"Active")</x:f>
        <x:v>32</x:v>
      </x:c>
      <x:c r="C17" t="n">
        <x:f>SUMIF(Clean_Data!L2:L1501,A17,Clean_Data!Q2:Q1501)</x:f>
        <x:v>1207</x:v>
      </x:c>
      <x:c r="D17" s="12" t="n">
        <x:f>SUMIF(Clean_Data!L2:L1501,A17,Clean_Data!S2:S1501)</x:f>
        <x:v>115947.58999999995</x:v>
      </x:c>
      <x:c r="E17" s="12" t="n">
        <x:f>SUMIF(Clean_Data!L2:L1501,A17,Clean_Data!T2:T1501)</x:f>
        <x:v>40785.42999999999</x:v>
      </x:c>
      <x:c r="F17" s="12" t="n">
        <x:f>SUMIF(Clean_Data!L2:L1501,A17,Clean_Data!W2:W1501)</x:f>
        <x:v>0</x:v>
      </x:c>
      <x:c r="G17" s="10" t="n">
        <x:f>B17/KPI_Summary!B5</x:f>
        <x:v>0.026122448979591838</x:v>
      </x:c>
    </x:row>
    <x:row r="18">
      <x:c r="A18" t="str">
        <x:v>Supplier 015</x:v>
      </x:c>
      <x:c r="B18" t="n">
        <x:f>COUNTIFS(Clean_Data!L2:L1501,A18,Clean_Data!C2:C1501,"Active")</x:f>
        <x:v>37</x:v>
      </x:c>
      <x:c r="C18" t="n">
        <x:f>SUMIF(Clean_Data!L2:L1501,A18,Clean_Data!Q2:Q1501)</x:f>
        <x:v>1199</x:v>
      </x:c>
      <x:c r="D18" s="12" t="n">
        <x:f>SUMIF(Clean_Data!L2:L1501,A18,Clean_Data!S2:S1501)</x:f>
        <x:v>89112.98000000001</x:v>
      </x:c>
      <x:c r="E18" s="12" t="n">
        <x:f>SUMIF(Clean_Data!L2:L1501,A18,Clean_Data!T2:T1501)</x:f>
        <x:v>29211.23000000001</x:v>
      </x:c>
      <x:c r="F18" s="12" t="n">
        <x:f>SUMIF(Clean_Data!L2:L1501,A18,Clean_Data!W2:W1501)</x:f>
        <x:v>6264.62</x:v>
      </x:c>
      <x:c r="G18" s="10" t="n">
        <x:f>B18/KPI_Summary!B5</x:f>
        <x:v>0.030204081632653063</x:v>
      </x:c>
    </x:row>
    <x:row r="19">
      <x:c r="A19" t="str">
        <x:v>Supplier 016</x:v>
      </x:c>
      <x:c r="B19" t="n">
        <x:f>COUNTIFS(Clean_Data!L2:L1501,A19,Clean_Data!C2:C1501,"Active")</x:f>
        <x:v>36</x:v>
      </x:c>
      <x:c r="C19" t="n">
        <x:f>SUMIF(Clean_Data!L2:L1501,A19,Clean_Data!Q2:Q1501)</x:f>
        <x:v>997</x:v>
      </x:c>
      <x:c r="D19" s="12" t="n">
        <x:f>SUMIF(Clean_Data!L2:L1501,A19,Clean_Data!S2:S1501)</x:f>
        <x:v>142799.05000000002</x:v>
      </x:c>
      <x:c r="E19" s="12" t="n">
        <x:f>SUMIF(Clean_Data!L2:L1501,A19,Clean_Data!T2:T1501)</x:f>
        <x:v>50102.27000000001</x:v>
      </x:c>
      <x:c r="F19" s="12" t="n">
        <x:f>SUMIF(Clean_Data!L2:L1501,A19,Clean_Data!W2:W1501)</x:f>
        <x:v>93.89999999999999</x:v>
      </x:c>
      <x:c r="G19" s="10" t="n">
        <x:f>B19/KPI_Summary!B5</x:f>
        <x:v>0.029387755102040815</x:v>
      </x:c>
    </x:row>
    <x:row r="20">
      <x:c r="A20" t="str">
        <x:v>Supplier 017</x:v>
      </x:c>
      <x:c r="B20" t="n">
        <x:f>COUNTIFS(Clean_Data!L2:L1501,A20,Clean_Data!C2:C1501,"Active")</x:f>
        <x:v>30</x:v>
      </x:c>
      <x:c r="C20" t="n">
        <x:f>SUMIF(Clean_Data!L2:L1501,A20,Clean_Data!Q2:Q1501)</x:f>
        <x:v>831</x:v>
      </x:c>
      <x:c r="D20" s="12" t="n">
        <x:f>SUMIF(Clean_Data!L2:L1501,A20,Clean_Data!S2:S1501)</x:f>
        <x:v>94556.75</x:v>
      </x:c>
      <x:c r="E20" s="12" t="n">
        <x:f>SUMIF(Clean_Data!L2:L1501,A20,Clean_Data!T2:T1501)</x:f>
        <x:v>29379.8</x:v>
      </x:c>
      <x:c r="F20" s="12" t="n">
        <x:f>SUMIF(Clean_Data!L2:L1501,A20,Clean_Data!W2:W1501)</x:f>
        <x:v>3993.0499999999997</x:v>
      </x:c>
      <x:c r="G20" s="10" t="n">
        <x:f>B20/KPI_Summary!B5</x:f>
        <x:v>0.024489795918367346</x:v>
      </x:c>
    </x:row>
    <x:row r="21">
      <x:c r="A21" t="str">
        <x:v>Supplier 018</x:v>
      </x:c>
      <x:c r="B21" t="n">
        <x:f>COUNTIFS(Clean_Data!L2:L1501,A21,Clean_Data!C2:C1501,"Active")</x:f>
        <x:v>42</x:v>
      </x:c>
      <x:c r="C21" t="n">
        <x:f>SUMIF(Clean_Data!L2:L1501,A21,Clean_Data!Q2:Q1501)</x:f>
        <x:v>1330</x:v>
      </x:c>
      <x:c r="D21" s="12" t="n">
        <x:f>SUMIF(Clean_Data!L2:L1501,A21,Clean_Data!S2:S1501)</x:f>
        <x:v>125967.46999999996</x:v>
      </x:c>
      <x:c r="E21" s="12" t="n">
        <x:f>SUMIF(Clean_Data!L2:L1501,A21,Clean_Data!T2:T1501)</x:f>
        <x:v>42742.84999999999</x:v>
      </x:c>
      <x:c r="F21" s="12" t="n">
        <x:f>SUMIF(Clean_Data!L2:L1501,A21,Clean_Data!W2:W1501)</x:f>
        <x:v>3735.44</x:v>
      </x:c>
      <x:c r="G21" s="10" t="n">
        <x:f>B21/KPI_Summary!B5</x:f>
        <x:v>0.03428571428571429</x:v>
      </x:c>
    </x:row>
    <x:row r="22">
      <x:c r="A22" t="str">
        <x:v>Supplier 019</x:v>
      </x:c>
      <x:c r="B22" t="n">
        <x:f>COUNTIFS(Clean_Data!L2:L1501,A22,Clean_Data!C2:C1501,"Active")</x:f>
        <x:v>95</x:v>
      </x:c>
      <x:c r="C22" t="n">
        <x:f>SUMIF(Clean_Data!L2:L1501,A22,Clean_Data!Q2:Q1501)</x:f>
        <x:v>2974</x:v>
      </x:c>
      <x:c r="D22" s="12" t="n">
        <x:f>SUMIF(Clean_Data!L2:L1501,A22,Clean_Data!S2:S1501)</x:f>
        <x:v>258437.9</x:v>
      </x:c>
      <x:c r="E22" s="12" t="n">
        <x:f>SUMIF(Clean_Data!L2:L1501,A22,Clean_Data!T2:T1501)</x:f>
        <x:v>93589.73</x:v>
      </x:c>
      <x:c r="F22" s="12" t="n">
        <x:f>SUMIF(Clean_Data!L2:L1501,A22,Clean_Data!W2:W1501)</x:f>
        <x:v>22093.249999999996</x:v>
      </x:c>
      <x:c r="G22" s="10" t="n">
        <x:f>B22/KPI_Summary!B5</x:f>
        <x:v>0.07755102040816327</x:v>
      </x:c>
    </x:row>
    <x:row r="23">
      <x:c r="A23" t="str">
        <x:v>Supplier 020</x:v>
      </x:c>
      <x:c r="B23" t="n">
        <x:f>COUNTIFS(Clean_Data!L2:L1501,A23,Clean_Data!C2:C1501,"Active")</x:f>
        <x:v>32</x:v>
      </x:c>
      <x:c r="C23" t="n">
        <x:f>SUMIF(Clean_Data!L2:L1501,A23,Clean_Data!Q2:Q1501)</x:f>
        <x:v>732</x:v>
      </x:c>
      <x:c r="D23" s="12" t="n">
        <x:f>SUMIF(Clean_Data!L2:L1501,A23,Clean_Data!S2:S1501)</x:f>
        <x:v>73748.98999999999</x:v>
      </x:c>
      <x:c r="E23" s="12" t="n">
        <x:f>SUMIF(Clean_Data!L2:L1501,A23,Clean_Data!T2:T1501)</x:f>
        <x:v>22515.93</x:v>
      </x:c>
      <x:c r="F23" s="12" t="n">
        <x:f>SUMIF(Clean_Data!L2:L1501,A23,Clean_Data!W2:W1501)</x:f>
        <x:v>9341.14</x:v>
      </x:c>
      <x:c r="G23" s="10" t="n">
        <x:f>B23/KPI_Summary!B5</x:f>
        <x:v>0.026122448979591838</x:v>
      </x:c>
    </x:row>
    <x:row r="24">
      <x:c r="A24" t="str">
        <x:v>Supplier 021</x:v>
      </x:c>
      <x:c r="B24" t="n">
        <x:f>COUNTIFS(Clean_Data!L2:L1501,A24,Clean_Data!C2:C1501,"Active")</x:f>
        <x:v>29</x:v>
      </x:c>
      <x:c r="C24" t="n">
        <x:f>SUMIF(Clean_Data!L2:L1501,A24,Clean_Data!Q2:Q1501)</x:f>
        <x:v>981</x:v>
      </x:c>
      <x:c r="D24" s="12" t="n">
        <x:f>SUMIF(Clean_Data!L2:L1501,A24,Clean_Data!S2:S1501)</x:f>
        <x:v>68814.15000000001</x:v>
      </x:c>
      <x:c r="E24" s="12" t="n">
        <x:f>SUMIF(Clean_Data!L2:L1501,A24,Clean_Data!T2:T1501)</x:f>
        <x:v>22672.04</x:v>
      </x:c>
      <x:c r="F24" s="12" t="n">
        <x:f>SUMIF(Clean_Data!L2:L1501,A24,Clean_Data!W2:W1501)</x:f>
        <x:v>2604.8599999999997</x:v>
      </x:c>
      <x:c r="G24" s="10" t="n">
        <x:f>B24/KPI_Summary!B5</x:f>
        <x:v>0.0236734693877551</x:v>
      </x:c>
    </x:row>
    <x:row r="25">
      <x:c r="A25" t="str">
        <x:v>Supplier 022</x:v>
      </x:c>
      <x:c r="B25" t="n">
        <x:f>COUNTIFS(Clean_Data!L2:L1501,A25,Clean_Data!C2:C1501,"Active")</x:f>
        <x:v>37</x:v>
      </x:c>
      <x:c r="C25" t="n">
        <x:f>SUMIF(Clean_Data!L2:L1501,A25,Clean_Data!Q2:Q1501)</x:f>
        <x:v>1140</x:v>
      </x:c>
      <x:c r="D25" s="12" t="n">
        <x:f>SUMIF(Clean_Data!L2:L1501,A25,Clean_Data!S2:S1501)</x:f>
        <x:v>115830.88999999998</x:v>
      </x:c>
      <x:c r="E25" s="12" t="n">
        <x:f>SUMIF(Clean_Data!L2:L1501,A25,Clean_Data!T2:T1501)</x:f>
        <x:v>47705.08</x:v>
      </x:c>
      <x:c r="F25" s="12" t="n">
        <x:f>SUMIF(Clean_Data!L2:L1501,A25,Clean_Data!W2:W1501)</x:f>
        <x:v>1047.0600000000002</x:v>
      </x:c>
      <x:c r="G25" s="10" t="n">
        <x:f>B25/KPI_Summary!B5</x:f>
        <x:v>0.030204081632653063</x:v>
      </x:c>
    </x:row>
    <x:row r="26">
      <x:c r="A26" t="str">
        <x:v>Supplier 023</x:v>
      </x:c>
      <x:c r="B26" t="n">
        <x:f>COUNTIFS(Clean_Data!L2:L1501,A26,Clean_Data!C2:C1501,"Active")</x:f>
        <x:v>39</x:v>
      </x:c>
      <x:c r="C26" t="n">
        <x:f>SUMIF(Clean_Data!L2:L1501,A26,Clean_Data!Q2:Q1501)</x:f>
        <x:v>1150</x:v>
      </x:c>
      <x:c r="D26" s="12" t="n">
        <x:f>SUMIF(Clean_Data!L2:L1501,A26,Clean_Data!S2:S1501)</x:f>
        <x:v>75777.31</x:v>
      </x:c>
      <x:c r="E26" s="12" t="n">
        <x:f>SUMIF(Clean_Data!L2:L1501,A26,Clean_Data!T2:T1501)</x:f>
        <x:v>26242.269999999997</x:v>
      </x:c>
      <x:c r="F26" s="12" t="n">
        <x:f>SUMIF(Clean_Data!L2:L1501,A26,Clean_Data!W2:W1501)</x:f>
        <x:v>3062.5699999999997</x:v>
      </x:c>
      <x:c r="G26" s="10" t="n">
        <x:f>B26/KPI_Summary!B5</x:f>
        <x:v>0.03183673469387755</x:v>
      </x:c>
    </x:row>
    <x:row r="27">
      <x:c r="A27" t="str">
        <x:v>Supplier 024</x:v>
      </x:c>
      <x:c r="B27" t="n">
        <x:f>COUNTIFS(Clean_Data!L2:L1501,A27,Clean_Data!C2:C1501,"Active")</x:f>
        <x:v>30</x:v>
      </x:c>
      <x:c r="C27" t="n">
        <x:f>SUMIF(Clean_Data!L2:L1501,A27,Clean_Data!Q2:Q1501)</x:f>
        <x:v>1127</x:v>
      </x:c>
      <x:c r="D27" s="12" t="n">
        <x:f>SUMIF(Clean_Data!L2:L1501,A27,Clean_Data!S2:S1501)</x:f>
        <x:v>129415.58</x:v>
      </x:c>
      <x:c r="E27" s="12" t="n">
        <x:f>SUMIF(Clean_Data!L2:L1501,A27,Clean_Data!T2:T1501)</x:f>
        <x:v>50090.36999999998</x:v>
      </x:c>
      <x:c r="F27" s="12" t="n">
        <x:f>SUMIF(Clean_Data!L2:L1501,A27,Clean_Data!W2:W1501)</x:f>
        <x:v>10878.24</x:v>
      </x:c>
      <x:c r="G27" s="10" t="n">
        <x:f>B27/KPI_Summary!B5</x:f>
        <x:v>0.024489795918367346</x:v>
      </x:c>
    </x:row>
    <x:row r="28">
      <x:c r="A28" t="str">
        <x:v>Supplier 025</x:v>
      </x:c>
      <x:c r="B28" t="n">
        <x:f>COUNTIFS(Clean_Data!L2:L1501,A28,Clean_Data!C2:C1501,"Active")</x:f>
        <x:v>26</x:v>
      </x:c>
      <x:c r="C28" t="n">
        <x:f>SUMIF(Clean_Data!L2:L1501,A28,Clean_Data!Q2:Q1501)</x:f>
        <x:v>928</x:v>
      </x:c>
      <x:c r="D28" s="12" t="n">
        <x:f>SUMIF(Clean_Data!L2:L1501,A28,Clean_Data!S2:S1501)</x:f>
        <x:v>141328.65</x:v>
      </x:c>
      <x:c r="E28" s="12" t="n">
        <x:f>SUMIF(Clean_Data!L2:L1501,A28,Clean_Data!T2:T1501)</x:f>
        <x:v>47315.780000000006</x:v>
      </x:c>
      <x:c r="F28" s="12" t="n">
        <x:f>SUMIF(Clean_Data!L2:L1501,A28,Clean_Data!W2:W1501)</x:f>
        <x:v>7587.530000000001</x:v>
      </x:c>
      <x:c r="G28" s="10" t="n">
        <x:f>B28/KPI_Summary!B5</x:f>
        <x:v>0.02122448979591837</x:v>
      </x:c>
    </x:row>
    <x:row r="29">
      <x:c r="A29" t="str">
        <x:v>Supplier 026</x:v>
      </x:c>
      <x:c r="B29" t="n">
        <x:f>COUNTIFS(Clean_Data!L2:L1501,A29,Clean_Data!C2:C1501,"Active")</x:f>
        <x:v>33</x:v>
      </x:c>
      <x:c r="C29" t="n">
        <x:f>SUMIF(Clean_Data!L2:L1501,A29,Clean_Data!Q2:Q1501)</x:f>
        <x:v>967</x:v>
      </x:c>
      <x:c r="D29" s="12" t="n">
        <x:f>SUMIF(Clean_Data!L2:L1501,A29,Clean_Data!S2:S1501)</x:f>
        <x:v>115008.45</x:v>
      </x:c>
      <x:c r="E29" s="12" t="n">
        <x:f>SUMIF(Clean_Data!L2:L1501,A29,Clean_Data!T2:T1501)</x:f>
        <x:v>41227.66999999999</x:v>
      </x:c>
      <x:c r="F29" s="12" t="n">
        <x:f>SUMIF(Clean_Data!L2:L1501,A29,Clean_Data!W2:W1501)</x:f>
        <x:v>12599.21</x:v>
      </x:c>
      <x:c r="G29" s="10" t="n">
        <x:f>B29/KPI_Summary!B5</x:f>
        <x:v>0.026938775510204082</x:v>
      </x:c>
    </x:row>
    <x:row r="30">
      <x:c r="A30" t="str">
        <x:v>Supplier 027</x:v>
      </x:c>
      <x:c r="B30" t="n">
        <x:f>COUNTIFS(Clean_Data!L2:L1501,A30,Clean_Data!C2:C1501,"Active")</x:f>
        <x:v>47</x:v>
      </x:c>
      <x:c r="C30" t="n">
        <x:f>SUMIF(Clean_Data!L2:L1501,A30,Clean_Data!Q2:Q1501)</x:f>
        <x:v>1468</x:v>
      </x:c>
      <x:c r="D30" s="12" t="n">
        <x:f>SUMIF(Clean_Data!L2:L1501,A30,Clean_Data!S2:S1501)</x:f>
        <x:v>104094.41999999998</x:v>
      </x:c>
      <x:c r="E30" s="12" t="n">
        <x:f>SUMIF(Clean_Data!L2:L1501,A30,Clean_Data!T2:T1501)</x:f>
        <x:v>35795.21000000001</x:v>
      </x:c>
      <x:c r="F30" s="12" t="n">
        <x:f>SUMIF(Clean_Data!L2:L1501,A30,Clean_Data!W2:W1501)</x:f>
        <x:v>12300.83</x:v>
      </x:c>
      <x:c r="G30" s="10" t="n">
        <x:f>B30/KPI_Summary!B5</x:f>
        <x:v>0.03836734693877551</x:v>
      </x:c>
    </x:row>
    <x:row r="31">
      <x:c r="A31" t="str">
        <x:v>Supplier 028</x:v>
      </x:c>
      <x:c r="B31" t="n">
        <x:f>COUNTIFS(Clean_Data!L2:L1501,A31,Clean_Data!C2:C1501,"Active")</x:f>
        <x:v>30</x:v>
      </x:c>
      <x:c r="C31" t="n">
        <x:f>SUMIF(Clean_Data!L2:L1501,A31,Clean_Data!Q2:Q1501)</x:f>
        <x:v>779</x:v>
      </x:c>
      <x:c r="D31" s="12" t="n">
        <x:f>SUMIF(Clean_Data!L2:L1501,A31,Clean_Data!S2:S1501)</x:f>
        <x:v>76779.59</x:v>
      </x:c>
      <x:c r="E31" s="12" t="n">
        <x:f>SUMIF(Clean_Data!L2:L1501,A31,Clean_Data!T2:T1501)</x:f>
        <x:v>26910.229999999996</x:v>
      </x:c>
      <x:c r="F31" s="12" t="n">
        <x:f>SUMIF(Clean_Data!L2:L1501,A31,Clean_Data!W2:W1501)</x:f>
        <x:v>14404.380000000001</x:v>
      </x:c>
      <x:c r="G31" s="10" t="n">
        <x:f>B31/KPI_Summary!B5</x:f>
        <x:v>0.024489795918367346</x:v>
      </x:c>
    </x:row>
    <x:row r="32">
      <x:c r="A32" t="str">
        <x:v>Supplier 029</x:v>
      </x:c>
      <x:c r="B32" t="n">
        <x:f>COUNTIFS(Clean_Data!L2:L1501,A32,Clean_Data!C2:C1501,"Active")</x:f>
        <x:v>35</x:v>
      </x:c>
      <x:c r="C32" t="n">
        <x:f>SUMIF(Clean_Data!L2:L1501,A32,Clean_Data!Q2:Q1501)</x:f>
        <x:v>1165</x:v>
      </x:c>
      <x:c r="D32" s="12" t="n">
        <x:f>SUMIF(Clean_Data!L2:L1501,A32,Clean_Data!S2:S1501)</x:f>
        <x:v>113087.76</x:v>
      </x:c>
      <x:c r="E32" s="12" t="n">
        <x:f>SUMIF(Clean_Data!L2:L1501,A32,Clean_Data!T2:T1501)</x:f>
        <x:v>42455.76999999999</x:v>
      </x:c>
      <x:c r="F32" s="12" t="n">
        <x:f>SUMIF(Clean_Data!L2:L1501,A32,Clean_Data!W2:W1501)</x:f>
        <x:v>28068.03</x:v>
      </x:c>
      <x:c r="G32" s="10" t="n">
        <x:f>B32/KPI_Summary!B5</x:f>
        <x:v>0.02857142857142857</x:v>
      </x:c>
    </x:row>
    <x:row r="33">
      <x:c r="A33" t="str">
        <x:v>Supplier 030</x:v>
      </x:c>
      <x:c r="B33" t="n">
        <x:f>COUNTIFS(Clean_Data!L2:L1501,A33,Clean_Data!C2:C1501,"Active")</x:f>
        <x:v>43</x:v>
      </x:c>
      <x:c r="C33" t="n">
        <x:f>SUMIF(Clean_Data!L2:L1501,A33,Clean_Data!Q2:Q1501)</x:f>
        <x:v>1292</x:v>
      </x:c>
      <x:c r="D33" s="12" t="n">
        <x:f>SUMIF(Clean_Data!L2:L1501,A33,Clean_Data!S2:S1501)</x:f>
        <x:v>105070.90000000002</x:v>
      </x:c>
      <x:c r="E33" s="12" t="n">
        <x:f>SUMIF(Clean_Data!L2:L1501,A33,Clean_Data!T2:T1501)</x:f>
        <x:v>37125.58</x:v>
      </x:c>
      <x:c r="F33" s="12" t="n">
        <x:f>SUMIF(Clean_Data!L2:L1501,A33,Clean_Data!W2:W1501)</x:f>
        <x:v>14512.18</x:v>
      </x:c>
      <x:c r="G33" s="10" t="n">
        <x:f>B33/KPI_Summary!B5</x:f>
        <x:v>0.03510204081632653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97af7bfb2339433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6" hidden="0" customWidth="1"/>
    <x:col min="3" max="3" width="22" hidden="0" customWidth="1"/>
    <x:col min="4" max="4" width="32" hidden="0" customWidth="1"/>
    <x:col min="5" max="5" width="42" hidden="0" customWidth="1"/>
    <x:col min="6" max="6" width="12" hidden="0" customWidth="1"/>
  </x:cols>
  <x:sheetData>
    <x:row r="1">
      <x:c r="A1" s="17" t="str">
        <x:v>Key Findings &amp; Business Recommendations — Synthetic Dataset</x:v>
      </x:c>
      <x:c r="B1" s="17"/>
      <x:c r="C1" s="17"/>
      <x:c r="D1" s="17"/>
      <x:c r="E1" s="17"/>
      <x:c r="F1" s="17"/>
    </x:row>
    <x:row r="3">
      <x:c r="A3" s="5" t="str">
        <x:v>Area</x:v>
      </x:c>
      <x:c r="B3" s="5" t="str">
        <x:v>Key Finding</x:v>
      </x:c>
      <x:c r="C3" s="5" t="str">
        <x:v>Evidence / Metric</x:v>
      </x:c>
      <x:c r="D3" s="5" t="str">
        <x:v>Business Impact</x:v>
      </x:c>
      <x:c r="E3" s="5" t="str">
        <x:v>Recommendation</x:v>
      </x:c>
      <x:c r="F3" s="5" t="str">
        <x:v>Priority</x:v>
      </x:c>
    </x:row>
    <x:row r="4">
      <x:c r="A4" s="26" t="str">
        <x:v>SKU Status</x:v>
      </x:c>
      <x:c r="B4" s="26" t="str">
        <x:v>1,225 of 1,500 SKUs are Active.</x:v>
      </x:c>
      <x:c r="C4" s="26" t="str">
        <x:v>81.7% Active</x:v>
      </x:c>
      <x:c r="D4" s="26" t="str">
        <x:v>Defines the addressable assortment.</x:v>
      </x:c>
      <x:c r="E4" s="26" t="str">
        <x:v>Review Blocked items separately before reactivation or delisting decisions.</x:v>
      </x:c>
      <x:c r="F4" s="26" t="str">
        <x:v>Medium</x:v>
      </x:c>
    </x:row>
    <x:row r="5">
      <x:c r="A5" s="26" t="str">
        <x:v>Category Performance</x:v>
      </x:c>
      <x:c r="B5" s="26" t="str">
        <x:v>Personal Care leads Sales Value in the synthetic sample.</x:v>
      </x:c>
      <x:c r="C5" s="26" t="str">
        <x:v>SAR 1,042,231</x:v>
      </x:c>
      <x:c r="D5" s="26" t="str">
        <x:v>Shows where revenue concentration is highest.</x:v>
      </x:c>
      <x:c r="E5" s="26" t="str">
        <x:v>Protect availability for leading items and investigate transferable drivers.</x:v>
      </x:c>
      <x:c r="F5" s="26" t="str">
        <x:v>High</x:v>
      </x:c>
    </x:row>
    <x:row r="6">
      <x:c r="A6" s="26" t="str">
        <x:v>TGM%</x:v>
      </x:c>
      <x:c r="B6" s="26" t="str">
        <x:v>Personal Care has the highest Average Active TGM%.</x:v>
      </x:c>
      <x:c r="C6" s="26" t="str">
        <x:v>38.7%</x:v>
      </x:c>
      <x:c r="D6" s="26" t="str">
        <x:v>Higher margin quality can support profitable growth.</x:v>
      </x:c>
      <x:c r="E6" s="26" t="str">
        <x:v>Prioritize growth where margin and demand are both healthy.</x:v>
      </x:c>
      <x:c r="F6" s="26" t="str">
        <x:v>Medium</x:v>
      </x:c>
    </x:row>
    <x:row r="7">
      <x:c r="A7" s="26" t="str">
        <x:v>Zero Sales Risk</x:v>
      </x:c>
      <x:c r="B7" s="26" t="str">
        <x:v>129 Active SKUs have zero sales.</x:v>
      </x:c>
      <x:c r="C7" s="26" t="str">
        <x:v>SAR 406,474 risk proxy</x:v>
      </x:c>
      <x:c r="D7" s="26" t="str">
        <x:v>Non-moving stock can tie up working capital.</x:v>
      </x:c>
      <x:c r="E7" s="26" t="str">
        <x:v>Review assortment, transfer stock, promote, or stop replenishment based on item context.</x:v>
      </x:c>
      <x:c r="F7" s="26" t="str">
        <x:v>High</x:v>
      </x:c>
    </x:row>
    <x:row r="8">
      <x:c r="A8" s="26" t="str">
        <x:v>Inventory Risk</x:v>
      </x:c>
      <x:c r="B8" s="26" t="str">
        <x:v>Medical Devices has the highest zero-sales risk proxy.</x:v>
      </x:c>
      <x:c r="C8" s="26" t="str">
        <x:v>SAR 112,799</x:v>
      </x:c>
      <x:c r="D8" s="26" t="str">
        <x:v>Concentrated exposure merits category-level action.</x:v>
      </x:c>
      <x:c r="E8" s="26" t="str">
        <x:v>Start detailed SKU review in the highest-risk category.</x:v>
      </x:c>
      <x:c r="F8" s="26" t="str">
        <x:v>High</x:v>
      </x:c>
    </x:row>
    <x:row r="9">
      <x:c r="A9" s="26" t="str">
        <x:v>Supplier Dependency</x:v>
      </x:c>
      <x:c r="B9" s="26" t="str">
        <x:v>3 Sub-Categories rely on one supplier among Active SKUs.</x:v>
      </x:c>
      <x:c r="C9" s="26" t="str">
        <x:v>3 dependencies</x:v>
      </x:c>
      <x:c r="D9" s="26" t="str">
        <x:v>Single-source exposure may reduce continuity resilience.</x:v>
      </x:c>
      <x:c r="E9" s="26" t="str">
        <x:v>Assess alternate suppliers or contingency plans for critical sub-categories.</x:v>
      </x:c>
      <x:c r="F9" s="26" t="str">
        <x:v>High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9f096c94ad3c439f"/>
  </x:tableParts>
</x:worksheet>
</file>

<file path=xl/worksheets/sheet9.xml><?xml version="1.0" encoding="utf-8"?>
<x:worksheet xmlns:x="http://schemas.openxmlformats.org/spreadsheetml/2006/main">
  <x:sheetFormatPr defaultRowHeight="15"/>
  <x:sheetData>
    <x:row r="1">
      <x:c r="A1" s="17" t="str">
        <x:v>Pharmacy Product Analytics Dashboard — Synthetic Portfolio Data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</x:row>
    <x:row r="2">
      <x:c r="A2" s="17"/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</x:row>
    <x:row r="4">
      <x:c r="A4" s="23" t="str">
        <x:v>Total SKUs</x:v>
      </x:c>
      <x:c r="B4" s="23"/>
      <x:c r="C4" s="23"/>
      <x:c r="D4" s="23" t="str">
        <x:v>Active SKUs</x:v>
      </x:c>
      <x:c r="E4" s="23"/>
      <x:c r="F4" s="23"/>
      <x:c r="G4" s="23" t="str">
        <x:v>Avg Active TGM%</x:v>
      </x:c>
      <x:c r="H4" s="23"/>
      <x:c r="I4" s="23"/>
      <x:c r="J4" s="23" t="str">
        <x:v>Inventory Risk</x:v>
      </x:c>
      <x:c r="K4" s="23"/>
      <x:c r="L4" s="23"/>
    </x:row>
    <x:row r="5">
      <x:c r="A5" s="31" t="n">
        <x:f>KPI_Summary!B4</x:f>
        <x:v>1500</x:v>
      </x:c>
      <x:c r="B5" s="31"/>
      <x:c r="C5" s="31"/>
      <x:c r="D5" s="31" t="n">
        <x:f>KPI_Summary!B5</x:f>
        <x:v>1225</x:v>
      </x:c>
      <x:c r="E5" s="31"/>
      <x:c r="F5" s="31"/>
      <x:c r="G5" s="36" t="n">
        <x:f>KPI_Summary!B12</x:f>
        <x:v>0.335135510204081</x:v>
      </x:c>
      <x:c r="H5" s="36"/>
      <x:c r="I5" s="36"/>
      <x:c r="J5" s="38" t="n">
        <x:f>KPI_Summary!B14</x:f>
        <x:v>406473.6100000002</x:v>
      </x:c>
      <x:c r="K5" s="38"/>
      <x:c r="L5" s="38"/>
    </x:row>
    <x:row r="6">
      <x:c r="A6" s="31"/>
      <x:c r="B6" s="31"/>
      <x:c r="C6" s="31"/>
      <x:c r="D6" s="31"/>
      <x:c r="E6" s="31"/>
      <x:c r="F6" s="31"/>
      <x:c r="G6" s="36"/>
      <x:c r="H6" s="36"/>
      <x:c r="I6" s="36"/>
      <x:c r="J6" s="38"/>
      <x:c r="K6" s="38"/>
      <x:c r="L6" s="38"/>
    </x:row>
    <x:row r="24">
      <x:c r="A24" s="41" t="str">
        <x:v>Developed by Khaled Zidan • Synthetic data only</x:v>
      </x:c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</x:row>
  </x:sheetData>
  <x:mergeCells>
    <x:mergeCell ref="A1:L2"/>
    <x:mergeCell ref="A4:C4"/>
    <x:mergeCell ref="A5:C6"/>
    <x:mergeCell ref="D4:F4"/>
    <x:mergeCell ref="D5:F6"/>
    <x:mergeCell ref="G4:I4"/>
    <x:mergeCell ref="G5:I6"/>
    <x:mergeCell ref="J4:L4"/>
    <x:mergeCell ref="J5:L6"/>
    <x:mergeCell ref="A24:L24"/>
  </x:mergeCells>
  <x:pageMargins left="0.7" right="0.7" top="0.75" bottom="0.75" header="0.3" footer="0.3"/>
  <x:drawing xmlns:r="http://schemas.openxmlformats.org/officeDocument/2006/relationships" r:id="Rc520ab73a18845cf"/>
</x:worksheet>
</file>

<file path=xl/worksheets/sheet10.xml><?xml version="1.0" encoding="utf-8"?>
<x:worksheet xmlns:x="http://schemas.openxmlformats.org/spreadsheetml/2006/main">
  <x:sheetFormatPr defaultRowHeight="15"/>
  <x:cols>
    <x:col min="3" max="3" width="52" hidden="0" customWidth="1"/>
    <x:col min="4" max="4" width="42" hidden="0" customWidth="1"/>
  </x:cols>
  <x:sheetData>
    <x:row r="1">
      <x:c r="A1" s="17" t="str">
        <x:v>Process Documentation</x:v>
      </x:c>
      <x:c r="B1" s="17"/>
      <x:c r="C1" s="17"/>
      <x:c r="D1" s="17"/>
    </x:row>
    <x:row r="3">
      <x:c r="A3" s="5" t="str">
        <x:v>Step</x:v>
      </x:c>
      <x:c r="B3" s="5" t="str">
        <x:v>Stage</x:v>
      </x:c>
      <x:c r="C3" s="5" t="str">
        <x:v>Action</x:v>
      </x:c>
      <x:c r="D3" s="5" t="str">
        <x:v>Validation</x:v>
      </x:c>
    </x:row>
    <x:row r="4">
      <x:c r="A4" s="26" t="n">
        <x:v>1</x:v>
      </x:c>
      <x:c r="B4" s="26" t="str">
        <x:v>Source Schema</x:v>
      </x:c>
      <x:c r="C4" s="26" t="str">
        <x:v>Define portfolio-safe SKU grain and required analytical columns.</x:v>
      </x:c>
      <x:c r="D4" s="26" t="str">
        <x:v>One row per synthetic SKU.</x:v>
      </x:c>
    </x:row>
    <x:row r="5">
      <x:c r="A5" s="26" t="n">
        <x:v>2</x:v>
      </x:c>
      <x:c r="B5" s="26" t="str">
        <x:v>Cleaning</x:v>
      </x:c>
      <x:c r="C5" s="26" t="str">
        <x:v>Standardize Status and numeric types.</x:v>
      </x:c>
      <x:c r="D5" s="26" t="str">
        <x:v>Status limited to Active/Blocked; numeric fields typed.</x:v>
      </x:c>
    </x:row>
    <x:row r="6">
      <x:c r="A6" s="26" t="n">
        <x:v>3</x:v>
      </x:c>
      <x:c r="B6" s="26" t="str">
        <x:v>Derived Metrics</x:v>
      </x:c>
      <x:c r="C6" s="26" t="str">
        <x:v>Create Sales, Profit, Inventory, Zero Sales, Risk and Price Range fields.</x:v>
      </x:c>
      <x:c r="D6" s="26" t="str">
        <x:v>Formula checks against documented rules.</x:v>
      </x:c>
    </x:row>
    <x:row r="7">
      <x:c r="A7" s="26" t="n">
        <x:v>4</x:v>
      </x:c>
      <x:c r="B7" s="26" t="str">
        <x:v>KPI Layer</x:v>
      </x:c>
      <x:c r="C7" s="26" t="str">
        <x:v>Calculate status, sales, profit, TGM and risk KPIs.</x:v>
      </x:c>
      <x:c r="D7" s="26" t="str">
        <x:v>Compare KPI Summary to CSV/Python expected outputs.</x:v>
      </x:c>
    </x:row>
    <x:row r="8">
      <x:c r="A8" s="26" t="n">
        <x:v>5</x:v>
      </x:c>
      <x:c r="B8" s="26" t="str">
        <x:v>Category Analysis</x:v>
      </x:c>
      <x:c r="C8" s="26" t="str">
        <x:v>Aggregate SKU, sales, profit, margin and risk by five categories.</x:v>
      </x:c>
      <x:c r="D8" s="26" t="str">
        <x:v>Totals reconcile to KPI layer.</x:v>
      </x:c>
    </x:row>
    <x:row r="9">
      <x:c r="A9" s="26" t="n">
        <x:v>6</x:v>
      </x:c>
      <x:c r="B9" s="26" t="str">
        <x:v>Top Performers</x:v>
      </x:c>
      <x:c r="C9" s="26" t="str">
        <x:v>Rank Top 20 SKUs per Category by Sales Qty and Profit Value.</x:v>
      </x:c>
      <x:c r="D9" s="26" t="str">
        <x:v>Exactly 20 rows per category when enough SKUs exist.</x:v>
      </x:c>
    </x:row>
    <x:row r="10">
      <x:c r="A10" s="26" t="n">
        <x:v>7</x:v>
      </x:c>
      <x:c r="B10" s="26" t="str">
        <x:v>Supplier Analysis</x:v>
      </x:c>
      <x:c r="C10" s="26" t="str">
        <x:v>Summarize Active SKUs, sales and risk by supplier.</x:v>
      </x:c>
      <x:c r="D10" s="26" t="str">
        <x:v>Supplier totals reconcile to clean data.</x:v>
      </x:c>
    </x:row>
    <x:row r="11">
      <x:c r="A11" s="26" t="n">
        <x:v>8</x:v>
      </x:c>
      <x:c r="B11" s="26" t="str">
        <x:v>Dashboard</x:v>
      </x:c>
      <x:c r="C11" s="26" t="str">
        <x:v>Present KPI cards and category/TGM visuals.</x:v>
      </x:c>
      <x:c r="D11" s="26" t="str">
        <x:v>Visuals trace back to analysis sheets.</x:v>
      </x:c>
    </x:row>
    <x:row r="12">
      <x:c r="A12" s="26" t="n">
        <x:v>9</x:v>
      </x:c>
      <x:c r="B12" s="26" t="str">
        <x:v>Cross-Tool Validation</x:v>
      </x:c>
      <x:c r="C12" s="26" t="str">
        <x:v>Match Excel, SQL Server, Power BI and HTML definitions.</x:v>
      </x:c>
      <x:c r="D12" s="26" t="str">
        <x:v>Differences resolved through calculation/filter review.</x:v>
      </x:c>
    </x:row>
    <x:row r="13">
      <x:c r="A13" s="26" t="n">
        <x:v>10</x:v>
      </x:c>
      <x:c r="B13" s="26" t="str">
        <x:v>Public Portfolio Safety</x:v>
      </x:c>
      <x:c r="C13" s="26" t="str">
        <x:v>Use only synthetic data and generalized business rules.</x:v>
      </x:c>
      <x:c r="D13" s="26" t="str">
        <x:v>No proprietary rows, credentials or internal endpoints.</x:v>
      </x:c>
    </x:row>
    <x:row r="14">
      <x:c r="A14" s="26"/>
      <x:c r="B14" s="26"/>
      <x:c r="C14" s="26"/>
      <x:c r="D14" s="26"/>
    </x:row>
  </x:sheetData>
  <x:mergeCells>
    <x:mergeCell ref="A1:D1"/>
  </x:mergeCells>
  <x:pageMargins left="0.7" right="0.7" top="0.75" bottom="0.75" header="0.3" footer="0.3"/>
</x:worksheet>
</file>